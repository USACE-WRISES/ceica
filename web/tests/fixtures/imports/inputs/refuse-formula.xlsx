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snap Parameters" sheetId="12" state="veryHidden" r:id="rId12"/>
    <sheet xmlns:r="http://schemas.openxmlformats.org/officeDocument/2006/relationships" name="snap Benefits" sheetId="13" state="veryHidden" r:id="rId13"/>
    <sheet xmlns:r="http://schemas.openxmlformats.org/officeDocument/2006/relationships" name="snap Costs" sheetId="14" state="veryHidden" r:id="rId14"/>
    <sheet xmlns:r="http://schemas.openxmlformats.org/officeDocument/2006/relationships" name="snap Sites" sheetId="15" state="veryHidden" r:id="rId15"/>
    <sheet xmlns:r="http://schemas.openxmlformats.org/officeDocument/2006/relationships" name="snap Summary" sheetId="16" state="veryHidden" r:id="rId16"/>
    <sheet xmlns:r="http://schemas.openxmlformats.org/officeDocument/2006/relationships" name="snap Site CE-ICA" sheetId="17" state="veryHidden" r:id="rId17"/>
    <sheet xmlns:r="http://schemas.openxmlformats.org/officeDocument/2006/relationships" name="manifest" sheetId="18" state="veryHidden" r:id="rId18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89aea71be748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29" t="n"/>
      <c r="H4" s="30" t="n"/>
      <c r="I4" s="12" t="inlineStr">
        <is>
          <t>Quantity</t>
        </is>
      </c>
      <c r="J4" s="29" t="n"/>
      <c r="K4" s="30" t="n"/>
      <c r="L4" s="12" t="inlineStr">
        <is>
          <t>Habitat units (HU)</t>
        </is>
      </c>
      <c r="M4" s="29" t="n"/>
      <c r="N4" s="30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29" t="n"/>
      <c r="P3" s="29" t="n"/>
      <c r="Q3" s="29" t="n"/>
      <c r="R3" s="30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>
        <f>1+1</f>
        <v/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8" min="1" max="1"/>
    <col width="44" customWidth="1" style="8" min="2" max="2"/>
    <col width="11" customWidth="1" style="8" min="3" max="3"/>
    <col width="14" customWidth="1" style="8" min="4" max="4"/>
    <col width="14" customWidth="1" style="8" min="5" max="5"/>
    <col width="11" customWidth="1" style="8" min="6" max="6"/>
    <col width="9" customWidth="1" style="8" min="7" max="7"/>
    <col width="8" customWidth="1" style="8" min="8" max="8"/>
    <col width="8" customWidth="1" style="8" min="9" max="9"/>
    <col width="13" customWidth="1" style="8" min="10" max="10"/>
    <col width="8" customWidth="1" style="8" min="11" max="11"/>
  </cols>
  <sheetData>
    <row r="1">
      <c r="A1" s="1" t="inlineStr">
        <is>
          <t>Watershed plans (values from the app)</t>
        </is>
      </c>
    </row>
    <row r="2">
      <c r="A2" s="2" t="inlineStr">
        <is>
          <t>This study uses several alternatives per site, so the plan table holds the app's values rather than formulas. Site sheets stay live.</t>
        </is>
      </c>
    </row>
    <row r="4">
      <c r="A4" s="12" t="inlineStr">
        <is>
          <t>Plan number</t>
        </is>
      </c>
      <c r="B4" s="12" t="inlineStr">
        <is>
          <t>Plan</t>
        </is>
      </c>
      <c r="C4" s="12" t="inlineStr">
        <is>
          <t>Lift (AAHU)</t>
        </is>
      </c>
      <c r="D4" s="12" t="inlineStr">
        <is>
          <t>Average annual cost</t>
        </is>
      </c>
      <c r="E4" s="12" t="inlineStr">
        <is>
          <t>Construction cost</t>
        </is>
      </c>
      <c r="F4" s="12" t="inlineStr">
        <is>
          <t>Unit cost</t>
        </is>
      </c>
      <c r="G4" s="12" t="inlineStr">
        <is>
          <t>Cost-effective</t>
        </is>
      </c>
      <c r="H4" s="12" t="inlineStr">
        <is>
          <t>Best buy</t>
        </is>
      </c>
      <c r="I4" s="12" t="inlineStr">
        <is>
          <t>Best-buy step</t>
        </is>
      </c>
      <c r="J4" s="12" t="inlineStr">
        <is>
          <t>Incremental cost per unit</t>
        </is>
      </c>
      <c r="K4" s="12" t="inlineStr">
        <is>
          <t>Final array</t>
        </is>
      </c>
    </row>
    <row r="5">
      <c r="A5" s="4" t="n">
        <v>1</v>
      </c>
      <c r="B5" s="4" t="inlineStr">
        <is>
          <t>No Action</t>
        </is>
      </c>
      <c r="C5" s="20" t="n">
        <v>0</v>
      </c>
      <c r="D5" s="26" t="n">
        <v>0</v>
      </c>
      <c r="E5" s="25" t="n">
        <v>0</v>
      </c>
      <c r="F5" s="26" t="inlineStr">
        <is>
          <t>n/a</t>
        </is>
      </c>
      <c r="G5" s="10" t="n">
        <v>1</v>
      </c>
      <c r="H5" s="10" t="n">
        <v>1</v>
      </c>
      <c r="I5" s="10" t="n">
        <v>0</v>
      </c>
      <c r="J5" s="26" t="inlineStr"/>
      <c r="K5" s="10" t="n">
        <v>1</v>
      </c>
    </row>
    <row r="6">
      <c r="A6" s="4" t="n">
        <v>5</v>
      </c>
      <c r="B6" s="4" t="inlineStr">
        <is>
          <t>A (A2)</t>
        </is>
      </c>
      <c r="C6" s="20" t="n">
        <v>3.085</v>
      </c>
      <c r="D6" s="26" t="n">
        <v>7021.71</v>
      </c>
      <c r="E6" s="25" t="n">
        <v>180000</v>
      </c>
      <c r="F6" s="26" t="n">
        <v>2276.081037277148</v>
      </c>
      <c r="G6" s="10" t="n">
        <v>1</v>
      </c>
      <c r="H6" s="10" t="n">
        <v>0</v>
      </c>
      <c r="I6" s="10" t="inlineStr"/>
      <c r="J6" s="26" t="inlineStr"/>
      <c r="K6" s="10" t="n">
        <v>0</v>
      </c>
    </row>
    <row r="7">
      <c r="A7" s="4" t="n">
        <v>2</v>
      </c>
      <c r="B7" s="4" t="inlineStr">
        <is>
          <t>B (B1)</t>
        </is>
      </c>
      <c r="C7" s="20" t="n">
        <v>5.93</v>
      </c>
      <c r="D7" s="26" t="n">
        <v>11702.85</v>
      </c>
      <c r="E7" s="25" t="n">
        <v>300000</v>
      </c>
      <c r="F7" s="26" t="n">
        <v>1973.49915682968</v>
      </c>
      <c r="G7" s="10" t="n">
        <v>0</v>
      </c>
      <c r="H7" s="10" t="n">
        <v>0</v>
      </c>
      <c r="I7" s="10" t="inlineStr"/>
      <c r="J7" s="26" t="inlineStr"/>
      <c r="K7" s="10" t="n">
        <v>0</v>
      </c>
    </row>
    <row r="8">
      <c r="A8" s="4" t="n">
        <v>3</v>
      </c>
      <c r="B8" s="4" t="inlineStr">
        <is>
          <t>A (A1)</t>
        </is>
      </c>
      <c r="C8" s="20" t="n">
        <v>6.208</v>
      </c>
      <c r="D8" s="26" t="n">
        <v>9752.379999999999</v>
      </c>
      <c r="E8" s="25" t="n">
        <v>250000</v>
      </c>
      <c r="F8" s="26" t="n">
        <v>1570.9375</v>
      </c>
      <c r="G8" s="10" t="n">
        <v>1</v>
      </c>
      <c r="H8" s="10" t="n">
        <v>1</v>
      </c>
      <c r="I8" s="10" t="n">
        <v>1</v>
      </c>
      <c r="J8" s="26" t="n">
        <v>1570.9375</v>
      </c>
      <c r="K8" s="10" t="n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t="inlineStr">
        <is>
          <t>See the Watershed plans sheet (values from the app).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rules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"A":["A1","A2"],"B":["B1"]},"mode":"MULTI","rules":[{"kind":"NOT_COMBINABLE","site_id":"A","with_sites":["B"]}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],"liveWatershed":false,"planBits":[],"planRowKeys":{},"planSites":[],"projectDigest":"89aea71be748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