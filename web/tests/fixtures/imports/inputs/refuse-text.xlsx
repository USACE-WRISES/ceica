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Benefits" sheetId="3" state="visible" r:id="rId3"/>
    <sheet xmlns:r="http://schemas.openxmlformats.org/officeDocument/2006/relationships" name="Costs" sheetId="4" state="visible" r:id="rId4"/>
    <sheet xmlns:r="http://schemas.openxmlformats.org/officeDocument/2006/relationships" name="OMRRR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Site CE-ICA" sheetId="7" state="visible" r:id="rId7"/>
    <sheet xmlns:r="http://schemas.openxmlformats.org/officeDocument/2006/relationships" name="Sites" sheetId="8" state="visible" r:id="rId8"/>
    <sheet xmlns:r="http://schemas.openxmlformats.org/officeDocument/2006/relationships" name="Watershed plans" sheetId="9" state="visible" r:id="rId9"/>
    <sheet xmlns:r="http://schemas.openxmlformats.org/officeDocument/2006/relationships" name="Watershed summary" sheetId="10" state="visible" r:id="rId10"/>
    <sheet xmlns:r="http://schemas.openxmlformats.org/officeDocument/2006/relationships" name="IWR input" sheetId="11" state="visible" r:id="rId11"/>
    <sheet xmlns:r="http://schemas.openxmlformats.org/officeDocument/2006/relationships" name="snap Parameters" sheetId="12" state="veryHidden" r:id="rId12"/>
    <sheet xmlns:r="http://schemas.openxmlformats.org/officeDocument/2006/relationships" name="snap Benefits" sheetId="13" state="veryHidden" r:id="rId13"/>
    <sheet xmlns:r="http://schemas.openxmlformats.org/officeDocument/2006/relationships" name="snap Costs" sheetId="14" state="veryHidden" r:id="rId14"/>
    <sheet xmlns:r="http://schemas.openxmlformats.org/officeDocument/2006/relationships" name="snap Sites" sheetId="15" state="veryHidden" r:id="rId15"/>
    <sheet xmlns:r="http://schemas.openxmlformats.org/officeDocument/2006/relationships" name="snap Summary" sheetId="16" state="veryHidden" r:id="rId16"/>
    <sheet xmlns:r="http://schemas.openxmlformats.org/officeDocument/2006/relationships" name="snap Site CE-ICA" sheetId="17" state="veryHidden" r:id="rId17"/>
    <sheet xmlns:r="http://schemas.openxmlformats.org/officeDocument/2006/relationships" name="manifest" sheetId="18" state="veryHidden" r:id="rId18"/>
  </sheets>
  <definedNames>
    <definedName name="in_rate">Parameters!$B$4</definedName>
    <definedName name="in_poa">Parameters!$B$5</definedName>
    <definedName name="in_ppy">Parameters!$B$6</definedName>
    <definedName name="in_idc_method">Parameters!$B$7</definedName>
    <definedName name="in_timing">Parameters!$B$8</definedName>
    <definedName name="in_cost_dp">Parameters!$B$9</definedName>
    <definedName name="in_out_dp">Parameters!$B$10</definedName>
    <definedName name="calc_crf">Parameters!$B$11</definedName>
    <definedName name="out_status">'Read me'!$B$10</definedName>
    <definedName name="out_changed">'Read me'!$B$11</definedName>
    <definedName name="out_mismatch">'Read me'!$B$12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00%"/>
    <numFmt numFmtId="165" formatCode="0.0000000000"/>
    <numFmt numFmtId="166" formatCode="0.##"/>
    <numFmt numFmtId="167" formatCode="#,##0.000"/>
    <numFmt numFmtId="168" formatCode="0.0000"/>
    <numFmt numFmtId="169" formatCode="&quot;$&quot;#,##0"/>
    <numFmt numFmtId="170" formatCode="&quot;$&quot;#,##0.00"/>
  </numFmts>
  <fonts count="5">
    <font>
      <name val="Calibri"/>
      <family val="2"/>
      <color theme="1"/>
      <sz val="11"/>
      <scheme val="minor"/>
    </font>
    <font>
      <b val="1"/>
      <color rgb="002F4B7C"/>
      <sz val="14"/>
    </font>
    <font>
      <i val="1"/>
      <color rgb="00555555"/>
      <sz val="9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4B7C"/>
        <bgColor rgb="002F4B7C"/>
      </patternFill>
    </fill>
    <fill>
      <patternFill patternType="solid">
        <fgColor rgb="00F8CBAD"/>
        <bgColor rgb="00F8CBAD"/>
      </patternFill>
    </fill>
    <fill>
      <patternFill patternType="solid">
        <fgColor rgb="00EDEDED"/>
        <bgColor rgb="00EDEDED"/>
      </patternFill>
    </fill>
    <fill>
      <patternFill patternType="solid">
        <fgColor rgb="00EEF3FB"/>
        <bgColor rgb="00EEF3FB"/>
      </patternFill>
    </fill>
    <fill>
      <patternFill patternType="solid">
        <fgColor rgb="00FFE08A"/>
        <bgColor rgb="00FFE08A"/>
      </patternFill>
    </fill>
  </fills>
  <borders count="6">
    <border>
      <left/>
      <right/>
      <top/>
      <bottom/>
      <diagonal/>
    </border>
    <border>
      <left style="thin">
        <color rgb="00B7C3D6"/>
      </left>
      <right style="thin">
        <color rgb="00B7C3D6"/>
      </right>
      <top style="thin">
        <color rgb="00B7C3D6"/>
      </top>
      <bottom style="thin">
        <color rgb="00B7C3D6"/>
      </bottom>
    </border>
    <border>
      <left/>
      <right/>
      <top style="thin">
        <color rgb="00B7C3D6"/>
      </top>
      <bottom/>
      <diagonal/>
    </border>
    <border>
      <left/>
      <right style="thin">
        <color rgb="00B7C3D6"/>
      </right>
      <top style="thin">
        <color rgb="00B7C3D6"/>
      </top>
      <bottom/>
      <diagonal/>
    </border>
    <border>
      <left/>
      <right/>
      <top style="thin">
        <color rgb="00B7C3D6"/>
      </top>
      <bottom style="thin">
        <color rgb="00B7C3D6"/>
      </bottom>
      <diagonal/>
    </border>
    <border>
      <left/>
      <right style="thin">
        <color rgb="00B7C3D6"/>
      </right>
      <top style="thin">
        <color rgb="00B7C3D6"/>
      </top>
      <bottom style="thin">
        <color rgb="00B7C3D6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4" fillId="4" borderId="1" pivotButton="0" quotePrefix="0" xfId="0"/>
    <xf numFmtId="3" fontId="0" fillId="4" borderId="1" pivotButton="0" quotePrefix="0" xfId="0"/>
    <xf numFmtId="0" fontId="4" fillId="0" borderId="0" pivotButton="0" quotePrefix="0" xfId="0"/>
    <xf numFmtId="0" fontId="0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6" borderId="1" pivotButton="0" quotePrefix="0" xfId="0"/>
    <xf numFmtId="0" fontId="3" fillId="2" borderId="1" applyAlignment="1" pivotButton="0" quotePrefix="0" xfId="0">
      <alignment horizontal="center" vertical="center" wrapText="1"/>
    </xf>
    <xf numFmtId="164" fontId="0" fillId="3" borderId="1" applyProtection="1" pivotButton="0" quotePrefix="0" xfId="0">
      <protection locked="0" hidden="0"/>
    </xf>
    <xf numFmtId="3" fontId="0" fillId="3" borderId="1" applyProtection="1" pivotButton="0" quotePrefix="0" xfId="0">
      <protection locked="0" hidden="0"/>
    </xf>
    <xf numFmtId="0" fontId="0" fillId="3" borderId="1" applyProtection="1" pivotButton="0" quotePrefix="0" xfId="0">
      <protection locked="0" hidden="0"/>
    </xf>
    <xf numFmtId="165" fontId="4" fillId="4" borderId="1" pivotButton="0" quotePrefix="0" xfId="0"/>
    <xf numFmtId="166" fontId="0" fillId="3" borderId="1" applyProtection="1" pivotButton="0" quotePrefix="0" xfId="0">
      <protection locked="0" hidden="0"/>
    </xf>
    <xf numFmtId="166" fontId="4" fillId="5" borderId="1" applyAlignment="1" pivotButton="0" quotePrefix="0" xfId="0">
      <alignment horizontal="center" vertical="center" wrapText="1"/>
    </xf>
    <xf numFmtId="167" fontId="0" fillId="3" borderId="1" applyProtection="1" pivotButton="0" quotePrefix="0" xfId="0">
      <protection locked="0" hidden="0"/>
    </xf>
    <xf numFmtId="167" fontId="0" fillId="4" borderId="1" pivotButton="0" quotePrefix="0" xfId="0"/>
    <xf numFmtId="168" fontId="0" fillId="3" borderId="1" applyProtection="1" pivotButton="0" quotePrefix="0" xfId="0">
      <protection locked="0" hidden="0"/>
    </xf>
    <xf numFmtId="0" fontId="2" fillId="0" borderId="1" applyAlignment="1" pivotButton="0" quotePrefix="0" xfId="0">
      <alignment horizontal="center" vertical="center" wrapText="1"/>
    </xf>
    <xf numFmtId="0" fontId="2" fillId="0" borderId="1" pivotButton="0" quotePrefix="0" xfId="0"/>
    <xf numFmtId="169" fontId="0" fillId="3" borderId="1" applyProtection="1" pivotButton="0" quotePrefix="0" xfId="0">
      <protection locked="0" hidden="0"/>
    </xf>
    <xf numFmtId="169" fontId="0" fillId="4" borderId="1" pivotButton="0" quotePrefix="0" xfId="0"/>
    <xf numFmtId="170" fontId="0" fillId="4" borderId="1" pivotButton="0" quotePrefix="0" xfId="0"/>
    <xf numFmtId="170" fontId="0" fillId="3" borderId="1" applyProtection="1" pivotButton="0" quotePrefix="0" xfId="0">
      <protection locked="0" hidden="0"/>
    </xf>
    <xf numFmtId="4" fontId="0" fillId="4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FFE08A"/>
          <bgColor rgb="00FFE08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34" customWidth="1" style="8" min="1" max="1"/>
    <col width="70" customWidth="1" style="8" min="2" max="2"/>
  </cols>
  <sheetData>
    <row r="1">
      <c r="A1" s="1" t="inlineStr">
        <is>
          <t>Mixed test: CE/ICA calculator</t>
        </is>
      </c>
    </row>
    <row r="2">
      <c r="A2" s="2" t="inlineStr">
        <is>
          <t>Cost-effectiveness and incremental cost analysis, as live formulas.</t>
        </is>
      </c>
    </row>
    <row r="4">
      <c r="A4" s="3" t="inlineStr">
        <is>
          <t>Study</t>
        </is>
      </c>
      <c r="B4" s="4" t="inlineStr">
        <is>
          <t>Mixed test</t>
        </is>
      </c>
    </row>
    <row r="5">
      <c r="A5" s="3" t="inlineStr">
        <is>
          <t>Generated by</t>
        </is>
      </c>
      <c r="B5" s="4" t="inlineStr">
        <is>
          <t>CEICA 1.0.0 (engine 1)</t>
        </is>
      </c>
    </row>
    <row r="6">
      <c r="A6" s="3" t="inlineStr">
        <is>
          <t>Project digest</t>
        </is>
      </c>
      <c r="B6" s="4" t="inlineStr">
        <is>
          <t>89aea71be748</t>
        </is>
      </c>
    </row>
    <row r="7">
      <c r="A7" s="3" t="inlineStr">
        <is>
          <t>Discount rate</t>
        </is>
      </c>
      <c r="B7" s="4" t="inlineStr">
        <is>
          <t>3 percent</t>
        </is>
      </c>
    </row>
    <row r="8">
      <c r="A8" s="3" t="inlineStr">
        <is>
          <t>Period of analysis</t>
        </is>
      </c>
      <c r="B8" s="4" t="inlineStr">
        <is>
          <t>50 years</t>
        </is>
      </c>
    </row>
    <row r="10">
      <c r="A10" s="3" t="inlineStr">
        <is>
          <t>Status</t>
        </is>
      </c>
      <c r="B10" s="5">
        <f>IF(B11=0,IF(B12=0,"Unchanged: matches the CEICA export","ERROR: results differ from the export although no input changed"),"Edited: "&amp;B11&amp;" input cells changed since the export")</f>
        <v/>
      </c>
    </row>
    <row r="11">
      <c r="A11" s="4" t="inlineStr">
        <is>
          <t>Inputs changed</t>
        </is>
      </c>
      <c r="B11" s="6">
        <f>(SUMPRODUCT(1*(Parameters!B4:B10&lt;&gt;'snap Parameters'!B4:B10))+SUMPRODUCT(1*(Parameters!B14:D14&lt;&gt;'snap Parameters'!B14:D14))+SUMPRODUCT(1*(Benefits!L6:N10&lt;&gt;'snap Benefits'!L6:N10))+SUMPRODUCT(1*(Benefits!F11:K15&lt;&gt;'snap Benefits'!F11:K15))+SUMPRODUCT(1*(Benefits!O16:O20&lt;&gt;'snap Benefits'!O16:O20))+SUMPRODUCT(1*(Costs!D6:G10&lt;&gt;'snap Costs'!D6:G10))+SUMPRODUCT(1*(Costs!L6:L10&lt;&gt;'snap Costs'!L6:L10))+SUMPRODUCT(1*(Sites!C5:C6&lt;&gt;'snap Sites'!C5:C6)))</f>
        <v/>
      </c>
    </row>
    <row r="12">
      <c r="A12" s="4" t="inlineStr">
        <is>
          <t>Results that differ from the export</t>
        </is>
      </c>
      <c r="B12" s="6">
        <f>(SUMPRODUCT(1*(ABS(Summary!G5:G9-'snap Summary'!G5:G9)&gt;1e-06))+SUMPRODUCT(1*(ABS(Summary!L5:L9-'snap Summary'!L5:L9)&gt;0.0001))+SUMPRODUCT(1*('Site CE-ICA'!L6:L8&lt;&gt;'snap Site CE-ICA'!L6:L8))+SUMPRODUCT(1*('Site CE-ICA'!P6:P8&lt;&gt;'snap Site CE-ICA'!P6:P8))+SUMPRODUCT(1*('Site CE-ICA'!L11:L12&lt;&gt;'snap Site CE-ICA'!L11:L12))+SUMPRODUCT(1*('Site CE-ICA'!P11:P12&lt;&gt;'snap Site CE-ICA'!P11:P12)))</f>
        <v/>
      </c>
    </row>
    <row r="14">
      <c r="A14" s="7" t="inlineStr">
        <is>
          <t>How to use</t>
        </is>
      </c>
    </row>
    <row r="15">
      <c r="A15" t="inlineStr">
        <is>
          <t>- Orange cells are inputs; grey cells are formulas. Sheets are protected (password 'ceica') only to prevent accidental edits.</t>
        </is>
      </c>
    </row>
    <row r="16">
      <c r="A16" t="inlineStr">
        <is>
          <t>- Change any orange cell: annualization, site CE/ICA, the watershed plans and the summary update. Changed inputs turn yellow.</t>
        </is>
      </c>
    </row>
    <row r="17">
      <c r="A17" t="inlineStr">
        <is>
          <t>- To add sites, alternatives or years, make the change in CEICA and export again.</t>
        </is>
      </c>
    </row>
    <row r="18">
      <c r="A18" t="inlineStr">
        <is>
          <t>- Import this workbook in CEICA to bring your changes back into the project.</t>
        </is>
      </c>
    </row>
    <row r="20">
      <c r="A20" s="7" t="inlineStr">
        <is>
          <t>Legend</t>
        </is>
      </c>
    </row>
    <row r="21">
      <c r="A21" s="9" t="inlineStr">
        <is>
          <t>Input</t>
        </is>
      </c>
    </row>
    <row r="22">
      <c r="A22" s="10" t="inlineStr">
        <is>
          <t>Formula</t>
        </is>
      </c>
    </row>
    <row r="23">
      <c r="A23" s="11" t="inlineStr">
        <is>
          <t>Changed since export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62" customWidth="1" style="8" min="1" max="1"/>
    <col width="18" customWidth="1" style="8" min="2" max="2"/>
  </cols>
  <sheetData>
    <row r="1">
      <c r="A1" s="1" t="inlineStr">
        <is>
          <t>Parameters</t>
        </is>
      </c>
    </row>
    <row r="2">
      <c r="A2" s="2" t="inlineStr">
        <is>
          <t>Economics and conventions. Orange cells are inputs.</t>
        </is>
      </c>
    </row>
    <row r="3">
      <c r="A3" s="12" t="inlineStr">
        <is>
          <t>Parameter</t>
        </is>
      </c>
      <c r="B3" s="12" t="inlineStr">
        <is>
          <t>Value</t>
        </is>
      </c>
    </row>
    <row r="4">
      <c r="A4" s="4" t="inlineStr">
        <is>
          <t>Discount rate</t>
        </is>
      </c>
      <c r="B4" s="13" t="n">
        <v>0.03</v>
      </c>
    </row>
    <row r="5">
      <c r="A5" s="4" t="inlineStr">
        <is>
          <t>Period of analysis (years)</t>
        </is>
      </c>
      <c r="B5" s="14" t="n">
        <v>50</v>
      </c>
    </row>
    <row r="6">
      <c r="A6" s="4" t="inlineStr">
        <is>
          <t>Interest during construction: periods per year</t>
        </is>
      </c>
      <c r="B6" s="14" t="n">
        <v>12</v>
      </c>
    </row>
    <row r="7">
      <c r="A7" s="4" t="inlineStr">
        <is>
          <t>Interest during construction: spending in each period (END, MIDDLE or START)</t>
        </is>
      </c>
      <c r="B7" s="15" t="inlineStr">
        <is>
          <t>END</t>
        </is>
      </c>
    </row>
    <row r="8">
      <c r="A8" s="4" t="inlineStr">
        <is>
          <t>OMRRR discounting (END_OF_YEAR or MID_YEAR)</t>
        </is>
      </c>
      <c r="B8" s="15" t="inlineStr">
        <is>
          <t>END_OF_YEAR</t>
        </is>
      </c>
    </row>
    <row r="9">
      <c r="A9" s="4" t="inlineStr">
        <is>
          <t>Cost decimals kept for CE/ICA</t>
        </is>
      </c>
      <c r="B9" s="14" t="n">
        <v>2</v>
      </c>
    </row>
    <row r="10">
      <c r="A10" s="4" t="inlineStr">
        <is>
          <t>Output decimals kept for CE/ICA</t>
        </is>
      </c>
      <c r="B10" s="14" t="n">
        <v>3</v>
      </c>
    </row>
    <row r="11">
      <c r="A11" s="3" t="inlineStr">
        <is>
          <t>Capital recovery factor</t>
        </is>
      </c>
      <c r="B11" s="16">
        <f>IF(in_rate=0,1/in_poa,in_rate*(1+in_rate)^in_poa/((1+in_rate)^in_poa-1))</f>
        <v/>
      </c>
    </row>
    <row r="13">
      <c r="A13" s="12" t="inlineStr">
        <is>
          <t>Target years</t>
        </is>
      </c>
      <c r="B13" s="12" t="inlineStr">
        <is>
          <t>Year 1</t>
        </is>
      </c>
      <c r="C13" s="12" t="inlineStr">
        <is>
          <t>Year 2</t>
        </is>
      </c>
      <c r="D13" s="12" t="inlineStr">
        <is>
          <t>Year 3</t>
        </is>
      </c>
    </row>
    <row r="14">
      <c r="A14" s="4" t="inlineStr">
        <is>
          <t>Years (first to last)</t>
        </is>
      </c>
      <c r="B14" s="17" t="n">
        <v>0</v>
      </c>
      <c r="C14" s="17" t="n">
        <v>5</v>
      </c>
      <c r="D14" s="17" t="n">
        <v>50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conditionalFormatting sqref="B4:B10">
    <cfRule type="expression" priority="1" dxfId="0" stopIfTrue="0">
      <formula>B4&lt;&gt;'snap Parameters'!B4</formula>
    </cfRule>
  </conditionalFormatting>
  <conditionalFormatting sqref="B14:D14">
    <cfRule type="expression" priority="2" dxfId="0" stopIfTrue="0">
      <formula>B14&lt;&gt;'snap Parameters'!B14</formula>
    </cfRule>
  </conditionalFormatting>
  <dataValidations count="2">
    <dataValidation sqref="B7" showDropDown="0" showInputMessage="0" showErrorMessage="0" allowBlank="0" type="list">
      <formula1>"END,MIDDLE,START"</formula1>
    </dataValidation>
    <dataValidation sqref="B8" showDropDown="0" showInputMessage="0" showErrorMessage="0" allowBlank="0" type="list">
      <formula1>"END_OF_YEAR,MID_YEAR"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showGridLines="0" workbookViewId="0">
      <pane xSplit="5" ySplit="5" topLeftCell="F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4" customWidth="1" style="8" min="1" max="1"/>
    <col width="9" customWidth="1" style="8" min="2" max="2"/>
    <col width="14" customWidth="1" style="8" min="3" max="3"/>
    <col width="22" customWidth="1" style="8" min="4" max="4"/>
    <col width="18" customWidth="1" style="8" min="5" max="5"/>
    <col width="11" customWidth="1" style="8" min="6" max="6"/>
    <col width="11" customWidth="1" style="8" min="7" max="7"/>
    <col width="11" customWidth="1" style="8" min="8" max="8"/>
    <col width="11" customWidth="1" style="8" min="9" max="9"/>
    <col width="11" customWidth="1" style="8" min="10" max="10"/>
    <col width="11" customWidth="1" style="8" min="11" max="11"/>
    <col width="11" customWidth="1" style="8" min="12" max="12"/>
    <col width="11" customWidth="1" style="8" min="13" max="13"/>
    <col width="11" customWidth="1" style="8" min="14" max="14"/>
    <col width="14" customWidth="1" style="8" min="15" max="15"/>
  </cols>
  <sheetData>
    <row r="1">
      <c r="A1" s="1" t="inlineStr">
        <is>
          <t>Benefits: habitat units by module</t>
        </is>
      </c>
    </row>
    <row r="2">
      <c r="A2" s="2" t="inlineStr">
        <is>
          <t>One row per module, site and alternative; the Summary adds the modules' averages. Habitat: habitat units entered at each target year; Riparian: index x quantity at each target year; Wetland: the average entered directly. Averages are the area under straight lines between target years.</t>
        </is>
      </c>
    </row>
    <row r="4">
      <c r="A4" s="12" t="inlineStr">
        <is>
          <t>Key</t>
        </is>
      </c>
      <c r="B4" s="12" t="inlineStr">
        <is>
          <t>Site</t>
        </is>
      </c>
      <c r="C4" s="12" t="inlineStr">
        <is>
          <t>Alternative</t>
        </is>
      </c>
      <c r="D4" s="12" t="inlineStr">
        <is>
          <t>Module</t>
        </is>
      </c>
      <c r="E4" s="12" t="inlineStr">
        <is>
          <t>Method</t>
        </is>
      </c>
      <c r="F4" s="12" t="inlineStr">
        <is>
          <t>Index (0 to 1)</t>
        </is>
      </c>
      <c r="G4" s="29" t="n"/>
      <c r="H4" s="30" t="n"/>
      <c r="I4" s="12" t="inlineStr">
        <is>
          <t>Quantity</t>
        </is>
      </c>
      <c r="J4" s="29" t="n"/>
      <c r="K4" s="30" t="n"/>
      <c r="L4" s="12" t="inlineStr">
        <is>
          <t>Habitat units (HU)</t>
        </is>
      </c>
      <c r="M4" s="29" t="n"/>
      <c r="N4" s="30" t="n"/>
      <c r="O4" s="12" t="inlineStr">
        <is>
          <t>Average (AAHU)</t>
        </is>
      </c>
    </row>
    <row r="5">
      <c r="A5" s="12" t="inlineStr"/>
      <c r="B5" s="12" t="inlineStr"/>
      <c r="C5" s="12" t="inlineStr"/>
      <c r="D5" s="12" t="inlineStr"/>
      <c r="E5" s="12" t="inlineStr"/>
      <c r="F5" s="18">
        <f>Parameters!$B$14</f>
        <v/>
      </c>
      <c r="G5" s="18">
        <f>Parameters!$C$14</f>
        <v/>
      </c>
      <c r="H5" s="18">
        <f>Parameters!$D$14</f>
        <v/>
      </c>
      <c r="I5" s="18">
        <f>Parameters!$B$14</f>
        <v/>
      </c>
      <c r="J5" s="18">
        <f>Parameters!$C$14</f>
        <v/>
      </c>
      <c r="K5" s="18">
        <f>Parameters!$D$14</f>
        <v/>
      </c>
      <c r="L5" s="18">
        <f>Parameters!$B$14</f>
        <v/>
      </c>
      <c r="M5" s="18">
        <f>Parameters!$C$14</f>
        <v/>
      </c>
      <c r="N5" s="18">
        <f>Parameters!$D$14</f>
        <v/>
      </c>
      <c r="O5" s="12" t="inlineStr"/>
    </row>
    <row r="6">
      <c r="A6" s="10">
        <f>B6&amp;"|"&amp;C6</f>
        <v/>
      </c>
      <c r="B6" s="4" t="inlineStr">
        <is>
          <t>A</t>
        </is>
      </c>
      <c r="C6" s="4" t="inlineStr">
        <is>
          <t>NA</t>
        </is>
      </c>
      <c r="D6" s="4" t="inlineStr">
        <is>
          <t>Habitat</t>
        </is>
      </c>
      <c r="E6" s="4" t="inlineStr">
        <is>
          <t>Habitat units</t>
        </is>
      </c>
      <c r="L6" s="19" t="n">
        <v>1</v>
      </c>
      <c r="M6" s="19" t="n">
        <v>1</v>
      </c>
      <c r="N6" s="19" t="n">
        <v>1</v>
      </c>
      <c r="O6" s="20">
        <f>SUMPRODUCT($M$5:$N$5-$L$5:$M$5,(M6:N6+L6:M6)/2)/($N$5-$L$5)</f>
        <v/>
      </c>
    </row>
    <row r="7">
      <c r="A7" s="10">
        <f>B7&amp;"|"&amp;C7</f>
        <v/>
      </c>
      <c r="B7" s="4" t="inlineStr">
        <is>
          <t>A</t>
        </is>
      </c>
      <c r="C7" s="4" t="inlineStr">
        <is>
          <t>A1</t>
        </is>
      </c>
      <c r="D7" s="4" t="inlineStr">
        <is>
          <t>Habitat</t>
        </is>
      </c>
      <c r="E7" s="4" t="inlineStr">
        <is>
          <t>Habitat units</t>
        </is>
      </c>
      <c r="L7" s="19" t="n">
        <v>1</v>
      </c>
      <c r="M7" s="19" t="n">
        <v>4</v>
      </c>
      <c r="N7" s="19" t="n">
        <v>5</v>
      </c>
      <c r="O7" s="20">
        <f>SUMPRODUCT($M$5:$N$5-$L$5:$M$5,(M7:N7+L7:M7)/2)/($N$5-$L$5)</f>
        <v/>
      </c>
    </row>
    <row r="8">
      <c r="A8" s="10">
        <f>B8&amp;"|"&amp;C8</f>
        <v/>
      </c>
      <c r="B8" s="4" t="inlineStr">
        <is>
          <t>A</t>
        </is>
      </c>
      <c r="C8" s="4" t="inlineStr">
        <is>
          <t>A2</t>
        </is>
      </c>
      <c r="D8" s="4" t="inlineStr">
        <is>
          <t>Habitat</t>
        </is>
      </c>
      <c r="E8" s="4" t="inlineStr">
        <is>
          <t>Habitat units</t>
        </is>
      </c>
      <c r="L8" s="19" t="n">
        <v>1</v>
      </c>
      <c r="M8" s="19" t="n">
        <v>2</v>
      </c>
      <c r="N8" s="19" t="n">
        <v>2.5</v>
      </c>
      <c r="O8" s="20">
        <f>SUMPRODUCT($M$5:$N$5-$L$5:$M$5,(M8:N8+L8:M8)/2)/($N$5-$L$5)</f>
        <v/>
      </c>
    </row>
    <row r="9">
      <c r="A9" s="10">
        <f>B9&amp;"|"&amp;C9</f>
        <v/>
      </c>
      <c r="B9" s="4" t="inlineStr">
        <is>
          <t>B</t>
        </is>
      </c>
      <c r="C9" s="4" t="inlineStr">
        <is>
          <t>NA</t>
        </is>
      </c>
      <c r="D9" s="4" t="inlineStr">
        <is>
          <t>Habitat</t>
        </is>
      </c>
      <c r="E9" s="4" t="inlineStr">
        <is>
          <t>Habitat units</t>
        </is>
      </c>
      <c r="L9" s="19" t="n">
        <v>2</v>
      </c>
      <c r="M9" s="19" t="n">
        <v>2</v>
      </c>
      <c r="N9" s="19" t="n">
        <v>2</v>
      </c>
      <c r="O9" s="20">
        <f>SUMPRODUCT($M$5:$N$5-$L$5:$M$5,(M9:N9+L9:M9)/2)/($N$5-$L$5)</f>
        <v/>
      </c>
    </row>
    <row r="10">
      <c r="A10" s="10">
        <f>B10&amp;"|"&amp;C10</f>
        <v/>
      </c>
      <c r="B10" s="4" t="inlineStr">
        <is>
          <t>B</t>
        </is>
      </c>
      <c r="C10" s="4" t="inlineStr">
        <is>
          <t>B1</t>
        </is>
      </c>
      <c r="D10" s="4" t="inlineStr">
        <is>
          <t>Habitat</t>
        </is>
      </c>
      <c r="E10" s="4" t="inlineStr">
        <is>
          <t>Habitat units</t>
        </is>
      </c>
      <c r="L10" s="19" t="n">
        <v>2</v>
      </c>
      <c r="M10" s="19" t="n">
        <v>5</v>
      </c>
      <c r="N10" s="19" t="n">
        <v>6</v>
      </c>
      <c r="O10" s="20">
        <f>SUMPRODUCT($M$5:$N$5-$L$5:$M$5,(M10:N10+L10:M10)/2)/($N$5-$L$5)</f>
        <v/>
      </c>
    </row>
    <row r="11">
      <c r="A11" s="10">
        <f>B11&amp;"|"&amp;C11</f>
        <v/>
      </c>
      <c r="B11" s="4" t="inlineStr">
        <is>
          <t>A</t>
        </is>
      </c>
      <c r="C11" s="4" t="inlineStr">
        <is>
          <t>NA</t>
        </is>
      </c>
      <c r="D11" s="4" t="inlineStr">
        <is>
          <t>Riparian</t>
        </is>
      </c>
      <c r="E11" s="4" t="inlineStr">
        <is>
          <t>Index x quantity</t>
        </is>
      </c>
      <c r="F11" s="21" t="n">
        <v>0.2</v>
      </c>
      <c r="G11" s="21" t="n">
        <v>0.2</v>
      </c>
      <c r="H11" s="21" t="n">
        <v>0.2</v>
      </c>
      <c r="I11" s="19" t="n">
        <v>3</v>
      </c>
      <c r="J11" s="19" t="n">
        <v>3</v>
      </c>
      <c r="K11" s="19" t="n">
        <v>3</v>
      </c>
      <c r="L11" s="20">
        <f>F11*I11</f>
        <v/>
      </c>
      <c r="M11" s="20">
        <f>G11*J11</f>
        <v/>
      </c>
      <c r="N11" s="20">
        <f>H11*K11</f>
        <v/>
      </c>
      <c r="O11" s="20">
        <f>SUMPRODUCT($M$5:$N$5-$L$5:$M$5,(M11:N11+L11:M11)/2)/($N$5-$L$5)</f>
        <v/>
      </c>
    </row>
    <row r="12">
      <c r="A12" s="10">
        <f>B12&amp;"|"&amp;C12</f>
        <v/>
      </c>
      <c r="B12" s="4" t="inlineStr">
        <is>
          <t>A</t>
        </is>
      </c>
      <c r="C12" s="4" t="inlineStr">
        <is>
          <t>A1</t>
        </is>
      </c>
      <c r="D12" s="4" t="inlineStr">
        <is>
          <t>Riparian</t>
        </is>
      </c>
      <c r="E12" s="4" t="inlineStr">
        <is>
          <t>Index x quantity</t>
        </is>
      </c>
      <c r="F12" s="21" t="n">
        <v>0.2</v>
      </c>
      <c r="G12" s="21" t="n">
        <v>0.5</v>
      </c>
      <c r="H12" s="21" t="n">
        <v>0.7</v>
      </c>
      <c r="I12" s="19" t="n">
        <v>3</v>
      </c>
      <c r="J12" s="19" t="n">
        <v>3.5</v>
      </c>
      <c r="K12" s="19" t="n">
        <v>3.5</v>
      </c>
      <c r="L12" s="20">
        <f>F12*I12</f>
        <v/>
      </c>
      <c r="M12" s="20">
        <f>G12*J12</f>
        <v/>
      </c>
      <c r="N12" s="20">
        <f>H12*K12</f>
        <v/>
      </c>
      <c r="O12" s="20">
        <f>SUMPRODUCT($M$5:$N$5-$L$5:$M$5,(M12:N12+L12:M12)/2)/($N$5-$L$5)</f>
        <v/>
      </c>
    </row>
    <row r="13">
      <c r="A13" s="10">
        <f>B13&amp;"|"&amp;C13</f>
        <v/>
      </c>
      <c r="B13" s="4" t="inlineStr">
        <is>
          <t>A</t>
        </is>
      </c>
      <c r="C13" s="4" t="inlineStr">
        <is>
          <t>A2</t>
        </is>
      </c>
      <c r="D13" s="4" t="inlineStr">
        <is>
          <t>Riparian</t>
        </is>
      </c>
      <c r="E13" s="4" t="inlineStr">
        <is>
          <t>Index x quantity</t>
        </is>
      </c>
      <c r="F13" s="21" t="n">
        <v>0.2</v>
      </c>
      <c r="G13" s="21" t="n">
        <v>0.6</v>
      </c>
      <c r="H13" s="21" t="n">
        <v>0.8</v>
      </c>
      <c r="I13" s="19" t="n">
        <v>3</v>
      </c>
      <c r="J13" s="19" t="n">
        <v>3</v>
      </c>
      <c r="K13" s="19" t="n">
        <v>3</v>
      </c>
      <c r="L13" s="20">
        <f>F13*I13</f>
        <v/>
      </c>
      <c r="M13" s="20">
        <f>G13*J13</f>
        <v/>
      </c>
      <c r="N13" s="20">
        <f>H13*K13</f>
        <v/>
      </c>
      <c r="O13" s="20">
        <f>SUMPRODUCT($M$5:$N$5-$L$5:$M$5,(M13:N13+L13:M13)/2)/($N$5-$L$5)</f>
        <v/>
      </c>
    </row>
    <row r="14">
      <c r="A14" s="10">
        <f>B14&amp;"|"&amp;C14</f>
        <v/>
      </c>
      <c r="B14" s="4" t="inlineStr">
        <is>
          <t>B</t>
        </is>
      </c>
      <c r="C14" s="4" t="inlineStr">
        <is>
          <t>NA</t>
        </is>
      </c>
      <c r="D14" s="4" t="inlineStr">
        <is>
          <t>Riparian</t>
        </is>
      </c>
      <c r="E14" s="4" t="inlineStr">
        <is>
          <t>Index x quantity</t>
        </is>
      </c>
      <c r="F14" s="21" t="n">
        <v>0.4</v>
      </c>
      <c r="G14" s="21" t="n">
        <v>0.4</v>
      </c>
      <c r="H14" s="21" t="n">
        <v>0.4</v>
      </c>
      <c r="I14" s="19" t="n">
        <v>1</v>
      </c>
      <c r="J14" s="19" t="n">
        <v>1</v>
      </c>
      <c r="K14" s="19" t="n">
        <v>1</v>
      </c>
      <c r="L14" s="20">
        <f>F14*I14</f>
        <v/>
      </c>
      <c r="M14" s="20">
        <f>G14*J14</f>
        <v/>
      </c>
      <c r="N14" s="20">
        <f>H14*K14</f>
        <v/>
      </c>
      <c r="O14" s="20">
        <f>SUMPRODUCT($M$5:$N$5-$L$5:$M$5,(M14:N14+L14:M14)/2)/($N$5-$L$5)</f>
        <v/>
      </c>
    </row>
    <row r="15">
      <c r="A15" s="10">
        <f>B15&amp;"|"&amp;C15</f>
        <v/>
      </c>
      <c r="B15" s="4" t="inlineStr">
        <is>
          <t>B</t>
        </is>
      </c>
      <c r="C15" s="4" t="inlineStr">
        <is>
          <t>B1</t>
        </is>
      </c>
      <c r="D15" s="4" t="inlineStr">
        <is>
          <t>Riparian</t>
        </is>
      </c>
      <c r="E15" s="4" t="inlineStr">
        <is>
          <t>Index x quantity</t>
        </is>
      </c>
      <c r="F15" s="21" t="n">
        <v>0.4</v>
      </c>
      <c r="G15" s="21" t="n">
        <v>0.4</v>
      </c>
      <c r="H15" s="21" t="n">
        <v>0.9</v>
      </c>
      <c r="I15" s="19" t="n">
        <v>1</v>
      </c>
      <c r="J15" s="19" t="n">
        <v>1</v>
      </c>
      <c r="K15" s="19" t="n">
        <v>2</v>
      </c>
      <c r="L15" s="20">
        <f>F15*I15</f>
        <v/>
      </c>
      <c r="M15" s="20">
        <f>G15*J15</f>
        <v/>
      </c>
      <c r="N15" s="20">
        <f>H15*K15</f>
        <v/>
      </c>
      <c r="O15" s="20">
        <f>SUMPRODUCT($M$5:$N$5-$L$5:$M$5,(M15:N15+L15:M15)/2)/($N$5-$L$5)</f>
        <v/>
      </c>
    </row>
    <row r="16">
      <c r="A16" s="10">
        <f>B16&amp;"|"&amp;C16</f>
        <v/>
      </c>
      <c r="B16" s="4" t="inlineStr">
        <is>
          <t>A</t>
        </is>
      </c>
      <c r="C16" s="4" t="inlineStr">
        <is>
          <t>NA</t>
        </is>
      </c>
      <c r="D16" s="4" t="inlineStr">
        <is>
          <t>Wetland</t>
        </is>
      </c>
      <c r="E16" s="4" t="inlineStr">
        <is>
          <t>Average annual value</t>
        </is>
      </c>
      <c r="O16" s="19" t="n">
        <v>0</v>
      </c>
    </row>
    <row r="17">
      <c r="A17" s="10">
        <f>B17&amp;"|"&amp;C17</f>
        <v/>
      </c>
      <c r="B17" s="4" t="inlineStr">
        <is>
          <t>A</t>
        </is>
      </c>
      <c r="C17" s="4" t="inlineStr">
        <is>
          <t>A1</t>
        </is>
      </c>
      <c r="D17" s="4" t="inlineStr">
        <is>
          <t>Wetland</t>
        </is>
      </c>
      <c r="E17" s="4" t="inlineStr">
        <is>
          <t>Average annual value</t>
        </is>
      </c>
      <c r="O17" s="19" t="n">
        <v>1.5</v>
      </c>
    </row>
    <row r="18">
      <c r="A18" s="10">
        <f>B18&amp;"|"&amp;C18</f>
        <v/>
      </c>
      <c r="B18" s="4" t="inlineStr">
        <is>
          <t>A</t>
        </is>
      </c>
      <c r="C18" s="4" t="inlineStr">
        <is>
          <t>A2</t>
        </is>
      </c>
      <c r="D18" s="4" t="inlineStr">
        <is>
          <t>Wetland</t>
        </is>
      </c>
      <c r="E18" s="4" t="inlineStr">
        <is>
          <t>Average annual value</t>
        </is>
      </c>
      <c r="O18" s="19" t="n">
        <v>0.5</v>
      </c>
    </row>
    <row r="19">
      <c r="A19" s="10">
        <f>B19&amp;"|"&amp;C19</f>
        <v/>
      </c>
      <c r="B19" s="4" t="inlineStr">
        <is>
          <t>B</t>
        </is>
      </c>
      <c r="C19" s="4" t="inlineStr">
        <is>
          <t>NA</t>
        </is>
      </c>
      <c r="D19" s="4" t="inlineStr">
        <is>
          <t>Wetland</t>
        </is>
      </c>
      <c r="E19" s="4" t="inlineStr">
        <is>
          <t>Average annual value</t>
        </is>
      </c>
      <c r="O19" s="19" t="n">
        <v>0</v>
      </c>
    </row>
    <row r="20">
      <c r="A20" s="10">
        <f>B20&amp;"|"&amp;C20</f>
        <v/>
      </c>
      <c r="B20" s="4" t="inlineStr">
        <is>
          <t>B</t>
        </is>
      </c>
      <c r="C20" s="4" t="inlineStr">
        <is>
          <t>B1</t>
        </is>
      </c>
      <c r="D20" s="4" t="inlineStr">
        <is>
          <t>Wetland</t>
        </is>
      </c>
      <c r="E20" s="4" t="inlineStr">
        <is>
          <t>Average annual value</t>
        </is>
      </c>
      <c r="O20" s="19" t="n">
        <v>2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mergeCells count="3">
    <mergeCell ref="L4:N4"/>
    <mergeCell ref="F4:H4"/>
    <mergeCell ref="I4:K4"/>
  </mergeCells>
  <conditionalFormatting sqref="L6:N10">
    <cfRule type="expression" priority="1" dxfId="0" stopIfTrue="0">
      <formula>L6&lt;&gt;'snap Benefits'!L6</formula>
    </cfRule>
  </conditionalFormatting>
  <conditionalFormatting sqref="F11:K15">
    <cfRule type="expression" priority="2" dxfId="0" stopIfTrue="0">
      <formula>F11&lt;&gt;'snap Benefits'!F11</formula>
    </cfRule>
  </conditionalFormatting>
  <conditionalFormatting sqref="O16:O20">
    <cfRule type="expression" priority="3" dxfId="0" stopIfTrue="0">
      <formula>O16&lt;&gt;'snap Benefits'!O16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4" customWidth="1" style="8" min="1" max="1"/>
    <col width="9" customWidth="1" style="8" min="2" max="2"/>
    <col width="14" customWidth="1" style="8" min="3" max="3"/>
    <col width="14" customWidth="1" style="8" min="4" max="4"/>
    <col width="14" customWidth="1" style="8" min="5" max="5"/>
    <col width="14" customWidth="1" style="8" min="6" max="6"/>
    <col width="12" customWidth="1" style="8" min="7" max="7"/>
    <col width="14" customWidth="1" style="8" min="8" max="8"/>
    <col width="15" customWidth="1" style="8" min="9" max="9"/>
    <col width="15" customWidth="1" style="8" min="10" max="10"/>
    <col width="15" customWidth="1" style="8" min="11" max="11"/>
    <col width="15" customWidth="1" style="8" min="12" max="12"/>
    <col width="15" customWidth="1" style="8" min="13" max="13"/>
    <col width="13" customWidth="1" style="8" min="14" max="14"/>
    <col width="13" customWidth="1" style="8" min="15" max="15"/>
    <col width="13" customWidth="1" style="8" min="16" max="16"/>
    <col width="13" customWidth="1" style="8" min="17" max="17"/>
    <col width="13" customWidth="1" style="8" min="18" max="18"/>
  </cols>
  <sheetData>
    <row r="1">
      <c r="A1" s="1" t="inlineStr">
        <is>
          <t>Costs: first costs, interest during construction and OMRRR</t>
        </is>
      </c>
    </row>
    <row r="2">
      <c r="A2" s="2" t="inlineStr">
        <is>
          <t>First costs are base-year lump sums. Interest during construction accrues on the categories marked *, spent evenly over the construction months.</t>
        </is>
      </c>
    </row>
    <row r="3">
      <c r="N3" s="12" t="inlineStr">
        <is>
          <t>Average annual cost by part</t>
        </is>
      </c>
      <c r="O3" s="29" t="n"/>
      <c r="P3" s="29" t="n"/>
      <c r="Q3" s="29" t="n"/>
      <c r="R3" s="30" t="n"/>
    </row>
    <row r="4">
      <c r="A4" s="12" t="inlineStr">
        <is>
          <t>Key</t>
        </is>
      </c>
      <c r="B4" s="12" t="inlineStr">
        <is>
          <t>Site</t>
        </is>
      </c>
      <c r="C4" s="12" t="inlineStr">
        <is>
          <t>Alternative</t>
        </is>
      </c>
      <c r="D4" s="12" t="inlineStr">
        <is>
          <t>Construction *</t>
        </is>
      </c>
      <c r="E4" s="12" t="inlineStr">
        <is>
          <t>Monitoring</t>
        </is>
      </c>
      <c r="F4" s="12" t="inlineStr">
        <is>
          <t>Adaptive management</t>
        </is>
      </c>
      <c r="G4" s="12" t="inlineStr">
        <is>
          <t>Construction months</t>
        </is>
      </c>
      <c r="H4" s="12" t="inlineStr">
        <is>
          <t>IDC base</t>
        </is>
      </c>
      <c r="I4" s="12" t="inlineStr">
        <is>
          <t>Interest during construction</t>
        </is>
      </c>
      <c r="J4" s="12" t="inlineStr">
        <is>
          <t>OMRRR present value</t>
        </is>
      </c>
      <c r="K4" s="12" t="inlineStr">
        <is>
          <t>Total present value</t>
        </is>
      </c>
      <c r="L4" s="12" t="inlineStr">
        <is>
          <t>Average annual cost entered</t>
        </is>
      </c>
      <c r="M4" s="12" t="inlineStr">
        <is>
          <t>Average annual cost</t>
        </is>
      </c>
      <c r="N4" s="12" t="inlineStr">
        <is>
          <t>Construction</t>
        </is>
      </c>
      <c r="O4" s="12" t="inlineStr">
        <is>
          <t>Monitoring</t>
        </is>
      </c>
      <c r="P4" s="12" t="inlineStr">
        <is>
          <t>Adaptive management</t>
        </is>
      </c>
      <c r="Q4" s="12" t="inlineStr">
        <is>
          <t>Interest during construction</t>
        </is>
      </c>
      <c r="R4" s="12" t="inlineStr">
        <is>
          <t>OMRRR</t>
        </is>
      </c>
    </row>
    <row r="5">
      <c r="D5" s="22" t="inlineStr">
        <is>
          <t>construction</t>
        </is>
      </c>
      <c r="E5" s="22" t="inlineStr">
        <is>
          <t>monitoring</t>
        </is>
      </c>
      <c r="F5" s="22" t="inlineStr">
        <is>
          <t>adaptive_management</t>
        </is>
      </c>
      <c r="G5" s="23" t="inlineStr"/>
      <c r="H5" s="23" t="inlineStr"/>
      <c r="I5" s="23" t="inlineStr"/>
      <c r="J5" s="23" t="inlineStr"/>
      <c r="K5" s="23" t="inlineStr"/>
      <c r="L5" s="23" t="inlineStr"/>
      <c r="M5" s="23" t="inlineStr"/>
    </row>
    <row r="6">
      <c r="A6" s="10">
        <f>B6&amp;"|"&amp;C6</f>
        <v/>
      </c>
      <c r="B6" s="4" t="inlineStr">
        <is>
          <t>A</t>
        </is>
      </c>
      <c r="C6" s="4" t="inlineStr">
        <is>
          <t>NA</t>
        </is>
      </c>
      <c r="D6" s="24" t="n">
        <v>0</v>
      </c>
      <c r="E6" s="24" t="n"/>
      <c r="F6" s="24" t="n"/>
      <c r="G6" s="17" t="n">
        <v>4</v>
      </c>
      <c r="H6" s="25">
        <f>D6</f>
        <v/>
      </c>
      <c r="I6" s="26">
        <f>IF(OR(G6=0,in_rate=0,H6=0),0,H6/G6*(IF(in_idc_method="START",1+((1+in_rate)^(1/in_ppy)-1),IF(in_idc_method="MIDDLE",1+((1+in_rate)^(1/in_ppy)-1)/2,1))*((1+in_rate)^(G6/in_ppy)-1)/((1+in_rate)^(1/in_ppy)-1)-G6))</f>
        <v/>
      </c>
      <c r="J6" s="26">
        <f>SUMIFS(OMRRR!$S$5:$S$5,OMRRR!$A$5:$A$5,A6)</f>
        <v/>
      </c>
      <c r="K6" s="26">
        <f>SUM(D6:F6)+I6+J6</f>
        <v/>
      </c>
      <c r="L6" s="27" t="n"/>
      <c r="M6" s="26">
        <f>IF(ISNUMBER(L6),L6,calc_crf*K6)</f>
        <v/>
      </c>
      <c r="N6" s="26">
        <f>calc_crf*D6</f>
        <v/>
      </c>
      <c r="O6" s="26">
        <f>calc_crf*E6</f>
        <v/>
      </c>
      <c r="P6" s="26">
        <f>calc_crf*F6</f>
        <v/>
      </c>
      <c r="Q6" s="26">
        <f>calc_crf*I6</f>
        <v/>
      </c>
      <c r="R6" s="26">
        <f>calc_crf*J6</f>
        <v/>
      </c>
    </row>
    <row r="7">
      <c r="A7" s="10">
        <f>B7&amp;"|"&amp;C7</f>
        <v/>
      </c>
      <c r="B7" s="4" t="inlineStr">
        <is>
          <t>A</t>
        </is>
      </c>
      <c r="C7" s="4" t="inlineStr">
        <is>
          <t>A1</t>
        </is>
      </c>
      <c r="D7" s="24" t="inlineStr">
        <is>
          <t>lots</t>
        </is>
      </c>
      <c r="E7" s="24" t="n"/>
      <c r="F7" s="24" t="n"/>
      <c r="G7" s="17" t="n">
        <v>4</v>
      </c>
      <c r="H7" s="25">
        <f>D7</f>
        <v/>
      </c>
      <c r="I7" s="26">
        <f>IF(OR(G7=0,in_rate=0,H7=0),0,H7/G7*(IF(in_idc_method="START",1+((1+in_rate)^(1/in_ppy)-1),IF(in_idc_method="MIDDLE",1+((1+in_rate)^(1/in_ppy)-1)/2,1))*((1+in_rate)^(G7/in_ppy)-1)/((1+in_rate)^(1/in_ppy)-1)-G7))</f>
        <v/>
      </c>
      <c r="J7" s="26">
        <f>SUMIFS(OMRRR!$S$5:$S$5,OMRRR!$A$5:$A$5,A7)</f>
        <v/>
      </c>
      <c r="K7" s="26">
        <f>SUM(D7:F7)+I7+J7</f>
        <v/>
      </c>
      <c r="L7" s="27" t="n"/>
      <c r="M7" s="26">
        <f>IF(ISNUMBER(L7),L7,calc_crf*K7)</f>
        <v/>
      </c>
      <c r="N7" s="26">
        <f>calc_crf*D7</f>
        <v/>
      </c>
      <c r="O7" s="26">
        <f>calc_crf*E7</f>
        <v/>
      </c>
      <c r="P7" s="26">
        <f>calc_crf*F7</f>
        <v/>
      </c>
      <c r="Q7" s="26">
        <f>calc_crf*I7</f>
        <v/>
      </c>
      <c r="R7" s="26">
        <f>calc_crf*J7</f>
        <v/>
      </c>
    </row>
    <row r="8">
      <c r="A8" s="10">
        <f>B8&amp;"|"&amp;C8</f>
        <v/>
      </c>
      <c r="B8" s="4" t="inlineStr">
        <is>
          <t>A</t>
        </is>
      </c>
      <c r="C8" s="4" t="inlineStr">
        <is>
          <t>A2</t>
        </is>
      </c>
      <c r="D8" s="24" t="n">
        <v>180000</v>
      </c>
      <c r="E8" s="24" t="n"/>
      <c r="F8" s="24" t="n"/>
      <c r="G8" s="17" t="n">
        <v>4</v>
      </c>
      <c r="H8" s="25">
        <f>D8</f>
        <v/>
      </c>
      <c r="I8" s="26">
        <f>IF(OR(G8=0,in_rate=0,H8=0),0,H8/G8*(IF(in_idc_method="START",1+((1+in_rate)^(1/in_ppy)-1),IF(in_idc_method="MIDDLE",1+((1+in_rate)^(1/in_ppy)-1)/2,1))*((1+in_rate)^(G8/in_ppy)-1)/((1+in_rate)^(1/in_ppy)-1)-G8))</f>
        <v/>
      </c>
      <c r="J8" s="26">
        <f>SUMIFS(OMRRR!$S$5:$S$5,OMRRR!$A$5:$A$5,A8)</f>
        <v/>
      </c>
      <c r="K8" s="26">
        <f>SUM(D8:F8)+I8+J8</f>
        <v/>
      </c>
      <c r="L8" s="27" t="n"/>
      <c r="M8" s="26">
        <f>IF(ISNUMBER(L8),L8,calc_crf*K8)</f>
        <v/>
      </c>
      <c r="N8" s="26">
        <f>calc_crf*D8</f>
        <v/>
      </c>
      <c r="O8" s="26">
        <f>calc_crf*E8</f>
        <v/>
      </c>
      <c r="P8" s="26">
        <f>calc_crf*F8</f>
        <v/>
      </c>
      <c r="Q8" s="26">
        <f>calc_crf*I8</f>
        <v/>
      </c>
      <c r="R8" s="26">
        <f>calc_crf*J8</f>
        <v/>
      </c>
    </row>
    <row r="9">
      <c r="A9" s="10">
        <f>B9&amp;"|"&amp;C9</f>
        <v/>
      </c>
      <c r="B9" s="4" t="inlineStr">
        <is>
          <t>B</t>
        </is>
      </c>
      <c r="C9" s="4" t="inlineStr">
        <is>
          <t>NA</t>
        </is>
      </c>
      <c r="D9" s="24" t="n">
        <v>0</v>
      </c>
      <c r="E9" s="24" t="n"/>
      <c r="F9" s="24" t="n"/>
      <c r="G9" s="17" t="n">
        <v>4</v>
      </c>
      <c r="H9" s="25">
        <f>D9</f>
        <v/>
      </c>
      <c r="I9" s="26">
        <f>IF(OR(G9=0,in_rate=0,H9=0),0,H9/G9*(IF(in_idc_method="START",1+((1+in_rate)^(1/in_ppy)-1),IF(in_idc_method="MIDDLE",1+((1+in_rate)^(1/in_ppy)-1)/2,1))*((1+in_rate)^(G9/in_ppy)-1)/((1+in_rate)^(1/in_ppy)-1)-G9))</f>
        <v/>
      </c>
      <c r="J9" s="26">
        <f>SUMIFS(OMRRR!$S$5:$S$5,OMRRR!$A$5:$A$5,A9)</f>
        <v/>
      </c>
      <c r="K9" s="26">
        <f>SUM(D9:F9)+I9+J9</f>
        <v/>
      </c>
      <c r="L9" s="27" t="n"/>
      <c r="M9" s="26">
        <f>IF(ISNUMBER(L9),L9,calc_crf*K9)</f>
        <v/>
      </c>
      <c r="N9" s="26">
        <f>calc_crf*D9</f>
        <v/>
      </c>
      <c r="O9" s="26">
        <f>calc_crf*E9</f>
        <v/>
      </c>
      <c r="P9" s="26">
        <f>calc_crf*F9</f>
        <v/>
      </c>
      <c r="Q9" s="26">
        <f>calc_crf*I9</f>
        <v/>
      </c>
      <c r="R9" s="26">
        <f>calc_crf*J9</f>
        <v/>
      </c>
    </row>
    <row r="10">
      <c r="A10" s="10">
        <f>B10&amp;"|"&amp;C10</f>
        <v/>
      </c>
      <c r="B10" s="4" t="inlineStr">
        <is>
          <t>B</t>
        </is>
      </c>
      <c r="C10" s="4" t="inlineStr">
        <is>
          <t>B1</t>
        </is>
      </c>
      <c r="D10" s="24" t="n">
        <v>300000</v>
      </c>
      <c r="E10" s="24" t="n"/>
      <c r="F10" s="24" t="n"/>
      <c r="G10" s="17" t="n">
        <v>4</v>
      </c>
      <c r="H10" s="25">
        <f>D10</f>
        <v/>
      </c>
      <c r="I10" s="26">
        <f>IF(OR(G10=0,in_rate=0,H10=0),0,H10/G10*(IF(in_idc_method="START",1+((1+in_rate)^(1/in_ppy)-1),IF(in_idc_method="MIDDLE",1+((1+in_rate)^(1/in_ppy)-1)/2,1))*((1+in_rate)^(G10/in_ppy)-1)/((1+in_rate)^(1/in_ppy)-1)-G10))</f>
        <v/>
      </c>
      <c r="J10" s="26">
        <f>SUMIFS(OMRRR!$S$5:$S$5,OMRRR!$A$5:$A$5,A10)</f>
        <v/>
      </c>
      <c r="K10" s="26">
        <f>SUM(D10:F10)+I10+J10</f>
        <v/>
      </c>
      <c r="L10" s="27" t="n"/>
      <c r="M10" s="26">
        <f>IF(ISNUMBER(L10),L10,calc_crf*K10)</f>
        <v/>
      </c>
      <c r="N10" s="26">
        <f>calc_crf*D10</f>
        <v/>
      </c>
      <c r="O10" s="26">
        <f>calc_crf*E10</f>
        <v/>
      </c>
      <c r="P10" s="26">
        <f>calc_crf*F10</f>
        <v/>
      </c>
      <c r="Q10" s="26">
        <f>calc_crf*I10</f>
        <v/>
      </c>
      <c r="R10" s="26">
        <f>calc_crf*J10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mergeCells count="1">
    <mergeCell ref="N3:R3"/>
  </mergeCells>
  <conditionalFormatting sqref="D6:G10">
    <cfRule type="expression" priority="1" dxfId="0" stopIfTrue="0">
      <formula>D6&lt;&gt;'snap Costs'!D6</formula>
    </cfRule>
  </conditionalFormatting>
  <conditionalFormatting sqref="L6:L10">
    <cfRule type="expression" priority="2" dxfId="0" stopIfTrue="0">
      <formula>L6&lt;&gt;'snap Costs'!L6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"/>
  <sheetViews>
    <sheetView showGridLines="0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4" customWidth="1" style="8" min="1" max="1"/>
    <col width="9" customWidth="1" style="8" min="2" max="2"/>
    <col width="14" customWidth="1" style="8" min="3" max="3"/>
    <col width="26" customWidth="1" style="8" min="4" max="4"/>
    <col width="9" customWidth="1" style="8" min="5" max="5"/>
    <col width="12" customWidth="1" style="8" min="6" max="6"/>
    <col width="9" customWidth="1" style="8" min="7" max="7"/>
    <col width="13" customWidth="1" style="8" min="8" max="8"/>
    <col width="10" customWidth="1" style="8" min="9" max="9"/>
    <col width="11" customWidth="1" style="8" min="10" max="10"/>
    <col width="9" customWidth="1" style="8" min="11" max="11"/>
    <col width="8" customWidth="1" style="8" min="12" max="12"/>
    <col width="8" customWidth="1" style="8" min="13" max="13"/>
    <col width="13" customWidth="1" style="8" min="14" max="14"/>
    <col width="7" customWidth="1" style="8" min="15" max="15"/>
    <col width="7" customWidth="1" style="8" min="16" max="16"/>
    <col width="11" customWidth="1" style="8" min="17" max="17"/>
    <col width="14" customWidth="1" style="8" min="18" max="18"/>
    <col width="14" customWidth="1" style="8" min="19" max="19"/>
  </cols>
  <sheetData>
    <row r="1">
      <c r="A1" s="1" t="inlineStr">
        <is>
          <t>OMRRR: recurring operation, maintenance, repair, replacement and rehabilitation</t>
        </is>
      </c>
    </row>
    <row r="2">
      <c r="A2" s="2" t="inlineStr">
        <is>
          <t>Each item costs the amount per occurrence every N years from the first year to the last (blank: every N years through the period of analysis). Basis: FIXED amount, PERCENT of a first-cost category, or RATE x quantity.</t>
        </is>
      </c>
    </row>
    <row r="4">
      <c r="A4" s="12" t="inlineStr">
        <is>
          <t>Key</t>
        </is>
      </c>
      <c r="B4" s="12" t="inlineStr">
        <is>
          <t>Site</t>
        </is>
      </c>
      <c r="C4" s="12" t="inlineStr">
        <is>
          <t>Alternative</t>
        </is>
      </c>
      <c r="D4" s="12" t="inlineStr">
        <is>
          <t>Item</t>
        </is>
      </c>
      <c r="E4" s="12" t="inlineStr">
        <is>
          <t>Basis</t>
        </is>
      </c>
      <c r="F4" s="12" t="inlineStr">
        <is>
          <t>Amount</t>
        </is>
      </c>
      <c r="G4" s="12" t="inlineStr">
        <is>
          <t>Percent</t>
        </is>
      </c>
      <c r="H4" s="12" t="inlineStr">
        <is>
          <t>Category</t>
        </is>
      </c>
      <c r="I4" s="12" t="inlineStr">
        <is>
          <t>Unit rate</t>
        </is>
      </c>
      <c r="J4" s="12" t="inlineStr">
        <is>
          <t>Quantity</t>
        </is>
      </c>
      <c r="K4" s="12" t="inlineStr">
        <is>
          <t>Every N years</t>
        </is>
      </c>
      <c r="L4" s="12" t="inlineStr">
        <is>
          <t>First year</t>
        </is>
      </c>
      <c r="M4" s="12" t="inlineStr">
        <is>
          <t>Last year</t>
        </is>
      </c>
      <c r="N4" s="12" t="inlineStr">
        <is>
          <t>Amount per occurrence</t>
        </is>
      </c>
      <c r="O4" s="12" t="inlineStr">
        <is>
          <t>First</t>
        </is>
      </c>
      <c r="P4" s="12" t="inlineStr">
        <is>
          <t>Last</t>
        </is>
      </c>
      <c r="Q4" s="12" t="inlineStr">
        <is>
          <t>Occurrences</t>
        </is>
      </c>
      <c r="R4" s="12" t="inlineStr">
        <is>
          <t>Present value, end of year</t>
        </is>
      </c>
      <c r="S4" s="12" t="inlineStr">
        <is>
          <t>Present value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4" customWidth="1" style="8" min="1" max="1"/>
    <col width="9" customWidth="1" style="8" min="2" max="2"/>
    <col width="14" customWidth="1" style="8" min="3" max="3"/>
    <col width="26" customWidth="1" style="8" min="4" max="4"/>
    <col width="8" customWidth="1" style="8" min="5" max="5"/>
    <col width="13" customWidth="1" style="8" min="6" max="6"/>
    <col width="12" customWidth="1" style="8" min="7" max="7"/>
    <col width="14" customWidth="1" style="8" min="8" max="8"/>
    <col width="14" customWidth="1" style="8" min="9" max="9"/>
    <col width="14" customWidth="1" style="8" min="10" max="10"/>
    <col width="14" customWidth="1" style="8" min="11" max="11"/>
    <col width="14" customWidth="1" style="8" min="12" max="12"/>
    <col width="14" customWidth="1" style="8" min="13" max="13"/>
    <col width="13" customWidth="1" style="8" min="14" max="14"/>
  </cols>
  <sheetData>
    <row r="1">
      <c r="A1" s="1" t="inlineStr">
        <is>
          <t>Summary of inputs to CE/ICA</t>
        </is>
      </c>
    </row>
    <row r="2">
      <c r="A2" s="2" t="inlineStr">
        <is>
          <t>Lift is each alternative's AAHU above No Action; the CE/ICA cost is its average annual cost above No Action.</t>
        </is>
      </c>
    </row>
    <row r="4">
      <c r="A4" s="12" t="inlineStr">
        <is>
          <t>Key</t>
        </is>
      </c>
      <c r="B4" s="12" t="inlineStr">
        <is>
          <t>Site</t>
        </is>
      </c>
      <c r="C4" s="12" t="inlineStr">
        <is>
          <t>Alternative</t>
        </is>
      </c>
      <c r="D4" s="12" t="inlineStr">
        <is>
          <t>Name</t>
        </is>
      </c>
      <c r="E4" s="12" t="inlineStr">
        <is>
          <t>No Action</t>
        </is>
      </c>
      <c r="F4" s="12" t="inlineStr">
        <is>
          <t>Outputs (AAHU)</t>
        </is>
      </c>
      <c r="G4" s="12" t="inlineStr">
        <is>
          <t>Lift (AAHU)</t>
        </is>
      </c>
      <c r="H4" s="12" t="inlineStr">
        <is>
          <t>Construction cost</t>
        </is>
      </c>
      <c r="I4" s="12" t="inlineStr">
        <is>
          <t>First costs</t>
        </is>
      </c>
      <c r="J4" s="12" t="inlineStr">
        <is>
          <t>Interest during construction</t>
        </is>
      </c>
      <c r="K4" s="12" t="inlineStr">
        <is>
          <t>OMRRR present value</t>
        </is>
      </c>
      <c r="L4" s="12" t="inlineStr">
        <is>
          <t>Average annual cost</t>
        </is>
      </c>
      <c r="M4" s="12" t="inlineStr">
        <is>
          <t>Cost above No Action</t>
        </is>
      </c>
      <c r="N4" s="12" t="inlineStr">
        <is>
          <t>Unit cost ($/AAHU)</t>
        </is>
      </c>
    </row>
    <row r="5">
      <c r="A5" s="10">
        <f>B5&amp;"|"&amp;C5</f>
        <v/>
      </c>
      <c r="B5" s="4" t="inlineStr">
        <is>
          <t>A</t>
        </is>
      </c>
      <c r="C5" s="4" t="inlineStr">
        <is>
          <t>NA</t>
        </is>
      </c>
      <c r="D5" s="4" t="inlineStr">
        <is>
          <t>NA</t>
        </is>
      </c>
      <c r="E5" s="4" t="n">
        <v>1</v>
      </c>
      <c r="F5" s="20">
        <f>SUMIFS(Benefits!$O$6:$O$20,Benefits!$A$6:$A$20,A5)</f>
        <v/>
      </c>
      <c r="G5" s="20">
        <f>F5-$F$5</f>
        <v/>
      </c>
      <c r="H5" s="25">
        <f>Costs!D6</f>
        <v/>
      </c>
      <c r="I5" s="25">
        <f>SUM(Costs!D6:F6)</f>
        <v/>
      </c>
      <c r="J5" s="25">
        <f>Costs!I6</f>
        <v/>
      </c>
      <c r="K5" s="25">
        <f>Costs!J6</f>
        <v/>
      </c>
      <c r="L5" s="26">
        <f>Costs!M6</f>
        <v/>
      </c>
      <c r="M5" s="26">
        <f>L5-$L$5</f>
        <v/>
      </c>
      <c r="N5" s="25">
        <f>IF(G5&gt;0,M5/G5,"n/a")</f>
        <v/>
      </c>
    </row>
    <row r="6">
      <c r="A6" s="10">
        <f>B6&amp;"|"&amp;C6</f>
        <v/>
      </c>
      <c r="B6" s="4" t="inlineStr">
        <is>
          <t>A</t>
        </is>
      </c>
      <c r="C6" s="4" t="inlineStr">
        <is>
          <t>A1</t>
        </is>
      </c>
      <c r="D6" s="4" t="inlineStr">
        <is>
          <t>A1</t>
        </is>
      </c>
      <c r="E6" s="4" t="n">
        <v>0</v>
      </c>
      <c r="F6" s="20">
        <f>SUMIFS(Benefits!$O$6:$O$20,Benefits!$A$6:$A$20,A6)</f>
        <v/>
      </c>
      <c r="G6" s="20">
        <f>F6-$F$5</f>
        <v/>
      </c>
      <c r="H6" s="25">
        <f>Costs!D7</f>
        <v/>
      </c>
      <c r="I6" s="25">
        <f>SUM(Costs!D7:F7)</f>
        <v/>
      </c>
      <c r="J6" s="25">
        <f>Costs!I7</f>
        <v/>
      </c>
      <c r="K6" s="25">
        <f>Costs!J7</f>
        <v/>
      </c>
      <c r="L6" s="26">
        <f>Costs!M7</f>
        <v/>
      </c>
      <c r="M6" s="26">
        <f>L6-$L$5</f>
        <v/>
      </c>
      <c r="N6" s="25">
        <f>IF(G6&gt;0,M6/G6,"n/a")</f>
        <v/>
      </c>
    </row>
    <row r="7">
      <c r="A7" s="10">
        <f>B7&amp;"|"&amp;C7</f>
        <v/>
      </c>
      <c r="B7" s="4" t="inlineStr">
        <is>
          <t>A</t>
        </is>
      </c>
      <c r="C7" s="4" t="inlineStr">
        <is>
          <t>A2</t>
        </is>
      </c>
      <c r="D7" s="4" t="inlineStr">
        <is>
          <t>A2</t>
        </is>
      </c>
      <c r="E7" s="4" t="n">
        <v>0</v>
      </c>
      <c r="F7" s="20">
        <f>SUMIFS(Benefits!$O$6:$O$20,Benefits!$A$6:$A$20,A7)</f>
        <v/>
      </c>
      <c r="G7" s="20">
        <f>F7-$F$5</f>
        <v/>
      </c>
      <c r="H7" s="25">
        <f>Costs!D8</f>
        <v/>
      </c>
      <c r="I7" s="25">
        <f>SUM(Costs!D8:F8)</f>
        <v/>
      </c>
      <c r="J7" s="25">
        <f>Costs!I8</f>
        <v/>
      </c>
      <c r="K7" s="25">
        <f>Costs!J8</f>
        <v/>
      </c>
      <c r="L7" s="26">
        <f>Costs!M8</f>
        <v/>
      </c>
      <c r="M7" s="26">
        <f>L7-$L$5</f>
        <v/>
      </c>
      <c r="N7" s="25">
        <f>IF(G7&gt;0,M7/G7,"n/a")</f>
        <v/>
      </c>
    </row>
    <row r="8">
      <c r="A8" s="10">
        <f>B8&amp;"|"&amp;C8</f>
        <v/>
      </c>
      <c r="B8" s="4" t="inlineStr">
        <is>
          <t>B</t>
        </is>
      </c>
      <c r="C8" s="4" t="inlineStr">
        <is>
          <t>NA</t>
        </is>
      </c>
      <c r="D8" s="4" t="inlineStr">
        <is>
          <t>NA</t>
        </is>
      </c>
      <c r="E8" s="4" t="n">
        <v>1</v>
      </c>
      <c r="F8" s="20">
        <f>SUMIFS(Benefits!$O$6:$O$20,Benefits!$A$6:$A$20,A8)</f>
        <v/>
      </c>
      <c r="G8" s="20">
        <f>F8-$F$8</f>
        <v/>
      </c>
      <c r="H8" s="25">
        <f>Costs!D9</f>
        <v/>
      </c>
      <c r="I8" s="25">
        <f>SUM(Costs!D9:F9)</f>
        <v/>
      </c>
      <c r="J8" s="25">
        <f>Costs!I9</f>
        <v/>
      </c>
      <c r="K8" s="25">
        <f>Costs!J9</f>
        <v/>
      </c>
      <c r="L8" s="26">
        <f>Costs!M9</f>
        <v/>
      </c>
      <c r="M8" s="26">
        <f>L8-$L$8</f>
        <v/>
      </c>
      <c r="N8" s="25">
        <f>IF(G8&gt;0,M8/G8,"n/a")</f>
        <v/>
      </c>
    </row>
    <row r="9">
      <c r="A9" s="10">
        <f>B9&amp;"|"&amp;C9</f>
        <v/>
      </c>
      <c r="B9" s="4" t="inlineStr">
        <is>
          <t>B</t>
        </is>
      </c>
      <c r="C9" s="4" t="inlineStr">
        <is>
          <t>B1</t>
        </is>
      </c>
      <c r="D9" s="4" t="inlineStr">
        <is>
          <t>B1</t>
        </is>
      </c>
      <c r="E9" s="4" t="n">
        <v>0</v>
      </c>
      <c r="F9" s="20">
        <f>SUMIFS(Benefits!$O$6:$O$20,Benefits!$A$6:$A$20,A9)</f>
        <v/>
      </c>
      <c r="G9" s="20">
        <f>F9-$F$8</f>
        <v/>
      </c>
      <c r="H9" s="25">
        <f>Costs!D10</f>
        <v/>
      </c>
      <c r="I9" s="25">
        <f>SUM(Costs!D10:F10)</f>
        <v/>
      </c>
      <c r="J9" s="25">
        <f>Costs!I10</f>
        <v/>
      </c>
      <c r="K9" s="25">
        <f>Costs!J10</f>
        <v/>
      </c>
      <c r="L9" s="26">
        <f>Costs!M10</f>
        <v/>
      </c>
      <c r="M9" s="26">
        <f>L9-$L$8</f>
        <v/>
      </c>
      <c r="N9" s="25">
        <f>IF(G9&gt;0,M9/G9,"n/a")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2"/>
  <sheetViews>
    <sheetView showGridLines="0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4" customWidth="1" style="8" min="1" max="1"/>
    <col width="9" customWidth="1" style="8" min="2" max="2"/>
    <col width="14" customWidth="1" style="8" min="3" max="3"/>
    <col width="24" customWidth="1" style="8" min="4" max="4"/>
    <col width="8" customWidth="1" style="8" min="5" max="5"/>
    <col width="7" customWidth="1" style="8" min="6" max="6"/>
    <col width="11" customWidth="1" style="8" min="7" max="7"/>
    <col width="13" customWidth="1" style="8" min="8" max="8"/>
    <col hidden="1" width="11" customWidth="1" style="8" min="9" max="9"/>
    <col hidden="1" width="11" customWidth="1" style="8" min="10" max="10"/>
    <col hidden="1" width="8" customWidth="1" style="8" min="11" max="11"/>
    <col width="9" customWidth="1" style="8" min="12" max="12"/>
    <col hidden="1" width="8" customWidth="1" style="8" min="13" max="13"/>
    <col hidden="1" width="11" customWidth="1" style="8" min="14" max="14"/>
    <col hidden="1" width="11" customWidth="1" style="8" min="15" max="15"/>
    <col width="7" customWidth="1" style="8" min="16" max="16"/>
    <col hidden="1" width="8" customWidth="1" style="8" min="17" max="17"/>
    <col hidden="1" width="11" customWidth="1" style="8" min="18" max="18"/>
    <col hidden="1" width="11" customWidth="1" style="8" min="19" max="19"/>
    <col width="11" customWidth="1" style="8" min="20" max="20"/>
    <col width="13" customWidth="1" style="8" min="21" max="21"/>
    <col width="13" customWidth="1" style="8" min="22" max="22"/>
    <col width="11" customWidth="1" style="8" min="23" max="23"/>
    <col width="11" customWidth="1" style="8" min="24" max="24"/>
  </cols>
  <sheetData>
    <row r="1">
      <c r="A1" s="1" t="inlineStr">
        <is>
          <t>Site-by-site CE/ICA</t>
        </is>
      </c>
    </row>
    <row r="2">
      <c r="A2" s="2" t="inlineStr">
        <is>
          <t>Cost-effective: no alternative gives the same output for less, or more output for no more. Best buy: on the lower hull from No Action (IWR Planning Suite II rules).</t>
        </is>
      </c>
    </row>
    <row r="4">
      <c r="A4" s="12" t="inlineStr">
        <is>
          <t>Key</t>
        </is>
      </c>
      <c r="B4" s="12" t="inlineStr">
        <is>
          <t>Site</t>
        </is>
      </c>
      <c r="C4" s="12" t="inlineStr">
        <is>
          <t>Alternative</t>
        </is>
      </c>
      <c r="D4" s="12" t="inlineStr">
        <is>
          <t>Name</t>
        </is>
      </c>
      <c r="E4" s="12" t="inlineStr">
        <is>
          <t>No Action</t>
        </is>
      </c>
      <c r="F4" s="12" t="inlineStr">
        <is>
          <t>Ordinal</t>
        </is>
      </c>
      <c r="G4" s="12" t="inlineStr">
        <is>
          <t>Lift (AAHU)</t>
        </is>
      </c>
      <c r="H4" s="12" t="inlineStr">
        <is>
          <t>Cost above No Action</t>
        </is>
      </c>
      <c r="I4" s="12" t="inlineStr">
        <is>
          <t>Lift (scaled)</t>
        </is>
      </c>
      <c r="J4" s="12" t="inlineStr">
        <is>
          <t>Cost (scaled)</t>
        </is>
      </c>
      <c r="K4" s="12" t="inlineStr">
        <is>
          <t>Dominated by</t>
        </is>
      </c>
      <c r="L4" s="12" t="inlineStr">
        <is>
          <t>Cost-effective</t>
        </is>
      </c>
      <c r="M4" s="12" t="inlineStr">
        <is>
          <t>Candidate</t>
        </is>
      </c>
      <c r="N4" s="12" t="inlineStr">
        <is>
          <t>Slope in (max)</t>
        </is>
      </c>
      <c r="O4" s="12" t="inlineStr">
        <is>
          <t>Slope out (min)</t>
        </is>
      </c>
      <c r="P4" s="12" t="inlineStr">
        <is>
          <t>Best buy</t>
        </is>
      </c>
      <c r="Q4" s="12" t="inlineStr">
        <is>
          <t>Best-buy step</t>
        </is>
      </c>
      <c r="R4" s="12" t="inlineStr">
        <is>
          <t>Previous lift (scaled)</t>
        </is>
      </c>
      <c r="S4" s="12" t="inlineStr">
        <is>
          <t>Previous cost (scaled)</t>
        </is>
      </c>
      <c r="T4" s="12" t="inlineStr">
        <is>
          <t>Incremental output</t>
        </is>
      </c>
      <c r="U4" s="12" t="inlineStr">
        <is>
          <t>Incremental cost</t>
        </is>
      </c>
      <c r="V4" s="12" t="inlineStr">
        <is>
          <t>Incremental cost per unit</t>
        </is>
      </c>
      <c r="W4" s="12" t="inlineStr">
        <is>
          <t>Unit cost</t>
        </is>
      </c>
      <c r="X4" s="12" t="inlineStr">
        <is>
          <t>Recommended</t>
        </is>
      </c>
    </row>
    <row r="5">
      <c r="B5" s="7" t="inlineStr">
        <is>
          <t>A</t>
        </is>
      </c>
    </row>
    <row r="6">
      <c r="A6" s="10">
        <f>B6&amp;"|"&amp;C6</f>
        <v/>
      </c>
      <c r="B6" s="4" t="inlineStr">
        <is>
          <t>A</t>
        </is>
      </c>
      <c r="C6" s="4" t="inlineStr">
        <is>
          <t>NA</t>
        </is>
      </c>
      <c r="D6" s="4" t="inlineStr">
        <is>
          <t>NA</t>
        </is>
      </c>
      <c r="E6" s="4" t="n">
        <v>1</v>
      </c>
      <c r="F6" s="4" t="n">
        <v>1</v>
      </c>
      <c r="G6" s="20">
        <f>Summary!G5</f>
        <v/>
      </c>
      <c r="H6" s="26">
        <f>Summary!M5</f>
        <v/>
      </c>
      <c r="I6" s="6">
        <f>ROUND(G6*10^in_out_dp,0)</f>
        <v/>
      </c>
      <c r="J6" s="6">
        <f>ROUND(H6*10^in_cost_dp,0)</f>
        <v/>
      </c>
      <c r="K6" s="10">
        <f>SUMPRODUCT(($I$6:$I$8=I6)*($J$6:$J$8&lt;J6)+($I$6:$I$8&gt;I6)*($J$6:$J$8&lt;=J6))</f>
        <v/>
      </c>
      <c r="L6" s="10">
        <f>IF(OR(E6=1,K6=0),1,0)</f>
        <v/>
      </c>
      <c r="M6" s="10">
        <f>IF(AND(L6=1,E6=0,I6&gt;0),1,0)</f>
        <v/>
      </c>
      <c r="N6" s="28">
        <f>IF(M6=1,MAX(J6/I6,SUMPRODUCT(MAX(((J6-$J$6:$J$8)*($M$6:$M$8*($I$6:$I$8&lt;I6)))/((I6-$I$6:$I$8)*($M$6:$M$8*($I$6:$I$8&lt;I6))+1-($M$6:$M$8*($I$6:$I$8&lt;I6)))-(1-($M$6:$M$8*($I$6:$I$8&lt;I6)))*1E+300))),0)</f>
        <v/>
      </c>
      <c r="O6" s="28">
        <f>IF(M6=1,SUMPRODUCT(MIN(((($J$6:$J$8-J6)*($M$6:$M$8*($I$6:$I$8&gt;I6)))/(($I$6:$I$8-I6)*($M$6:$M$8*($I$6:$I$8&gt;I6))+1-($M$6:$M$8*($I$6:$I$8&gt;I6)))+(1-($M$6:$M$8*($I$6:$I$8&gt;I6)))*1E+300))),0)</f>
        <v/>
      </c>
      <c r="P6" s="10">
        <f>IF(E6=1,1,IF(AND(M6=1,N6&lt;=O6),1,0))</f>
        <v/>
      </c>
      <c r="Q6" s="10">
        <f>IF(P6=1,1+SUMPRODUCT($P$6:$P$8*(($I$6:$I$8&lt;I6)+($I$6:$I$8=I6)*($F$6:$F$8&lt;F6))),0)</f>
        <v/>
      </c>
      <c r="R6" s="10">
        <f>IF(Q6&lt;=1,0,SUMPRODUCT(($Q$6:$Q$8=Q6-1)*$I$6:$I$8))</f>
        <v/>
      </c>
      <c r="S6" s="10">
        <f>IF(Q6&lt;=1,0,SUMPRODUCT(($Q$6:$Q$8=Q6-1)*$J$6:$J$8))</f>
        <v/>
      </c>
      <c r="T6" s="20">
        <f>IF(Q6=0,"",(I6-R6)/10^in_out_dp)</f>
        <v/>
      </c>
      <c r="U6" s="26">
        <f>IF(Q6=0,"",(J6-S6)/10^in_cost_dp)</f>
        <v/>
      </c>
      <c r="V6" s="26">
        <f>IF(Q6=0,"",IF(I6=R6,0,U6/T6))</f>
        <v/>
      </c>
      <c r="W6" s="26">
        <f>IF(I6&gt;0,(J6/10^in_cost_dp)/(I6/10^in_out_dp),"n/a")</f>
        <v/>
      </c>
      <c r="X6" s="10">
        <f>IF(Sites!$C$5=C6,1,0)</f>
        <v/>
      </c>
    </row>
    <row r="7">
      <c r="A7" s="10">
        <f>B7&amp;"|"&amp;C7</f>
        <v/>
      </c>
      <c r="B7" s="4" t="inlineStr">
        <is>
          <t>A</t>
        </is>
      </c>
      <c r="C7" s="4" t="inlineStr">
        <is>
          <t>A1</t>
        </is>
      </c>
      <c r="D7" s="4" t="inlineStr">
        <is>
          <t>A1</t>
        </is>
      </c>
      <c r="E7" s="4" t="n">
        <v>0</v>
      </c>
      <c r="F7" s="4" t="n">
        <v>2</v>
      </c>
      <c r="G7" s="20">
        <f>Summary!G6</f>
        <v/>
      </c>
      <c r="H7" s="26">
        <f>Summary!M6</f>
        <v/>
      </c>
      <c r="I7" s="6">
        <f>ROUND(G7*10^in_out_dp,0)</f>
        <v/>
      </c>
      <c r="J7" s="6">
        <f>ROUND(H7*10^in_cost_dp,0)</f>
        <v/>
      </c>
      <c r="K7" s="10">
        <f>SUMPRODUCT(($I$6:$I$8=I7)*($J$6:$J$8&lt;J7)+($I$6:$I$8&gt;I7)*($J$6:$J$8&lt;=J7))</f>
        <v/>
      </c>
      <c r="L7" s="10">
        <f>IF(OR(E7=1,K7=0),1,0)</f>
        <v/>
      </c>
      <c r="M7" s="10">
        <f>IF(AND(L7=1,E7=0,I7&gt;0),1,0)</f>
        <v/>
      </c>
      <c r="N7" s="28">
        <f>IF(M7=1,MAX(J7/I7,SUMPRODUCT(MAX(((J7-$J$6:$J$8)*($M$6:$M$8*($I$6:$I$8&lt;I7)))/((I7-$I$6:$I$8)*($M$6:$M$8*($I$6:$I$8&lt;I7))+1-($M$6:$M$8*($I$6:$I$8&lt;I7)))-(1-($M$6:$M$8*($I$6:$I$8&lt;I7)))*1E+300))),0)</f>
        <v/>
      </c>
      <c r="O7" s="28">
        <f>IF(M7=1,SUMPRODUCT(MIN(((($J$6:$J$8-J7)*($M$6:$M$8*($I$6:$I$8&gt;I7)))/(($I$6:$I$8-I7)*($M$6:$M$8*($I$6:$I$8&gt;I7))+1-($M$6:$M$8*($I$6:$I$8&gt;I7)))+(1-($M$6:$M$8*($I$6:$I$8&gt;I7)))*1E+300))),0)</f>
        <v/>
      </c>
      <c r="P7" s="10">
        <f>IF(E7=1,1,IF(AND(M7=1,N7&lt;=O7),1,0))</f>
        <v/>
      </c>
      <c r="Q7" s="10">
        <f>IF(P7=1,1+SUMPRODUCT($P$6:$P$8*(($I$6:$I$8&lt;I7)+($I$6:$I$8=I7)*($F$6:$F$8&lt;F7))),0)</f>
        <v/>
      </c>
      <c r="R7" s="10">
        <f>IF(Q7&lt;=1,0,SUMPRODUCT(($Q$6:$Q$8=Q7-1)*$I$6:$I$8))</f>
        <v/>
      </c>
      <c r="S7" s="10">
        <f>IF(Q7&lt;=1,0,SUMPRODUCT(($Q$6:$Q$8=Q7-1)*$J$6:$J$8))</f>
        <v/>
      </c>
      <c r="T7" s="20">
        <f>IF(Q7=0,"",(I7-R7)/10^in_out_dp)</f>
        <v/>
      </c>
      <c r="U7" s="26">
        <f>IF(Q7=0,"",(J7-S7)/10^in_cost_dp)</f>
        <v/>
      </c>
      <c r="V7" s="26">
        <f>IF(Q7=0,"",IF(I7=R7,0,U7/T7))</f>
        <v/>
      </c>
      <c r="W7" s="26">
        <f>IF(I7&gt;0,(J7/10^in_cost_dp)/(I7/10^in_out_dp),"n/a")</f>
        <v/>
      </c>
      <c r="X7" s="10">
        <f>IF(Sites!$C$5=C7,1,0)</f>
        <v/>
      </c>
    </row>
    <row r="8">
      <c r="A8" s="10">
        <f>B8&amp;"|"&amp;C8</f>
        <v/>
      </c>
      <c r="B8" s="4" t="inlineStr">
        <is>
          <t>A</t>
        </is>
      </c>
      <c r="C8" s="4" t="inlineStr">
        <is>
          <t>A2</t>
        </is>
      </c>
      <c r="D8" s="4" t="inlineStr">
        <is>
          <t>A2</t>
        </is>
      </c>
      <c r="E8" s="4" t="n">
        <v>0</v>
      </c>
      <c r="F8" s="4" t="n">
        <v>3</v>
      </c>
      <c r="G8" s="20">
        <f>Summary!G7</f>
        <v/>
      </c>
      <c r="H8" s="26">
        <f>Summary!M7</f>
        <v/>
      </c>
      <c r="I8" s="6">
        <f>ROUND(G8*10^in_out_dp,0)</f>
        <v/>
      </c>
      <c r="J8" s="6">
        <f>ROUND(H8*10^in_cost_dp,0)</f>
        <v/>
      </c>
      <c r="K8" s="10">
        <f>SUMPRODUCT(($I$6:$I$8=I8)*($J$6:$J$8&lt;J8)+($I$6:$I$8&gt;I8)*($J$6:$J$8&lt;=J8))</f>
        <v/>
      </c>
      <c r="L8" s="10">
        <f>IF(OR(E8=1,K8=0),1,0)</f>
        <v/>
      </c>
      <c r="M8" s="10">
        <f>IF(AND(L8=1,E8=0,I8&gt;0),1,0)</f>
        <v/>
      </c>
      <c r="N8" s="28">
        <f>IF(M8=1,MAX(J8/I8,SUMPRODUCT(MAX(((J8-$J$6:$J$8)*($M$6:$M$8*($I$6:$I$8&lt;I8)))/((I8-$I$6:$I$8)*($M$6:$M$8*($I$6:$I$8&lt;I8))+1-($M$6:$M$8*($I$6:$I$8&lt;I8)))-(1-($M$6:$M$8*($I$6:$I$8&lt;I8)))*1E+300))),0)</f>
        <v/>
      </c>
      <c r="O8" s="28">
        <f>IF(M8=1,SUMPRODUCT(MIN(((($J$6:$J$8-J8)*($M$6:$M$8*($I$6:$I$8&gt;I8)))/(($I$6:$I$8-I8)*($M$6:$M$8*($I$6:$I$8&gt;I8))+1-($M$6:$M$8*($I$6:$I$8&gt;I8)))+(1-($M$6:$M$8*($I$6:$I$8&gt;I8)))*1E+300))),0)</f>
        <v/>
      </c>
      <c r="P8" s="10">
        <f>IF(E8=1,1,IF(AND(M8=1,N8&lt;=O8),1,0))</f>
        <v/>
      </c>
      <c r="Q8" s="10">
        <f>IF(P8=1,1+SUMPRODUCT($P$6:$P$8*(($I$6:$I$8&lt;I8)+($I$6:$I$8=I8)*($F$6:$F$8&lt;F8))),0)</f>
        <v/>
      </c>
      <c r="R8" s="10">
        <f>IF(Q8&lt;=1,0,SUMPRODUCT(($Q$6:$Q$8=Q8-1)*$I$6:$I$8))</f>
        <v/>
      </c>
      <c r="S8" s="10">
        <f>IF(Q8&lt;=1,0,SUMPRODUCT(($Q$6:$Q$8=Q8-1)*$J$6:$J$8))</f>
        <v/>
      </c>
      <c r="T8" s="20">
        <f>IF(Q8=0,"",(I8-R8)/10^in_out_dp)</f>
        <v/>
      </c>
      <c r="U8" s="26">
        <f>IF(Q8=0,"",(J8-S8)/10^in_cost_dp)</f>
        <v/>
      </c>
      <c r="V8" s="26">
        <f>IF(Q8=0,"",IF(I8=R8,0,U8/T8))</f>
        <v/>
      </c>
      <c r="W8" s="26">
        <f>IF(I8&gt;0,(J8/10^in_cost_dp)/(I8/10^in_out_dp),"n/a")</f>
        <v/>
      </c>
      <c r="X8" s="10">
        <f>IF(Sites!$C$5=C8,1,0)</f>
        <v/>
      </c>
    </row>
    <row r="10">
      <c r="B10" s="7" t="inlineStr">
        <is>
          <t>B</t>
        </is>
      </c>
    </row>
    <row r="11">
      <c r="A11" s="10">
        <f>B11&amp;"|"&amp;C11</f>
        <v/>
      </c>
      <c r="B11" s="4" t="inlineStr">
        <is>
          <t>B</t>
        </is>
      </c>
      <c r="C11" s="4" t="inlineStr">
        <is>
          <t>NA</t>
        </is>
      </c>
      <c r="D11" s="4" t="inlineStr">
        <is>
          <t>NA</t>
        </is>
      </c>
      <c r="E11" s="4" t="n">
        <v>1</v>
      </c>
      <c r="F11" s="4" t="n">
        <v>1</v>
      </c>
      <c r="G11" s="20">
        <f>Summary!G8</f>
        <v/>
      </c>
      <c r="H11" s="26">
        <f>Summary!M8</f>
        <v/>
      </c>
      <c r="I11" s="6">
        <f>ROUND(G11*10^in_out_dp,0)</f>
        <v/>
      </c>
      <c r="J11" s="6">
        <f>ROUND(H11*10^in_cost_dp,0)</f>
        <v/>
      </c>
      <c r="K11" s="10">
        <f>SUMPRODUCT(($I$11:$I$12=I11)*($J$11:$J$12&lt;J11)+($I$11:$I$12&gt;I11)*($J$11:$J$12&lt;=J11))</f>
        <v/>
      </c>
      <c r="L11" s="10">
        <f>IF(OR(E11=1,K11=0),1,0)</f>
        <v/>
      </c>
      <c r="M11" s="10">
        <f>IF(AND(L11=1,E11=0,I11&gt;0),1,0)</f>
        <v/>
      </c>
      <c r="N11" s="28">
        <f>IF(M11=1,MAX(J11/I11,SUMPRODUCT(MAX(((J11-$J$11:$J$12)*($M$11:$M$12*($I$11:$I$12&lt;I11)))/((I11-$I$11:$I$12)*($M$11:$M$12*($I$11:$I$12&lt;I11))+1-($M$11:$M$12*($I$11:$I$12&lt;I11)))-(1-($M$11:$M$12*($I$11:$I$12&lt;I11)))*1E+300))),0)</f>
        <v/>
      </c>
      <c r="O11" s="28">
        <f>IF(M11=1,SUMPRODUCT(MIN(((($J$11:$J$12-J11)*($M$11:$M$12*($I$11:$I$12&gt;I11)))/(($I$11:$I$12-I11)*($M$11:$M$12*($I$11:$I$12&gt;I11))+1-($M$11:$M$12*($I$11:$I$12&gt;I11)))+(1-($M$11:$M$12*($I$11:$I$12&gt;I11)))*1E+300))),0)</f>
        <v/>
      </c>
      <c r="P11" s="10">
        <f>IF(E11=1,1,IF(AND(M11=1,N11&lt;=O11),1,0))</f>
        <v/>
      </c>
      <c r="Q11" s="10">
        <f>IF(P11=1,1+SUMPRODUCT($P$11:$P$12*(($I$11:$I$12&lt;I11)+($I$11:$I$12=I11)*($F$11:$F$12&lt;F11))),0)</f>
        <v/>
      </c>
      <c r="R11" s="10">
        <f>IF(Q11&lt;=1,0,SUMPRODUCT(($Q$11:$Q$12=Q11-1)*$I$11:$I$12))</f>
        <v/>
      </c>
      <c r="S11" s="10">
        <f>IF(Q11&lt;=1,0,SUMPRODUCT(($Q$11:$Q$12=Q11-1)*$J$11:$J$12))</f>
        <v/>
      </c>
      <c r="T11" s="20">
        <f>IF(Q11=0,"",(I11-R11)/10^in_out_dp)</f>
        <v/>
      </c>
      <c r="U11" s="26">
        <f>IF(Q11=0,"",(J11-S11)/10^in_cost_dp)</f>
        <v/>
      </c>
      <c r="V11" s="26">
        <f>IF(Q11=0,"",IF(I11=R11,0,U11/T11))</f>
        <v/>
      </c>
      <c r="W11" s="26">
        <f>IF(I11&gt;0,(J11/10^in_cost_dp)/(I11/10^in_out_dp),"n/a")</f>
        <v/>
      </c>
      <c r="X11" s="10">
        <f>IF(Sites!$C$6=C11,1,0)</f>
        <v/>
      </c>
    </row>
    <row r="12">
      <c r="A12" s="10">
        <f>B12&amp;"|"&amp;C12</f>
        <v/>
      </c>
      <c r="B12" s="4" t="inlineStr">
        <is>
          <t>B</t>
        </is>
      </c>
      <c r="C12" s="4" t="inlineStr">
        <is>
          <t>B1</t>
        </is>
      </c>
      <c r="D12" s="4" t="inlineStr">
        <is>
          <t>B1</t>
        </is>
      </c>
      <c r="E12" s="4" t="n">
        <v>0</v>
      </c>
      <c r="F12" s="4" t="n">
        <v>2</v>
      </c>
      <c r="G12" s="20">
        <f>Summary!G9</f>
        <v/>
      </c>
      <c r="H12" s="26">
        <f>Summary!M9</f>
        <v/>
      </c>
      <c r="I12" s="6">
        <f>ROUND(G12*10^in_out_dp,0)</f>
        <v/>
      </c>
      <c r="J12" s="6">
        <f>ROUND(H12*10^in_cost_dp,0)</f>
        <v/>
      </c>
      <c r="K12" s="10">
        <f>SUMPRODUCT(($I$11:$I$12=I12)*($J$11:$J$12&lt;J12)+($I$11:$I$12&gt;I12)*($J$11:$J$12&lt;=J12))</f>
        <v/>
      </c>
      <c r="L12" s="10">
        <f>IF(OR(E12=1,K12=0),1,0)</f>
        <v/>
      </c>
      <c r="M12" s="10">
        <f>IF(AND(L12=1,E12=0,I12&gt;0),1,0)</f>
        <v/>
      </c>
      <c r="N12" s="28">
        <f>IF(M12=1,MAX(J12/I12,SUMPRODUCT(MAX(((J12-$J$11:$J$12)*($M$11:$M$12*($I$11:$I$12&lt;I12)))/((I12-$I$11:$I$12)*($M$11:$M$12*($I$11:$I$12&lt;I12))+1-($M$11:$M$12*($I$11:$I$12&lt;I12)))-(1-($M$11:$M$12*($I$11:$I$12&lt;I12)))*1E+300))),0)</f>
        <v/>
      </c>
      <c r="O12" s="28">
        <f>IF(M12=1,SUMPRODUCT(MIN(((($J$11:$J$12-J12)*($M$11:$M$12*($I$11:$I$12&gt;I12)))/(($I$11:$I$12-I12)*($M$11:$M$12*($I$11:$I$12&gt;I12))+1-($M$11:$M$12*($I$11:$I$12&gt;I12)))+(1-($M$11:$M$12*($I$11:$I$12&gt;I12)))*1E+300))),0)</f>
        <v/>
      </c>
      <c r="P12" s="10">
        <f>IF(E12=1,1,IF(AND(M12=1,N12&lt;=O12),1,0))</f>
        <v/>
      </c>
      <c r="Q12" s="10">
        <f>IF(P12=1,1+SUMPRODUCT($P$11:$P$12*(($I$11:$I$12&lt;I12)+($I$11:$I$12=I12)*($F$11:$F$12&lt;F12))),0)</f>
        <v/>
      </c>
      <c r="R12" s="10">
        <f>IF(Q12&lt;=1,0,SUMPRODUCT(($Q$11:$Q$12=Q12-1)*$I$11:$I$12))</f>
        <v/>
      </c>
      <c r="S12" s="10">
        <f>IF(Q12&lt;=1,0,SUMPRODUCT(($Q$11:$Q$12=Q12-1)*$J$11:$J$12))</f>
        <v/>
      </c>
      <c r="T12" s="20">
        <f>IF(Q12=0,"",(I12-R12)/10^in_out_dp)</f>
        <v/>
      </c>
      <c r="U12" s="26">
        <f>IF(Q12=0,"",(J12-S12)/10^in_cost_dp)</f>
        <v/>
      </c>
      <c r="V12" s="26">
        <f>IF(Q12=0,"",IF(I12=R12,0,U12/T12))</f>
        <v/>
      </c>
      <c r="W12" s="26">
        <f>IF(I12&gt;0,(J12/10^in_cost_dp)/(I12/10^in_out_dp),"n/a")</f>
        <v/>
      </c>
      <c r="X12" s="10">
        <f>IF(Sites!$C$6=C12,1,0)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selection activeCell="A1" sqref="A1"/>
    </sheetView>
  </sheetViews>
  <sheetFormatPr baseColWidth="8" defaultRowHeight="15"/>
  <cols>
    <col width="9" customWidth="1" style="8" min="1" max="1"/>
    <col width="28" customWidth="1" style="8" min="2" max="2"/>
    <col width="16" customWidth="1" style="8" min="3" max="3"/>
    <col width="10" customWidth="1" style="8" min="4" max="4"/>
    <col width="8" customWidth="1" style="8" min="5" max="5"/>
    <col width="12" customWidth="1" style="8" min="6" max="6"/>
    <col width="14" customWidth="1" style="8" min="7" max="7"/>
    <col width="14" customWidth="1" style="8" min="8" max="8"/>
    <col width="10" customWidth="1" style="8" min="9" max="9"/>
    <col width="10" customWidth="1" style="8" min="10" max="10"/>
    <col width="9" customWidth="1" style="8" min="11" max="11"/>
    <col width="8" customWidth="1" style="8" min="12" max="12"/>
    <col width="12" customWidth="1" style="8" min="13" max="13"/>
  </cols>
  <sheetData>
    <row r="1">
      <c r="A1" s="1" t="inlineStr">
        <is>
          <t>Sites: the alternative carried to the watershed plans</t>
        </is>
      </c>
    </row>
    <row r="2">
      <c r="A2" s="2" t="inlineStr">
        <is>
          <t>Choose each site's recommended alternative. No Action leaves the site out of every watershed plan.</t>
        </is>
      </c>
    </row>
    <row r="4">
      <c r="A4" s="12" t="inlineStr">
        <is>
          <t>Site</t>
        </is>
      </c>
      <c r="B4" s="12" t="inlineStr">
        <is>
          <t>Name</t>
        </is>
      </c>
      <c r="C4" s="12" t="inlineStr">
        <is>
          <t>Recommended alternative</t>
        </is>
      </c>
      <c r="D4" s="12" t="inlineStr">
        <is>
          <t>No Action</t>
        </is>
      </c>
      <c r="E4" s="12" t="inlineStr">
        <is>
          <t>Carried</t>
        </is>
      </c>
      <c r="F4" s="12" t="inlineStr">
        <is>
          <t>Lift (AAHU)</t>
        </is>
      </c>
      <c r="G4" s="12" t="inlineStr">
        <is>
          <t>Cost above No Action</t>
        </is>
      </c>
      <c r="H4" s="12" t="inlineStr">
        <is>
          <t>Construction cost</t>
        </is>
      </c>
      <c r="I4" s="12" t="inlineStr">
        <is>
          <t>Lift (scaled)</t>
        </is>
      </c>
      <c r="J4" s="12" t="inlineStr">
        <is>
          <t>Cost (scaled)</t>
        </is>
      </c>
      <c r="K4" s="12" t="inlineStr">
        <is>
          <t>Cost-effective</t>
        </is>
      </c>
      <c r="L4" s="12" t="inlineStr">
        <is>
          <t>Best buy</t>
        </is>
      </c>
      <c r="M4" s="12" t="inlineStr">
        <is>
          <t>Decided by</t>
        </is>
      </c>
    </row>
    <row r="5">
      <c r="A5" s="4" t="inlineStr">
        <is>
          <t>A</t>
        </is>
      </c>
      <c r="B5" s="4" t="inlineStr"/>
      <c r="C5" s="15" t="inlineStr">
        <is>
          <t>A1</t>
        </is>
      </c>
      <c r="D5" s="4" t="inlineStr">
        <is>
          <t>NA</t>
        </is>
      </c>
      <c r="E5" s="10">
        <f>IF(C5&lt;&gt;D5,1,0)</f>
        <v/>
      </c>
      <c r="F5" s="20">
        <f>IFERROR(INDEX('Site CE-ICA'!$G$5:$G$12,MATCH(A5&amp;"|"&amp;C5,'Site CE-ICA'!$A$5:$A$12,0)),0)</f>
        <v/>
      </c>
      <c r="G5" s="26">
        <f>IFERROR(INDEX('Site CE-ICA'!$H$5:$H$12,MATCH(A5&amp;"|"&amp;C5,'Site CE-ICA'!$A$5:$A$12,0)),0)</f>
        <v/>
      </c>
      <c r="H5" s="25">
        <f>IFERROR(INDEX(Summary!$H$5:$H$7,MATCH(C5,Summary!$C$5:$C$7,0)),0)</f>
        <v/>
      </c>
      <c r="I5" s="6">
        <f>IF(E5=1,IFERROR(INDEX('Site CE-ICA'!$I$5:$I$12,MATCH(A5&amp;"|"&amp;C5,'Site CE-ICA'!$A$5:$A$12,0)),0),0)</f>
        <v/>
      </c>
      <c r="J5" s="6">
        <f>IF(E5=1,IFERROR(INDEX('Site CE-ICA'!$J$5:$J$12,MATCH(A5&amp;"|"&amp;C5,'Site CE-ICA'!$A$5:$A$12,0)),0),0)</f>
        <v/>
      </c>
      <c r="K5" s="10">
        <f>IFERROR(INDEX('Site CE-ICA'!$L$5:$L$12,MATCH(A5&amp;"|"&amp;C5,'Site CE-ICA'!$A$5:$A$12,0)),0)</f>
        <v/>
      </c>
      <c r="L5" s="10">
        <f>IFERROR(INDEX('Site CE-ICA'!$P$5:$P$12,MATCH(A5&amp;"|"&amp;C5,'Site CE-ICA'!$A$5:$A$12,0)),0)</f>
        <v/>
      </c>
      <c r="M5" s="4" t="inlineStr">
        <is>
          <t>Suggested</t>
        </is>
      </c>
    </row>
    <row r="6">
      <c r="A6" s="4" t="inlineStr">
        <is>
          <t>B</t>
        </is>
      </c>
      <c r="B6" s="4" t="inlineStr"/>
      <c r="C6" s="15" t="inlineStr">
        <is>
          <t>B1</t>
        </is>
      </c>
      <c r="D6" s="4" t="inlineStr">
        <is>
          <t>NA</t>
        </is>
      </c>
      <c r="E6" s="10">
        <f>IF(C6&lt;&gt;D6,1,0)</f>
        <v/>
      </c>
      <c r="F6" s="20">
        <f>IFERROR(INDEX('Site CE-ICA'!$G$5:$G$12,MATCH(A6&amp;"|"&amp;C6,'Site CE-ICA'!$A$5:$A$12,0)),0)</f>
        <v/>
      </c>
      <c r="G6" s="26">
        <f>IFERROR(INDEX('Site CE-ICA'!$H$5:$H$12,MATCH(A6&amp;"|"&amp;C6,'Site CE-ICA'!$A$5:$A$12,0)),0)</f>
        <v/>
      </c>
      <c r="H6" s="25">
        <f>IFERROR(INDEX(Summary!$H$8:$H$9,MATCH(C6,Summary!$C$8:$C$9,0)),0)</f>
        <v/>
      </c>
      <c r="I6" s="6">
        <f>IF(E6=1,IFERROR(INDEX('Site CE-ICA'!$I$5:$I$12,MATCH(A6&amp;"|"&amp;C6,'Site CE-ICA'!$A$5:$A$12,0)),0),0)</f>
        <v/>
      </c>
      <c r="J6" s="6">
        <f>IF(E6=1,IFERROR(INDEX('Site CE-ICA'!$J$5:$J$12,MATCH(A6&amp;"|"&amp;C6,'Site CE-ICA'!$A$5:$A$12,0)),0),0)</f>
        <v/>
      </c>
      <c r="K6" s="10">
        <f>IFERROR(INDEX('Site CE-ICA'!$L$5:$L$12,MATCH(A6&amp;"|"&amp;C6,'Site CE-ICA'!$A$5:$A$12,0)),0)</f>
        <v/>
      </c>
      <c r="L6" s="10">
        <f>IFERROR(INDEX('Site CE-ICA'!$P$5:$P$12,MATCH(A6&amp;"|"&amp;C6,'Site CE-ICA'!$A$5:$A$12,0)),0)</f>
        <v/>
      </c>
      <c r="M6" s="4" t="inlineStr">
        <is>
          <t>Suggested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conditionalFormatting sqref="C5:C6">
    <cfRule type="expression" priority="1" dxfId="0" stopIfTrue="0">
      <formula>C5&lt;&gt;'snap Sites'!C5</formula>
    </cfRule>
  </conditionalFormatting>
  <dataValidations count="2">
    <dataValidation sqref="C5" showDropDown="0" showInputMessage="0" showErrorMessage="0" allowBlank="0" type="list">
      <formula1>"NA,A1,A2"</formula1>
    </dataValidation>
    <dataValidation sqref="C6" showDropDown="0" showInputMessage="0" showErrorMessage="0" allowBlank="0" type="list">
      <formula1>"NA,B1"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style="8" min="1" max="1"/>
    <col width="44" customWidth="1" style="8" min="2" max="2"/>
    <col width="11" customWidth="1" style="8" min="3" max="3"/>
    <col width="14" customWidth="1" style="8" min="4" max="4"/>
    <col width="14" customWidth="1" style="8" min="5" max="5"/>
    <col width="11" customWidth="1" style="8" min="6" max="6"/>
    <col width="9" customWidth="1" style="8" min="7" max="7"/>
    <col width="8" customWidth="1" style="8" min="8" max="8"/>
    <col width="8" customWidth="1" style="8" min="9" max="9"/>
    <col width="13" customWidth="1" style="8" min="10" max="10"/>
    <col width="8" customWidth="1" style="8" min="11" max="11"/>
  </cols>
  <sheetData>
    <row r="1">
      <c r="A1" s="1" t="inlineStr">
        <is>
          <t>Watershed plans (values from the app)</t>
        </is>
      </c>
    </row>
    <row r="2">
      <c r="A2" s="2" t="inlineStr">
        <is>
          <t>This study uses several alternatives per site, so the plan table holds the app's values rather than formulas. Site sheets stay live.</t>
        </is>
      </c>
    </row>
    <row r="4">
      <c r="A4" s="12" t="inlineStr">
        <is>
          <t>Plan number</t>
        </is>
      </c>
      <c r="B4" s="12" t="inlineStr">
        <is>
          <t>Plan</t>
        </is>
      </c>
      <c r="C4" s="12" t="inlineStr">
        <is>
          <t>Lift (AAHU)</t>
        </is>
      </c>
      <c r="D4" s="12" t="inlineStr">
        <is>
          <t>Average annual cost</t>
        </is>
      </c>
      <c r="E4" s="12" t="inlineStr">
        <is>
          <t>Construction cost</t>
        </is>
      </c>
      <c r="F4" s="12" t="inlineStr">
        <is>
          <t>Unit cost</t>
        </is>
      </c>
      <c r="G4" s="12" t="inlineStr">
        <is>
          <t>Cost-effective</t>
        </is>
      </c>
      <c r="H4" s="12" t="inlineStr">
        <is>
          <t>Best buy</t>
        </is>
      </c>
      <c r="I4" s="12" t="inlineStr">
        <is>
          <t>Best-buy step</t>
        </is>
      </c>
      <c r="J4" s="12" t="inlineStr">
        <is>
          <t>Incremental cost per unit</t>
        </is>
      </c>
      <c r="K4" s="12" t="inlineStr">
        <is>
          <t>Final array</t>
        </is>
      </c>
    </row>
    <row r="5">
      <c r="A5" s="4" t="n">
        <v>1</v>
      </c>
      <c r="B5" s="4" t="inlineStr">
        <is>
          <t>No Action</t>
        </is>
      </c>
      <c r="C5" s="20" t="n">
        <v>0</v>
      </c>
      <c r="D5" s="26" t="n">
        <v>0</v>
      </c>
      <c r="E5" s="25" t="n">
        <v>0</v>
      </c>
      <c r="F5" s="26" t="inlineStr">
        <is>
          <t>n/a</t>
        </is>
      </c>
      <c r="G5" s="10" t="n">
        <v>1</v>
      </c>
      <c r="H5" s="10" t="n">
        <v>1</v>
      </c>
      <c r="I5" s="10" t="n">
        <v>0</v>
      </c>
      <c r="J5" s="26" t="inlineStr"/>
      <c r="K5" s="10" t="n">
        <v>1</v>
      </c>
    </row>
    <row r="6">
      <c r="A6" s="4" t="n">
        <v>5</v>
      </c>
      <c r="B6" s="4" t="inlineStr">
        <is>
          <t>A (A2)</t>
        </is>
      </c>
      <c r="C6" s="20" t="n">
        <v>3.085</v>
      </c>
      <c r="D6" s="26" t="n">
        <v>7021.71</v>
      </c>
      <c r="E6" s="25" t="n">
        <v>180000</v>
      </c>
      <c r="F6" s="26" t="n">
        <v>2276.081037277148</v>
      </c>
      <c r="G6" s="10" t="n">
        <v>1</v>
      </c>
      <c r="H6" s="10" t="n">
        <v>0</v>
      </c>
      <c r="I6" s="10" t="inlineStr"/>
      <c r="J6" s="26" t="inlineStr"/>
      <c r="K6" s="10" t="n">
        <v>0</v>
      </c>
    </row>
    <row r="7">
      <c r="A7" s="4" t="n">
        <v>2</v>
      </c>
      <c r="B7" s="4" t="inlineStr">
        <is>
          <t>B (B1)</t>
        </is>
      </c>
      <c r="C7" s="20" t="n">
        <v>5.93</v>
      </c>
      <c r="D7" s="26" t="n">
        <v>11702.85</v>
      </c>
      <c r="E7" s="25" t="n">
        <v>300000</v>
      </c>
      <c r="F7" s="26" t="n">
        <v>1973.49915682968</v>
      </c>
      <c r="G7" s="10" t="n">
        <v>0</v>
      </c>
      <c r="H7" s="10" t="n">
        <v>0</v>
      </c>
      <c r="I7" s="10" t="inlineStr"/>
      <c r="J7" s="26" t="inlineStr"/>
      <c r="K7" s="10" t="n">
        <v>0</v>
      </c>
    </row>
    <row r="8">
      <c r="A8" s="4" t="n">
        <v>3</v>
      </c>
      <c r="B8" s="4" t="inlineStr">
        <is>
          <t>A (A1)</t>
        </is>
      </c>
      <c r="C8" s="20" t="n">
        <v>6.208</v>
      </c>
      <c r="D8" s="26" t="n">
        <v>9752.379999999999</v>
      </c>
      <c r="E8" s="25" t="n">
        <v>250000</v>
      </c>
      <c r="F8" s="26" t="n">
        <v>1570.9375</v>
      </c>
      <c r="G8" s="10" t="n">
        <v>1</v>
      </c>
      <c r="H8" s="10" t="n">
        <v>1</v>
      </c>
      <c r="I8" s="10" t="n">
        <v>1</v>
      </c>
      <c r="J8" s="26" t="n">
        <v>1570.9375</v>
      </c>
      <c r="K8" s="10" t="n">
        <v>1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Watershed summary: best buys, final array and the tentatively selected plan</t>
        </is>
      </c>
    </row>
    <row r="2">
      <c r="A2" s="2" t="inlineStr">
        <is>
          <t>Tables read the watershed plans sheet. Choose the TSP from the final array.</t>
        </is>
      </c>
    </row>
    <row r="4">
      <c r="A4" t="inlineStr">
        <is>
          <t>See the Watershed plans sheet (values from the app).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9" customWidth="1" style="8" min="1" max="1"/>
    <col width="16" customWidth="1" style="8" min="2" max="2"/>
    <col width="20" customWidth="1" style="8" min="3" max="3"/>
    <col width="22" customWidth="1" style="8" min="4" max="4"/>
  </cols>
  <sheetData>
    <row r="1">
      <c r="A1" s="1" t="inlineStr">
        <is>
          <t>IWR Planning Suite II input</t>
        </is>
      </c>
    </row>
    <row r="2">
      <c r="A2" s="2" t="inlineStr">
        <is>
          <t>Paste-ready plan, output and cost columns for an independent re-run in IWR Planning Suite II (user-entered planning set; No Action is the first plan).</t>
        </is>
      </c>
    </row>
    <row r="4">
      <c r="A4" s="7" t="inlineStr">
        <is>
          <t>Site planning sets</t>
        </is>
      </c>
    </row>
    <row r="5">
      <c r="A5" s="12" t="inlineStr">
        <is>
          <t>Site</t>
        </is>
      </c>
      <c r="B5" s="12" t="inlineStr">
        <is>
          <t>Plan</t>
        </is>
      </c>
      <c r="C5" s="12" t="inlineStr">
        <is>
          <t>Output (AAHU above No Action)</t>
        </is>
      </c>
      <c r="D5" s="12" t="inlineStr">
        <is>
          <t>Cost (average annual, above No Action)</t>
        </is>
      </c>
    </row>
    <row r="6">
      <c r="A6" s="4" t="inlineStr">
        <is>
          <t>A</t>
        </is>
      </c>
      <c r="B6" s="4" t="inlineStr">
        <is>
          <t>NA</t>
        </is>
      </c>
      <c r="C6" s="20">
        <f>'Site CE-ICA'!I6/10^in_out_dp</f>
        <v/>
      </c>
      <c r="D6" s="26">
        <f>'Site CE-ICA'!J6/10^in_cost_dp</f>
        <v/>
      </c>
    </row>
    <row r="7">
      <c r="A7" s="4" t="inlineStr">
        <is>
          <t>A</t>
        </is>
      </c>
      <c r="B7" s="4" t="inlineStr">
        <is>
          <t>A1</t>
        </is>
      </c>
      <c r="C7" s="20">
        <f>'Site CE-ICA'!I7/10^in_out_dp</f>
        <v/>
      </c>
      <c r="D7" s="26">
        <f>'Site CE-ICA'!J7/10^in_cost_dp</f>
        <v/>
      </c>
    </row>
    <row r="8">
      <c r="A8" s="4" t="inlineStr">
        <is>
          <t>A</t>
        </is>
      </c>
      <c r="B8" s="4" t="inlineStr">
        <is>
          <t>A2</t>
        </is>
      </c>
      <c r="C8" s="20">
        <f>'Site CE-ICA'!I8/10^in_out_dp</f>
        <v/>
      </c>
      <c r="D8" s="26">
        <f>'Site CE-ICA'!J8/10^in_cost_dp</f>
        <v/>
      </c>
    </row>
    <row r="9">
      <c r="A9" s="4" t="inlineStr">
        <is>
          <t>B</t>
        </is>
      </c>
      <c r="B9" s="4" t="inlineStr">
        <is>
          <t>NA</t>
        </is>
      </c>
      <c r="C9" s="20">
        <f>'Site CE-ICA'!I11/10^in_out_dp</f>
        <v/>
      </c>
      <c r="D9" s="26">
        <f>'Site CE-ICA'!J11/10^in_cost_dp</f>
        <v/>
      </c>
    </row>
    <row r="10">
      <c r="A10" s="4" t="inlineStr">
        <is>
          <t>B</t>
        </is>
      </c>
      <c r="B10" s="4" t="inlineStr">
        <is>
          <t>B1</t>
        </is>
      </c>
      <c r="C10" s="20">
        <f>'Site CE-ICA'!I12/10^in_out_dp</f>
        <v/>
      </c>
      <c r="D10" s="26">
        <f>'Site CE-ICA'!J12/10^in_cost_dp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4:D14"/>
  <sheetViews>
    <sheetView workbookViewId="0">
      <selection activeCell="A1" sqref="A1"/>
    </sheetView>
  </sheetViews>
  <sheetFormatPr baseColWidth="8" defaultRowHeight="15"/>
  <sheetData>
    <row r="4">
      <c r="B4" t="n">
        <v>0.03</v>
      </c>
    </row>
    <row r="5">
      <c r="B5" t="n">
        <v>50</v>
      </c>
    </row>
    <row r="6">
      <c r="B6" t="n">
        <v>12</v>
      </c>
    </row>
    <row r="7">
      <c r="B7" t="inlineStr">
        <is>
          <t>END</t>
        </is>
      </c>
    </row>
    <row r="8">
      <c r="B8" t="inlineStr">
        <is>
          <t>END_OF_YEAR</t>
        </is>
      </c>
    </row>
    <row r="9">
      <c r="B9" t="n">
        <v>2</v>
      </c>
    </row>
    <row r="10">
      <c r="B10" t="n">
        <v>3</v>
      </c>
    </row>
    <row r="14">
      <c r="B14" t="n">
        <v>0</v>
      </c>
      <c r="C14" t="n">
        <v>5</v>
      </c>
      <c r="D14" t="n">
        <v>50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F6:O20"/>
  <sheetViews>
    <sheetView workbookViewId="0">
      <selection activeCell="A1" sqref="A1"/>
    </sheetView>
  </sheetViews>
  <sheetFormatPr baseColWidth="8" defaultRowHeight="15"/>
  <sheetData>
    <row r="6">
      <c r="L6" t="n">
        <v>1</v>
      </c>
      <c r="M6" t="n">
        <v>1</v>
      </c>
      <c r="N6" t="n">
        <v>1</v>
      </c>
    </row>
    <row r="7">
      <c r="L7" t="n">
        <v>1</v>
      </c>
      <c r="M7" t="n">
        <v>4</v>
      </c>
      <c r="N7" t="n">
        <v>5</v>
      </c>
    </row>
    <row r="8">
      <c r="L8" t="n">
        <v>1</v>
      </c>
      <c r="M8" t="n">
        <v>2</v>
      </c>
      <c r="N8" t="n">
        <v>2.5</v>
      </c>
    </row>
    <row r="9">
      <c r="L9" t="n">
        <v>2</v>
      </c>
      <c r="M9" t="n">
        <v>2</v>
      </c>
      <c r="N9" t="n">
        <v>2</v>
      </c>
    </row>
    <row r="10">
      <c r="L10" t="n">
        <v>2</v>
      </c>
      <c r="M10" t="n">
        <v>5</v>
      </c>
      <c r="N10" t="n">
        <v>6</v>
      </c>
    </row>
    <row r="11">
      <c r="F11" t="n">
        <v>0.2</v>
      </c>
      <c r="G11" t="n">
        <v>0.2</v>
      </c>
      <c r="H11" t="n">
        <v>0.2</v>
      </c>
      <c r="I11" t="n">
        <v>3</v>
      </c>
      <c r="J11" t="n">
        <v>3</v>
      </c>
      <c r="K11" t="n">
        <v>3</v>
      </c>
    </row>
    <row r="12">
      <c r="F12" t="n">
        <v>0.2</v>
      </c>
      <c r="G12" t="n">
        <v>0.5</v>
      </c>
      <c r="H12" t="n">
        <v>0.7</v>
      </c>
      <c r="I12" t="n">
        <v>3</v>
      </c>
      <c r="J12" t="n">
        <v>3.5</v>
      </c>
      <c r="K12" t="n">
        <v>3.5</v>
      </c>
    </row>
    <row r="13">
      <c r="F13" t="n">
        <v>0.2</v>
      </c>
      <c r="G13" t="n">
        <v>0.6</v>
      </c>
      <c r="H13" t="n">
        <v>0.8</v>
      </c>
      <c r="I13" t="n">
        <v>3</v>
      </c>
      <c r="J13" t="n">
        <v>3</v>
      </c>
      <c r="K13" t="n">
        <v>3</v>
      </c>
    </row>
    <row r="14">
      <c r="F14" t="n">
        <v>0.4</v>
      </c>
      <c r="G14" t="n">
        <v>0.4</v>
      </c>
      <c r="H14" t="n">
        <v>0.4</v>
      </c>
      <c r="I14" t="n">
        <v>1</v>
      </c>
      <c r="J14" t="n">
        <v>1</v>
      </c>
      <c r="K14" t="n">
        <v>1</v>
      </c>
    </row>
    <row r="15">
      <c r="F15" t="n">
        <v>0.4</v>
      </c>
      <c r="G15" t="n">
        <v>0.4</v>
      </c>
      <c r="H15" t="n">
        <v>0.9</v>
      </c>
      <c r="I15" t="n">
        <v>1</v>
      </c>
      <c r="J15" t="n">
        <v>1</v>
      </c>
      <c r="K15" t="n">
        <v>2</v>
      </c>
    </row>
    <row r="16">
      <c r="O16" t="n">
        <v>0</v>
      </c>
    </row>
    <row r="17">
      <c r="O17" t="n">
        <v>1.5</v>
      </c>
    </row>
    <row r="18">
      <c r="O18" t="n">
        <v>0.5</v>
      </c>
    </row>
    <row r="19">
      <c r="O19" t="n">
        <v>0</v>
      </c>
    </row>
    <row r="20">
      <c r="O20" t="n">
        <v>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D6:G10"/>
  <sheetViews>
    <sheetView workbookViewId="0">
      <selection activeCell="A1" sqref="A1"/>
    </sheetView>
  </sheetViews>
  <sheetFormatPr baseColWidth="8" defaultRowHeight="15"/>
  <sheetData>
    <row r="6">
      <c r="D6" t="n">
        <v>0</v>
      </c>
      <c r="G6" t="n">
        <v>4</v>
      </c>
    </row>
    <row r="7">
      <c r="D7" t="n">
        <v>250000</v>
      </c>
      <c r="G7" t="n">
        <v>4</v>
      </c>
    </row>
    <row r="8">
      <c r="D8" t="n">
        <v>180000</v>
      </c>
      <c r="G8" t="n">
        <v>4</v>
      </c>
    </row>
    <row r="9">
      <c r="D9" t="n">
        <v>0</v>
      </c>
      <c r="G9" t="n">
        <v>4</v>
      </c>
    </row>
    <row r="10">
      <c r="D10" t="n">
        <v>300000</v>
      </c>
      <c r="G10" t="n">
        <v>4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C5:C6"/>
  <sheetViews>
    <sheetView workbookViewId="0">
      <selection activeCell="A1" sqref="A1"/>
    </sheetView>
  </sheetViews>
  <sheetFormatPr baseColWidth="8" defaultRowHeight="15"/>
  <sheetData>
    <row r="5">
      <c r="C5" t="inlineStr">
        <is>
          <t>A1</t>
        </is>
      </c>
    </row>
    <row r="6">
      <c r="C6" t="inlineStr">
        <is>
          <t>B1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G5:L9"/>
  <sheetViews>
    <sheetView workbookViewId="0">
      <selection activeCell="A1" sqref="A1"/>
    </sheetView>
  </sheetViews>
  <sheetFormatPr baseColWidth="8" defaultRowHeight="15"/>
  <sheetData>
    <row r="5">
      <c r="G5" t="n">
        <v>0</v>
      </c>
      <c r="L5" t="n">
        <v>0</v>
      </c>
    </row>
    <row r="6">
      <c r="G6" t="n">
        <v>6.2075</v>
      </c>
      <c r="L6" t="n">
        <v>9752.377544367695</v>
      </c>
    </row>
    <row r="7">
      <c r="G7" t="n">
        <v>3.085</v>
      </c>
      <c r="L7" t="n">
        <v>7021.71183194474</v>
      </c>
    </row>
    <row r="8">
      <c r="G8" t="n">
        <v>0</v>
      </c>
      <c r="L8" t="n">
        <v>0</v>
      </c>
    </row>
    <row r="9">
      <c r="G9" t="n">
        <v>5.93</v>
      </c>
      <c r="L9" t="n">
        <v>11702.85305324123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L6:P12"/>
  <sheetViews>
    <sheetView workbookViewId="0">
      <selection activeCell="A1" sqref="A1"/>
    </sheetView>
  </sheetViews>
  <sheetFormatPr baseColWidth="8" defaultRowHeight="15"/>
  <sheetData>
    <row r="6">
      <c r="L6" t="n">
        <v>1</v>
      </c>
      <c r="P6" t="n">
        <v>1</v>
      </c>
    </row>
    <row r="7">
      <c r="L7" t="n">
        <v>1</v>
      </c>
      <c r="P7" t="n">
        <v>1</v>
      </c>
    </row>
    <row r="8">
      <c r="L8" t="n">
        <v>1</v>
      </c>
      <c r="P8" t="n">
        <v>0</v>
      </c>
    </row>
    <row r="11">
      <c r="L11" t="n">
        <v>1</v>
      </c>
      <c r="P11" t="n">
        <v>1</v>
      </c>
    </row>
    <row r="12">
      <c r="L12" t="n">
        <v>1</v>
      </c>
      <c r="P12" t="n">
        <v>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ceica-calculator</t>
        </is>
      </c>
      <c r="B1" t="n">
        <v>2</v>
      </c>
    </row>
    <row r="2">
      <c r="A2" t="inlineStr">
        <is>
          <t>project</t>
        </is>
      </c>
      <c r="B2" t="n">
        <v>1</v>
      </c>
      <c r="C2" t="inlineStr">
        <is>
          <t>{"benefits":{"modules":[{"id":"hab","method":"HU","name":"Habitat","quantity_units":""},{"id":"rip","method":"INDEX_X_QUANTITY","name":"Riparian","quantity_units":"acres"},{"id":"wet","method":"AAHU","name":"Wetland","quantity_units":""}],"staf_mapping":"A","target_years":[0.0,5.0,50.0]},"cost_categories":[{"id":"construction","idc_applies":true,"name":"Construction"},{"id":"monitoring","idc_applies":false,"name":"Monitoring"},{"id":"adaptive_management","idc_applies":false,"name":"Adaptive management"}],"decisions":{"sites":{},"watershed":{"basis":null,"final_array":{},"steps":{},"tsp":null,"tsp_plan_type":"National Ecosystem Restoration (NER) plan","tsp_rationale":""}},"description":"","labels":{"annual_output_name":"Average annual habitat units","annual_output_short":"AAHU","lift_name":"Ecological lift","output_name":"Habitat units","output_short":"HU"},"name":"Mixed test","project_id":"golden-rules","provenance":{},"report":{"contents":"FULL","date":"","prepared_by":"","status":"DRAFT","title":""},"schema_version":"ceica-project/3","settings":{"aahu_method":"TRAPEZOID","cost_decimals":2,"discount_rate":0.03,"idc_method":"END","idc_periods_per_year":12,"output_decimals":3,"period_of_analysis":50,"price_level":"","recurring_timing":"END_OF_YEAR"},"sites":[{"alternatives":[{"costs":{"annual_override":null,"construction_months":4.0,"first_costs":{"construction":0.0},"recurring":[]},"description":"","id":"NA","is_no_action":true,"name":"","outputs":[{"aahu":null,"module_id":"hab","quantity":[],"scores":{},"values":[1.0,1.0,1.0]},{"aahu":null,"module_id":"rip","quantity":[3.0,3.0,3.0],"scores":{},"values":[0.2,0.2,0.2]},{"aahu":0.0,"module_id":"wet","quantity":[],"scores":{},"values":[]}]},{"costs":{"annual_override":null,"construction_months":4.0,"first_costs":{"construction":250000.0},"recurring":[]},"description":"","id":"A1","is_no_action":false,"name":"","outputs":[{"aahu":null,"module_id":"hab","quantity":[],"scores":{},"values":[1.0,4.0,5.0]},{"aahu":null,"module_id":"rip","quantity":[3.0,3.5,3.5],"scores":{},"values":[0.2,0.5,0.7]},{"aahu":1.5,"module_id":"wet","quantity":[],"scores":{},"values":[]}]},{"costs":{"annual_override":null,"construction_months":4.0,"first_costs":{"construction":180000.0},"recurring":[]},"description":"","id":"A2","is_no_action":false,"name":"","outputs":[{"aahu":null,"module_id":"hab","quantity":[],"scores":{},"values":[1.0,2.0,2.5]},{"aahu":null,"module_id":"rip","quantity":[3.0,3.0,3.0],"scores":{},"values":[0.2,0.6,0.8]},{"aahu":0.5,"module_id":"wet","quantity":[],"scores":{},"values":[]}]}],"description":"","id":"A","name":"","staf_not_assessed":{},"staf_source":{}},{"alternatives":[{"costs":{"annual_override":null,"construction_months":4.0,"first_costs":{"construction":0.0},"recurring":[]},"description":"","id":"NA","is_no_action":true,"name":"","outputs":[{"aahu":null,"module_id":"hab","quantity":[],"scores":{},"values":[2.0,2.0,2.0]},{"aahu":null,"module_id":"rip","quantity":[1.0,1.0,1.0],"scores":{},"values":[0.4,0.4,0.4]},{"aahu":0.0,"module_id":"wet","quantity":[],"scores":{},"values":[]}]},{"costs":{"annual_override":null,"construction_months":4.0,"first_costs":{"construction":300000.0},"recurring":[]},"description":"","id":"B1","is_no_action":false,"name":"","outputs":[{"aahu":null,"module_id":"hab","quantity":[],"scores":{},"values":[2.0,5.0,6.0]},{"aahu":null,"module_id":"rip","quantity":[1.0,1.0,2.0],"scores":{},"values":[0.4,0.4,0.9]},{"aahu":2.0,"module_id":"wet","quantity":[],"scores":{},"values":[]}]}],"description":"","id":"B","name":"","staf_not_assessed":{},"staf_source":{}}],"watershed":{"carried":{"A":["A1","A2"],"B":["B1"]},"mode":"MULTI","rules":[{"kind":"NOT_COMBINABLE","site_id":"A","with_sites":["B"]}]}}</t>
        </is>
      </c>
    </row>
    <row r="3">
      <c r="A3" t="inlineStr">
        <is>
          <t>meta</t>
        </is>
      </c>
      <c r="B3" t="n">
        <v>1</v>
      </c>
      <c r="C3" t="inlineStr">
        <is>
          <t>{"appVersion":"1.0.0","engineVersion":"1","format":"ceica-calculator","formatVersion":2,"layout":[{"cell":"B4","kind":"number","path":["settings","discount_rate"],"sheet":"Parameters"},{"cell":"B5","kind":"number","path":["settings","period_of_analysis"],"sheet":"Parameters"},{"cell":"B6","kind":"number","path":["settings","idc_periods_per_year"],"sheet":"Parameters"},{"cell":"B7","kind":"text","path":["settings","idc_method"],"sheet":"Parameters"},{"cell":"B8","kind":"text","path":["settings","recurring_timing"],"sheet":"Parameters"},{"cell":"B9","kind":"number","path":["settings","cost_decimals"],"sheet":"Parameters"},{"cell":"B10","kind":"number","path":["settings","output_decimals"],"sheet":"Parameters"},{"cell":"B14","kind":"number","path":["benefits","target_years",0],"sheet":"Parameters"},{"cell":"C14","kind":"number","path":["benefits","target_years",1],"sheet":"Parameters"},{"cell":"D14","kind":"number","path":["benefits","target_years",2],"sheet":"Parameters"},{"cell":"L6","kind":"optional","path":["sites",0,"alternatives",0,"outputs",{"module_id":"hab"},"values",0],"sheet":"Benefits"},{"cell":"M6","kind":"optional","path":["sites",0,"alternatives",0,"outputs",{"module_id":"hab"},"values",1],"sheet":"Benefits"},{"cell":"N6","kind":"optional","path":["sites",0,"alternatives",0,"outputs",{"module_id":"hab"},"values",2],"sheet":"Benefits"},{"cell":"L7","kind":"optional","path":["sites",0,"alternatives",1,"outputs",{"module_id":"hab"},"values",0],"sheet":"Benefits"},{"cell":"M7","kind":"optional","path":["sites",0,"alternatives",1,"outputs",{"module_id":"hab"},"values",1],"sheet":"Benefits"},{"cell":"N7","kind":"optional","path":["sites",0,"alternatives",1,"outputs",{"module_id":"hab"},"values",2],"sheet":"Benefits"},{"cell":"L8","kind":"optional","path":["sites",0,"alternatives",2,"outputs",{"module_id":"hab"},"values",0],"sheet":"Benefits"},{"cell":"M8","kind":"optional","path":["sites",0,"alternatives",2,"outputs",{"module_id":"hab"},"values",1],"sheet":"Benefits"},{"cell":"N8","kind":"optional","path":["sites",0,"alternatives",2,"outputs",{"module_id":"hab"},"values",2],"sheet":"Benefits"},{"cell":"L9","kind":"optional","path":["sites",1,"alternatives",0,"outputs",{"module_id":"hab"},"values",0],"sheet":"Benefits"},{"cell":"M9","kind":"optional","path":["sites",1,"alternatives",0,"outputs",{"module_id":"hab"},"values",1],"sheet":"Benefits"},{"cell":"N9","kind":"optional","path":["sites",1,"alternatives",0,"outputs",{"module_id":"hab"},"values",2],"sheet":"Benefits"},{"cell":"L10","kind":"optional","path":["sites",1,"alternatives",1,"outputs",{"module_id":"hab"},"values",0],"sheet":"Benefits"},{"cell":"M10","kind":"optional","path":["sites",1,"alternatives",1,"outputs",{"module_id":"hab"},"values",1],"sheet":"Benefits"},{"cell":"N10","kind":"optional","path":["sites",1,"alternatives",1,"outputs",{"module_id":"hab"},"values",2],"sheet":"Benefits"},{"cell":"F11","kind":"optional","path":["sites",0,"alternatives",0,"outputs",{"module_id":"rip"},"values",0],"sheet":"Benefits"},{"cell":"I11","kind":"optional","path":["sites",0,"alternatives",0,"outputs",{"module_id":"rip"},"quantity",0],"sheet":"Benefits"},{"cell":"G11","kind":"optional","path":["sites",0,"alternatives",0,"outputs",{"module_id":"rip"},"values",1],"sheet":"Benefits"},{"cell":"J11","kind":"optional","path":["sites",0,"alternatives",0,"outputs",{"module_id":"rip"},"quantity",1],"sheet":"Benefits"},{"cell":"H11","kind":"optional","path":["sites",0,"alternatives",0,"outputs",{"module_id":"rip"},"values",2],"sheet":"Benefits"},{"cell":"K11","kind":"optional","path":["sites",0,"alternatives",0,"outputs",{"module_id":"rip"},"quantity",2],"sheet":"Benefits"},{"cell":"F12","kind":"optional","path":["sites",0,"alternatives",1,"outputs",{"module_id":"rip"},"values",0],"sheet":"Benefits"},{"cell":"I12","kind":"optional","path":["sites",0,"alternatives",1,"outputs",{"module_id":"rip"},"quantity",0],"sheet":"Benefits"},{"cell":"G12","kind":"optional","path":["sites",0,"alternatives",1,"outputs",{"module_id":"rip"},"values",1],"sheet":"Benefits"},{"cell":"J12","kind":"optional","path":["sites",0,"alternatives",1,"outputs",{"module_id":"rip"},"quantity",1],"sheet":"Benefits"},{"cell":"H12","kind":"optional","path":["sites",0,"alternatives",1,"outputs",{"module_id":"rip"},"values",2],"sheet":"Benefits"},{"cell":"K12","kind":"optional","path":["sites",0,"alternatives",1,"outputs",{"module_id":"rip"},"quantity",2],"sheet":"Benefits"},{"cell":"F13","kind":"optional","path":["sites",0,"alternatives",2,"outputs",{"module_id":"rip"},"values",0],"sheet":"Benefits"},{"cell":"I13","kind":"optional","path":["sites",0,"alternatives",2,"outputs",{"module_id":"rip"},"quantity",0],"sheet":"Benefits"},{"cell":"G13","kind":"optional","path":["sites",0,"alternatives",2,"outputs",{"module_id":"rip"},"values",1],"sheet":"Benefits"},{"cell":"J13","kind":"optional","path":["sites",0,"alternatives",2,"outputs",{"module_id":"rip"},"quantity",1],"sheet":"Benefits"},{"cell":"H13","kind":"optional","path":["sites",0,"alternatives",2,"outputs",{"module_id":"rip"},"values",2],"sheet":"Benefits"},{"cell":"K13","kind":"optional","path":["sites",0,"alternatives",2,"outputs",{"module_id":"rip"},"quantity",2],"sheet":"Benefits"},{"cell":"F14","kind":"optional","path":["sites",1,"alternatives",0,"outputs",{"module_id":"rip"},"values",0],"sheet":"Benefits"},{"cell":"I14","kind":"optional","path":["sites",1,"alternatives",0,"outputs",{"module_id":"rip"},"quantity",0],"sheet":"Benefits"},{"cell":"G14","kind":"optional","path":["sites",1,"alternatives",0,"outputs",{"module_id":"rip"},"values",1],"sheet":"Benefits"},{"cell":"J14","kind":"optional","path":["sites",1,"alternatives",0,"outputs",{"module_id":"rip"},"quantity",1],"sheet":"Benefits"},{"cell":"H14","kind":"optional","path":["sites",1,"alternatives",0,"outputs",{"module_id":"rip"},"values",2],"sheet":"Benefits"},{"cell":"K14","kind":"optional","path":["sites",1,"alternatives",0,"outputs",{"module_id":"rip"},"quantity",2],"sheet":"Benefits"},{"cell":"F15","kind":"optional","path":["sites",1,"alternatives",1,"outputs",{"module_id":"rip"},"values",0],"sheet":"Benefits"},{"cell":"I15","kind":"optional","path":["sites",1,"alternatives",1,"outputs",{"module_id":"rip"},"quantity",0],"sheet":"Benefits"},{"cell":"G15","kind":"optional","path":["sites",1,"alternatives",1,"outputs",{"module_id":"rip"},"values",1],"sheet":"Benefits"},{"cell":"J15","kind":"optional","path":["sites",1,"alternatives",1,"outputs",{"module_id":"rip"},"quantity",1],"sheet":"Benefits"},{"cell":"H15","kind":"optional","path":["sites",1,"alternatives",1,"outputs",{"module_id":"rip"},"values",2],"sheet":"Benefits"},{"cell":"K15","kind":"optional","path":["sites",1,"alternatives",1,"outputs",{"module_id":"rip"},"quantity",2],"sheet":"Benefits"},{"cell":"O16","kind":"optional","path":["sites",0,"alternatives",0,"outputs",{"module_id":"wet"},"aahu"],"sheet":"Benefits"},{"cell":"O17","kind":"optional","path":["sites",0,"alternatives",1,"outputs",{"module_id":"wet"},"aahu"],"sheet":"Benefits"},{"cell":"O18","kind":"optional","path":["sites",0,"alternatives",2,"outputs",{"module_id":"wet"},"aahu"],"sheet":"Benefits"},{"cell":"O19","kind":"optional","path":["sites",1,"alternatives",0,"outputs",{"module_id":"wet"},"aahu"],"sheet":"Benefits"},{"cell":"O20","kind":"optional","path":["sites",1,"alternatives",1,"outputs",{"module_id":"wet"},"aahu"],"sheet":"Benefits"},{"cell":"D6","kind":"number","path":["sites",0,"alternatives",0,"costs","first_costs","construction"],"sheet":"Costs"},{"cell":"E6","kind":"number","path":["sites",0,"alternatives",0,"costs","first_costs","monitoring"],"sheet":"Costs"},{"cell":"F6","kind":"number","path":["sites",0,"alternatives",0,"costs","first_costs","adaptive_management"],"sheet":"Costs"},{"cell":"G6","kind":"number","path":["sites",0,"alternatives",0,"costs","construction_months"],"sheet":"Costs"},{"cell":"L6","kind":"optional","path":["sites",0,"alternatives",0,"costs","annual_override"],"sheet":"Costs"},{"cell":"D7","kind":"number","path":["sites",0,"alternatives",1,"costs","first_costs","construction"],"sheet":"Costs"},{"cell":"E7","kind":"number","path":["sites",0,"alternatives",1,"costs","first_costs","monitoring"],"sheet":"Costs"},{"cell":"F7","kind":"number","path":["sites",0,"alternatives",1,"costs","first_costs","adaptive_management"],"sheet":"Costs"},{"cell":"G7","kind":"number","path":["sites",0,"alternatives",1,"costs","construction_months"],"sheet":"Costs"},{"cell":"L7","kind":"optional","path":["sites",0,"alternatives",1,"costs","annual_override"],"sheet":"Costs"},{"cell":"D8","kind":"number","path":["sites",0,"alternatives",2,"costs","first_costs","construction"],"sheet":"Costs"},{"cell":"E8","kind":"number","path":["sites",0,"alternatives",2,"costs","first_costs","monitoring"],"sheet":"Costs"},{"cell":"F8","kind":"number","path":["sites",0,"alternatives",2,"costs","first_costs","adaptive_management"],"sheet":"Costs"},{"cell":"G8","kind":"number","path":["sites",0,"alternatives",2,"costs","construction_months"],"sheet":"Costs"},{"cell":"L8","kind":"optional","path":["sites",0,"alternatives",2,"costs","annual_override"],"sheet":"Costs"},{"cell":"D9","kind":"number","path":["sites",1,"alternatives",0,"costs","first_costs","construction"],"sheet":"Costs"},{"cell":"E9","kind":"number","path":["sites",1,"alternatives",0,"costs","first_costs","monitoring"],"sheet":"Costs"},{"cell":"F9","kind":"number","path":["sites",1,"alternatives",0,"costs","first_costs","adaptive_management"],"sheet":"Costs"},{"cell":"G9","kind":"number","path":["sites",1,"alternatives",0,"costs","construction_months"],"sheet":"Costs"},{"cell":"L9","kind":"optional","path":["sites",1,"alternatives",0,"costs","annual_override"],"sheet":"Costs"},{"cell":"D10","kind":"number","path":["sites",1,"alternatives",1,"costs","first_costs","construction"],"sheet":"Costs"},{"cell":"E10","kind":"number","path":["sites",1,"alternatives",1,"costs","first_costs","monitoring"],"sheet":"Costs"},{"cell":"F10","kind":"number","path":["sites",1,"alternatives",1,"costs","first_costs","adaptive_management"],"sheet":"Costs"},{"cell":"G10","kind":"number","path":["sites",1,"alternatives",1,"costs","construction_months"],"sheet":"Costs"},{"cell":"L10","kind":"optional","path":["sites",1,"alternatives",1,"costs","annual_override"],"sheet":"Costs"},{"cell":"C5","exported":"A1","kind":"rec","path":["decisions","sites","A","recommended_alt_id"],"sheet":"Sites"},{"cell":"C6","exported":"B1","kind":"rec","path":["decisions","sites","B","recommended_alt_id"],"sheet":"Sites"}],"liveWatershed":false,"planBits":[],"planRowKeys":{},"planSites":[],"projectDigest":"89aea71be748","schemaVersion":3}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