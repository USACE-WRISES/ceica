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A8B0B30-7616-489E-8945-E887C9EC5D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y" sheetId="1" r:id="rId1"/>
    <sheet name="Modules" sheetId="2" r:id="rId2"/>
    <sheet name="Alternatives" sheetId="3" r:id="rId3"/>
    <sheet name="Benefits" sheetId="4" r:id="rId4"/>
    <sheet name="Costs" sheetId="5" r:id="rId5"/>
    <sheet name="OMRRR" sheetId="6" r:id="rId6"/>
  </sheets>
  <calcPr calcId="191029"/>
</workbook>
</file>

<file path=xl/calcChain.xml><?xml version="1.0" encoding="utf-8"?>
<calcChain xmlns="http://schemas.openxmlformats.org/spreadsheetml/2006/main">
  <c r="C7" i="5" l="1"/>
  <c r="C8" i="5"/>
  <c r="C9" i="5"/>
  <c r="C6" i="5"/>
</calcChain>
</file>

<file path=xl/sharedStrings.xml><?xml version="1.0" encoding="utf-8"?>
<sst xmlns="http://schemas.openxmlformats.org/spreadsheetml/2006/main" count="150" uniqueCount="79">
  <si>
    <t>CEICA input template</t>
  </si>
  <si>
    <t>Fill the sheets, then open this file in CEICA (Open a file). Keep the header rows.</t>
  </si>
  <si>
    <t>Setting</t>
  </si>
  <si>
    <t>Value</t>
  </si>
  <si>
    <t>Study name</t>
  </si>
  <si>
    <t>Mixed test</t>
  </si>
  <si>
    <t>Description</t>
  </si>
  <si>
    <t>Discount rate</t>
  </si>
  <si>
    <t>Period of analysis (years)</t>
  </si>
  <si>
    <t>Price level</t>
  </si>
  <si>
    <t>Target years (comma separated)</t>
  </si>
  <si>
    <t>0, 5, 50</t>
  </si>
  <si>
    <t>Output name</t>
  </si>
  <si>
    <t>Habitat units</t>
  </si>
  <si>
    <t>Output abbreviation</t>
  </si>
  <si>
    <t>HU</t>
  </si>
  <si>
    <t>STAF mapping (A or B)</t>
  </si>
  <si>
    <t>A</t>
  </si>
  <si>
    <t>Modules</t>
  </si>
  <si>
    <t>The parts the output is built from; the output is their sum. Method: Habitat units, Index x quantity, STAF function scores or Average annual value (STAF modules cannot be mixed with the others).</t>
  </si>
  <si>
    <t>Name</t>
  </si>
  <si>
    <t>Method</t>
  </si>
  <si>
    <t>Quantity units</t>
  </si>
  <si>
    <t>Id</t>
  </si>
  <si>
    <t>Habitat</t>
  </si>
  <si>
    <t>hab</t>
  </si>
  <si>
    <t>Riparian</t>
  </si>
  <si>
    <t>Index x quantity</t>
  </si>
  <si>
    <t>acres</t>
  </si>
  <si>
    <t>rip</t>
  </si>
  <si>
    <t>Wetland</t>
  </si>
  <si>
    <t>Average annual value</t>
  </si>
  <si>
    <t>wet</t>
  </si>
  <si>
    <t>Alternatives</t>
  </si>
  <si>
    <t>One row per alternative, including one No Action row per site.</t>
  </si>
  <si>
    <t>Site</t>
  </si>
  <si>
    <t>Site name</t>
  </si>
  <si>
    <t>Alternative</t>
  </si>
  <si>
    <t>Alternative name</t>
  </si>
  <si>
    <t>No Action</t>
  </si>
  <si>
    <t>NA</t>
  </si>
  <si>
    <t>Yes</t>
  </si>
  <si>
    <t>A1</t>
  </si>
  <si>
    <t>No</t>
  </si>
  <si>
    <t>A2</t>
  </si>
  <si>
    <t>B</t>
  </si>
  <si>
    <t>B1</t>
  </si>
  <si>
    <t>Benefits</t>
  </si>
  <si>
    <t>One row per alternative and module. Year columns: the output (habitat-unit modules) or the index (index-x-quantity modules); Quantity columns: the quantity; Average: the average annual value (average-annual modules).</t>
  </si>
  <si>
    <t>Module</t>
  </si>
  <si>
    <t>0</t>
  </si>
  <si>
    <t>5</t>
  </si>
  <si>
    <t>50</t>
  </si>
  <si>
    <t>Quantity 0</t>
  </si>
  <si>
    <t>Quantity 5</t>
  </si>
  <si>
    <t>Quantity 50</t>
  </si>
  <si>
    <t>Average</t>
  </si>
  <si>
    <t>Costs</t>
  </si>
  <si>
    <t>First costs by category (base-year dollars), construction months, and an optional average annual cost that replaces the computation.</t>
  </si>
  <si>
    <t>construction</t>
  </si>
  <si>
    <t>monitoring</t>
  </si>
  <si>
    <t>adaptive_management</t>
  </si>
  <si>
    <t>Construction</t>
  </si>
  <si>
    <t>Monitoring</t>
  </si>
  <si>
    <t>Adaptive management</t>
  </si>
  <si>
    <t>Construction months</t>
  </si>
  <si>
    <t>Average annual cost entered</t>
  </si>
  <si>
    <t>OMRRR</t>
  </si>
  <si>
    <t>Recurring costs. Basis: FIXED (Amount), PERCENT (Percent of a Category's first cost) or RATE (Unit rate x Quantity). Blank first year: every N years.</t>
  </si>
  <si>
    <t>Item</t>
  </si>
  <si>
    <t>Basis</t>
  </si>
  <si>
    <t>Amount</t>
  </si>
  <si>
    <t>Percent</t>
  </si>
  <si>
    <t>Category</t>
  </si>
  <si>
    <t>Unit rate</t>
  </si>
  <si>
    <t>Quantity</t>
  </si>
  <si>
    <t>Every N years</t>
  </si>
  <si>
    <t>First year</t>
  </si>
  <si>
    <t>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</si>
</sst>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4"/>
      <color rgb="FF2F4B7C"/>
      <name val="Calibri"/>
    </font>
    <font>
      <i/>
      <sz val="9"/>
      <color rgb="FF555555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4B7C"/>
        <bgColor rgb="FF2F4B7C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Protection="1">
      <protection locked="0"/>
    </xf>
    <xf numFmtId="164" fontId="0" fillId="3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cols>
    <col min="1" max="1" width="34" customWidth="1"/>
    <col min="2" max="2" width="4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 t="s">
        <v>5</v>
      </c>
    </row>
    <row r="6" spans="1:2" x14ac:dyDescent="0.25">
      <c r="A6" s="4" t="s">
        <v>6</v>
      </c>
      <c r="B6" s="5"/>
    </row>
    <row r="7" spans="1:2" x14ac:dyDescent="0.25">
      <c r="A7" s="4" t="s">
        <v>7</v>
      </c>
      <c r="B7" s="6">
        <v>0.03</v>
      </c>
    </row>
    <row r="8" spans="1:2" x14ac:dyDescent="0.25">
      <c r="A8" s="4" t="s">
        <v>8</v>
      </c>
      <c r="B8" s="5">
        <v>50</v>
      </c>
    </row>
    <row r="9" spans="1:2" x14ac:dyDescent="0.25">
      <c r="A9" s="4" t="s">
        <v>9</v>
      </c>
      <c r="B9" s="5"/>
    </row>
    <row r="10" spans="1:2" x14ac:dyDescent="0.25">
      <c r="A10" s="4" t="s">
        <v>10</v>
      </c>
      <c r="B10" s="5" t="s">
        <v>11</v>
      </c>
    </row>
    <row r="11" spans="1:2" x14ac:dyDescent="0.25">
      <c r="A11" s="4" t="s">
        <v>12</v>
      </c>
      <c r="B11" s="5" t="s">
        <v>13</v>
      </c>
    </row>
    <row r="12" spans="1:2" x14ac:dyDescent="0.25">
      <c r="A12" s="4" t="s">
        <v>14</v>
      </c>
      <c r="B12" s="5" t="s">
        <v>15</v>
      </c>
    </row>
    <row r="13" spans="1:2" x14ac:dyDescent="0.25">
      <c r="A13" s="4" t="s">
        <v>16</v>
      </c>
      <c r="B13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28" customWidth="1"/>
    <col min="2" max="2" width="24" customWidth="1"/>
    <col min="3" max="3" width="16" customWidth="1"/>
    <col min="4" max="4" width="14" customWidth="1"/>
  </cols>
  <sheetData>
    <row r="1" spans="1:4" ht="18.75" x14ac:dyDescent="0.3">
      <c r="A1" s="1" t="s">
        <v>18</v>
      </c>
    </row>
    <row r="2" spans="1:4" x14ac:dyDescent="0.25">
      <c r="A2" s="2" t="s">
        <v>19</v>
      </c>
    </row>
    <row r="4" spans="1:4" x14ac:dyDescent="0.25">
      <c r="A4" s="3" t="s">
        <v>20</v>
      </c>
      <c r="B4" s="3" t="s">
        <v>21</v>
      </c>
      <c r="C4" s="3" t="s">
        <v>22</v>
      </c>
      <c r="D4" s="3" t="s">
        <v>23</v>
      </c>
    </row>
    <row r="5" spans="1:4" x14ac:dyDescent="0.25">
      <c r="A5" s="5" t="s">
        <v>24</v>
      </c>
      <c r="B5" s="5" t="s">
        <v>13</v>
      </c>
      <c r="C5" s="5"/>
      <c r="D5" s="5" t="s">
        <v>25</v>
      </c>
    </row>
    <row r="6" spans="1:4" x14ac:dyDescent="0.25">
      <c r="A6" s="5" t="s">
        <v>26</v>
      </c>
      <c r="B6" s="5" t="s">
        <v>27</v>
      </c>
      <c r="C6" s="5" t="s">
        <v>28</v>
      </c>
      <c r="D6" s="5" t="s">
        <v>29</v>
      </c>
    </row>
    <row r="7" spans="1:4" x14ac:dyDescent="0.25">
      <c r="A7" s="5" t="s">
        <v>30</v>
      </c>
      <c r="B7" s="5" t="s">
        <v>31</v>
      </c>
      <c r="C7" s="5"/>
      <c r="D7" s="5" t="s">
        <v>32</v>
      </c>
    </row>
  </sheetData>
  <dataValidations count="1">
    <dataValidation type="list" allowBlank="1" sqref="B5:B200" xr:uid="{00000000-0002-0000-0100-000000000000}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5" x14ac:dyDescent="0.25"/>
  <cols>
    <col min="1" max="1" width="10" customWidth="1"/>
    <col min="2" max="2" width="28" customWidth="1"/>
    <col min="3" max="3" width="14" customWidth="1"/>
    <col min="4" max="4" width="22" customWidth="1"/>
    <col min="5" max="5" width="50" customWidth="1"/>
    <col min="6" max="6" width="10" customWidth="1"/>
  </cols>
  <sheetData>
    <row r="1" spans="1:6" ht="18.75" x14ac:dyDescent="0.3">
      <c r="A1" s="1" t="s">
        <v>33</v>
      </c>
    </row>
    <row r="2" spans="1:6" x14ac:dyDescent="0.25">
      <c r="A2" s="2" t="s">
        <v>34</v>
      </c>
    </row>
    <row r="4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6</v>
      </c>
      <c r="F4" s="3" t="s">
        <v>39</v>
      </c>
    </row>
    <row r="5" spans="1:6" x14ac:dyDescent="0.25">
      <c r="A5" s="5" t="s">
        <v>17</v>
      </c>
      <c r="B5" s="5"/>
      <c r="C5" s="5" t="s">
        <v>40</v>
      </c>
      <c r="D5" s="5"/>
      <c r="E5" s="5"/>
      <c r="F5" s="5" t="s">
        <v>41</v>
      </c>
    </row>
    <row r="6" spans="1:6" x14ac:dyDescent="0.25">
      <c r="A6" s="5" t="s">
        <v>17</v>
      </c>
      <c r="B6" s="5"/>
      <c r="C6" s="5" t="s">
        <v>42</v>
      </c>
      <c r="D6" s="5"/>
      <c r="E6" s="5"/>
      <c r="F6" s="5" t="s">
        <v>43</v>
      </c>
    </row>
    <row r="7" spans="1:6" x14ac:dyDescent="0.25">
      <c r="A7" s="5" t="s">
        <v>17</v>
      </c>
      <c r="B7" s="5"/>
      <c r="C7" s="5" t="s">
        <v>44</v>
      </c>
      <c r="D7" s="5"/>
      <c r="E7" s="5"/>
      <c r="F7" s="5" t="s">
        <v>43</v>
      </c>
    </row>
    <row r="8" spans="1:6" x14ac:dyDescent="0.25">
      <c r="A8" s="5" t="s">
        <v>45</v>
      </c>
      <c r="B8" s="5"/>
      <c r="C8" s="5" t="s">
        <v>40</v>
      </c>
      <c r="D8" s="5"/>
      <c r="E8" s="5"/>
      <c r="F8" s="5" t="s">
        <v>41</v>
      </c>
    </row>
    <row r="9" spans="1:6" x14ac:dyDescent="0.25">
      <c r="A9" s="5" t="s">
        <v>45</v>
      </c>
      <c r="B9" s="5"/>
      <c r="C9" s="5" t="s">
        <v>46</v>
      </c>
      <c r="D9" s="5"/>
      <c r="E9" s="5"/>
      <c r="F9" s="5" t="s">
        <v>43</v>
      </c>
    </row>
  </sheetData>
  <dataValidations count="1">
    <dataValidation type="list" allowBlank="1" sqref="F5:F2000" xr:uid="{00000000-0002-0000-0200-000000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/>
  </sheetViews>
  <sheetFormatPr defaultRowHeight="15" x14ac:dyDescent="0.25"/>
  <cols>
    <col min="1" max="3" width="14" customWidth="1"/>
    <col min="4" max="10" width="12" customWidth="1"/>
  </cols>
  <sheetData>
    <row r="1" spans="1:10" ht="18.75" x14ac:dyDescent="0.3">
      <c r="A1" s="1" t="s">
        <v>47</v>
      </c>
    </row>
    <row r="2" spans="1:10" x14ac:dyDescent="0.25">
      <c r="A2" s="2" t="s">
        <v>48</v>
      </c>
    </row>
    <row r="4" spans="1:10" x14ac:dyDescent="0.25">
      <c r="A4" s="3" t="s">
        <v>35</v>
      </c>
      <c r="B4" s="3" t="s">
        <v>37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</row>
    <row r="5" spans="1:10" x14ac:dyDescent="0.25">
      <c r="A5" s="5" t="s">
        <v>17</v>
      </c>
      <c r="B5" s="5" t="s">
        <v>40</v>
      </c>
      <c r="C5" s="5" t="s">
        <v>24</v>
      </c>
      <c r="D5" s="5">
        <v>1</v>
      </c>
      <c r="E5" s="5">
        <v>1</v>
      </c>
      <c r="F5" s="5">
        <v>1</v>
      </c>
      <c r="G5" s="5"/>
      <c r="H5" s="5"/>
      <c r="I5" s="5"/>
      <c r="J5" s="5"/>
    </row>
    <row r="6" spans="1:10" x14ac:dyDescent="0.25">
      <c r="A6" s="5" t="s">
        <v>17</v>
      </c>
      <c r="B6" s="5" t="s">
        <v>40</v>
      </c>
      <c r="C6" s="5" t="s">
        <v>26</v>
      </c>
      <c r="D6" s="5">
        <v>0.2</v>
      </c>
      <c r="E6" s="5">
        <v>0.2</v>
      </c>
      <c r="F6" s="5">
        <v>0.2</v>
      </c>
      <c r="G6" s="5">
        <v>3</v>
      </c>
      <c r="H6" s="5">
        <v>3</v>
      </c>
      <c r="I6" s="5">
        <v>3</v>
      </c>
      <c r="J6" s="5"/>
    </row>
    <row r="7" spans="1:10" x14ac:dyDescent="0.25">
      <c r="A7" s="5" t="s">
        <v>17</v>
      </c>
      <c r="B7" s="5" t="s">
        <v>40</v>
      </c>
      <c r="C7" s="5" t="s">
        <v>30</v>
      </c>
      <c r="D7" s="5"/>
      <c r="E7" s="5"/>
      <c r="F7" s="5"/>
      <c r="G7" s="5"/>
      <c r="H7" s="5"/>
      <c r="I7" s="5"/>
      <c r="J7" s="5">
        <v>0</v>
      </c>
    </row>
    <row r="8" spans="1:10" x14ac:dyDescent="0.25">
      <c r="A8" s="5" t="s">
        <v>17</v>
      </c>
      <c r="B8" s="5" t="s">
        <v>42</v>
      </c>
      <c r="C8" s="5" t="s">
        <v>24</v>
      </c>
      <c r="D8" s="5">
        <v>1</v>
      </c>
      <c r="E8" s="5">
        <v>4</v>
      </c>
      <c r="F8" s="5">
        <v>5</v>
      </c>
      <c r="G8" s="5"/>
      <c r="H8" s="5"/>
      <c r="I8" s="5"/>
      <c r="J8" s="5"/>
    </row>
    <row r="9" spans="1:10" x14ac:dyDescent="0.25">
      <c r="A9" s="5" t="s">
        <v>17</v>
      </c>
      <c r="B9" s="5" t="s">
        <v>42</v>
      </c>
      <c r="C9" s="5" t="s">
        <v>26</v>
      </c>
      <c r="D9" s="5">
        <v>0.2</v>
      </c>
      <c r="E9" s="5">
        <v>0.5</v>
      </c>
      <c r="F9" s="5">
        <v>0.7</v>
      </c>
      <c r="G9" s="5">
        <v>3</v>
      </c>
      <c r="H9" s="5">
        <v>3.5</v>
      </c>
      <c r="I9" s="5">
        <v>3.5</v>
      </c>
      <c r="J9" s="5"/>
    </row>
    <row r="10" spans="1:10" x14ac:dyDescent="0.25">
      <c r="A10" s="5" t="s">
        <v>17</v>
      </c>
      <c r="B10" s="5" t="s">
        <v>42</v>
      </c>
      <c r="C10" s="5" t="s">
        <v>30</v>
      </c>
      <c r="D10" s="5"/>
      <c r="E10" s="5"/>
      <c r="F10" s="5"/>
      <c r="G10" s="5"/>
      <c r="H10" s="5"/>
      <c r="I10" s="5"/>
      <c r="J10" s="5">
        <v>1.5</v>
      </c>
    </row>
    <row r="11" spans="1:10" x14ac:dyDescent="0.25">
      <c r="A11" s="5" t="s">
        <v>17</v>
      </c>
      <c r="B11" s="5" t="s">
        <v>44</v>
      </c>
      <c r="C11" s="5" t="s">
        <v>24</v>
      </c>
      <c r="D11" s="5">
        <v>1</v>
      </c>
      <c r="E11" s="5">
        <v>2</v>
      </c>
      <c r="F11" s="5">
        <v>2.5</v>
      </c>
      <c r="G11" s="5"/>
      <c r="H11" s="5"/>
      <c r="I11" s="5"/>
      <c r="J11" s="5"/>
    </row>
    <row r="12" spans="1:10" x14ac:dyDescent="0.25">
      <c r="A12" s="5" t="s">
        <v>17</v>
      </c>
      <c r="B12" s="5" t="s">
        <v>44</v>
      </c>
      <c r="C12" s="5" t="s">
        <v>26</v>
      </c>
      <c r="D12" s="5">
        <v>0.2</v>
      </c>
      <c r="E12" s="5">
        <v>0.6</v>
      </c>
      <c r="F12" s="5">
        <v>0.8</v>
      </c>
      <c r="G12" s="5">
        <v>3</v>
      </c>
      <c r="H12" s="5">
        <v>3</v>
      </c>
      <c r="I12" s="5">
        <v>3</v>
      </c>
      <c r="J12" s="5"/>
    </row>
    <row r="13" spans="1:10" x14ac:dyDescent="0.25">
      <c r="A13" s="5" t="s">
        <v>17</v>
      </c>
      <c r="B13" s="5" t="s">
        <v>44</v>
      </c>
      <c r="C13" s="5" t="s">
        <v>30</v>
      </c>
      <c r="D13" s="5"/>
      <c r="E13" s="5"/>
      <c r="F13" s="5"/>
      <c r="G13" s="5"/>
      <c r="H13" s="5"/>
      <c r="I13" s="5"/>
      <c r="J13" s="5">
        <v>0.5</v>
      </c>
    </row>
    <row r="14" spans="1:10" x14ac:dyDescent="0.25">
      <c r="A14" s="5" t="s">
        <v>45</v>
      </c>
      <c r="B14" s="5" t="s">
        <v>40</v>
      </c>
      <c r="C14" s="5" t="s">
        <v>24</v>
      </c>
      <c r="D14" s="5">
        <v>2</v>
      </c>
      <c r="E14" s="5">
        <v>2</v>
      </c>
      <c r="F14" s="5">
        <v>2</v>
      </c>
      <c r="G14" s="5"/>
      <c r="H14" s="5"/>
      <c r="I14" s="5"/>
      <c r="J14" s="5"/>
    </row>
    <row r="15" spans="1:10" x14ac:dyDescent="0.25">
      <c r="A15" s="5" t="s">
        <v>45</v>
      </c>
      <c r="B15" s="5" t="s">
        <v>40</v>
      </c>
      <c r="C15" s="5" t="s">
        <v>26</v>
      </c>
      <c r="D15" s="5">
        <v>0.4</v>
      </c>
      <c r="E15" s="5">
        <v>0.4</v>
      </c>
      <c r="F15" s="5">
        <v>0.4</v>
      </c>
      <c r="G15" s="5">
        <v>1</v>
      </c>
      <c r="H15" s="5">
        <v>1</v>
      </c>
      <c r="I15" s="5">
        <v>1</v>
      </c>
      <c r="J15" s="5"/>
    </row>
    <row r="16" spans="1:10" x14ac:dyDescent="0.25">
      <c r="A16" s="5" t="s">
        <v>45</v>
      </c>
      <c r="B16" s="5" t="s">
        <v>40</v>
      </c>
      <c r="C16" s="5" t="s">
        <v>30</v>
      </c>
      <c r="D16" s="5"/>
      <c r="E16" s="5"/>
      <c r="F16" s="5"/>
      <c r="G16" s="5"/>
      <c r="H16" s="5"/>
      <c r="I16" s="5"/>
      <c r="J16" s="5">
        <v>0</v>
      </c>
    </row>
    <row r="17" spans="1:10" x14ac:dyDescent="0.25">
      <c r="A17" s="5" t="s">
        <v>45</v>
      </c>
      <c r="B17" s="5" t="s">
        <v>46</v>
      </c>
      <c r="C17" s="5" t="s">
        <v>24</v>
      </c>
      <c r="D17" s="5">
        <v>2</v>
      </c>
      <c r="E17" s="5">
        <v>5</v>
      </c>
      <c r="F17" s="5">
        <v>6</v>
      </c>
      <c r="G17" s="5"/>
      <c r="H17" s="5"/>
      <c r="I17" s="5"/>
      <c r="J17" s="5"/>
    </row>
    <row r="18" spans="1:10" x14ac:dyDescent="0.25">
      <c r="A18" s="5" t="s">
        <v>45</v>
      </c>
      <c r="B18" s="5" t="s">
        <v>46</v>
      </c>
      <c r="C18" s="5" t="s">
        <v>26</v>
      </c>
      <c r="D18" s="5">
        <v>0.4</v>
      </c>
      <c r="E18" s="5">
        <v>0.4</v>
      </c>
      <c r="F18" s="5">
        <v>0.9</v>
      </c>
      <c r="G18" s="5">
        <v>1</v>
      </c>
      <c r="H18" s="5">
        <v>1</v>
      </c>
      <c r="I18" s="5">
        <v>2</v>
      </c>
      <c r="J18" s="5"/>
    </row>
    <row r="19" spans="1:10" x14ac:dyDescent="0.25">
      <c r="A19" s="5" t="s">
        <v>45</v>
      </c>
      <c r="B19" s="5" t="s">
        <v>46</v>
      </c>
      <c r="C19" s="5" t="s">
        <v>30</v>
      </c>
      <c r="D19" s="5"/>
      <c r="E19" s="5"/>
      <c r="F19" s="5"/>
      <c r="G19" s="5"/>
      <c r="H19" s="5"/>
      <c r="I19" s="5"/>
      <c r="J19" s="5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5" x14ac:dyDescent="0.25"/>
  <cols>
    <col min="1" max="7" width="15" customWidth="1"/>
  </cols>
  <sheetData>
    <row r="1" spans="1:7" ht="18.75" x14ac:dyDescent="0.3">
      <c r="A1" s="1" t="s">
        <v>57</v>
      </c>
    </row>
    <row r="2" spans="1:7" x14ac:dyDescent="0.25">
      <c r="A2" s="2" t="s">
        <v>58</v>
      </c>
    </row>
    <row r="3" spans="1:7" x14ac:dyDescent="0.25">
      <c r="C3" s="4" t="s">
        <v>59</v>
      </c>
      <c r="D3" s="4" t="s">
        <v>60</v>
      </c>
      <c r="E3" s="4" t="s">
        <v>61</v>
      </c>
    </row>
    <row r="4" spans="1:7" ht="30" x14ac:dyDescent="0.25">
      <c r="A4" s="3" t="s">
        <v>35</v>
      </c>
      <c r="B4" s="3" t="s">
        <v>37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</row>
    <row r="5" spans="1:7" x14ac:dyDescent="0.25">
      <c r="A5" s="5" t="s">
        <v>17</v>
      </c>
      <c r="B5" s="5" t="s">
        <v>40</v>
      </c>
      <c r="C5" s="5">
        <v>100000</v>
      </c>
      <c r="D5" s="5"/>
      <c r="E5" s="5"/>
      <c r="F5" s="5">
        <v>4</v>
      </c>
      <c r="G5" s="5"/>
    </row>
    <row r="6" spans="1:7" x14ac:dyDescent="0.25">
      <c r="A6" s="5" t="s">
        <v>17</v>
      </c>
      <c r="B6" s="5" t="s">
        <v>42</v>
      </c>
      <c r="C6" s="5">
        <f>C5*2</f>
        <v>200000</v>
      </c>
      <c r="D6" s="5"/>
      <c r="E6" s="5"/>
      <c r="F6" s="5">
        <v>4</v>
      </c>
      <c r="G6" s="5"/>
    </row>
    <row r="7" spans="1:7" x14ac:dyDescent="0.25">
      <c r="A7" s="5" t="s">
        <v>17</v>
      </c>
      <c r="B7" s="5" t="s">
        <v>44</v>
      </c>
      <c r="C7" s="5">
        <f t="shared" ref="C7:C9" si="0">C6*2</f>
        <v>400000</v>
      </c>
      <c r="D7" s="5"/>
      <c r="E7" s="5"/>
      <c r="F7" s="5">
        <v>4</v>
      </c>
      <c r="G7" s="5"/>
    </row>
    <row r="8" spans="1:7" x14ac:dyDescent="0.25">
      <c r="A8" s="5" t="s">
        <v>45</v>
      </c>
      <c r="B8" s="5" t="s">
        <v>40</v>
      </c>
      <c r="C8" s="5">
        <f t="shared" si="0"/>
        <v>800000</v>
      </c>
      <c r="D8" s="5"/>
      <c r="E8" s="5"/>
      <c r="F8" s="5">
        <v>4</v>
      </c>
      <c r="G8" s="5"/>
    </row>
    <row r="9" spans="1:7" x14ac:dyDescent="0.25">
      <c r="A9" s="5" t="s">
        <v>45</v>
      </c>
      <c r="B9" s="5" t="s">
        <v>46</v>
      </c>
      <c r="C9" s="5">
        <f t="shared" si="0"/>
        <v>1600000</v>
      </c>
      <c r="D9" s="5"/>
      <c r="E9" s="5"/>
      <c r="F9" s="5">
        <v>4</v>
      </c>
      <c r="G9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10" customWidth="1"/>
    <col min="5" max="5" width="12" customWidth="1"/>
    <col min="6" max="6" width="10" customWidth="1"/>
    <col min="7" max="7" width="16" customWidth="1"/>
    <col min="8" max="8" width="10" customWidth="1"/>
    <col min="9" max="9" width="12" customWidth="1"/>
    <col min="10" max="12" width="10" customWidth="1"/>
  </cols>
  <sheetData>
    <row r="1" spans="1:12" ht="18.75" x14ac:dyDescent="0.3">
      <c r="A1" s="1" t="s">
        <v>67</v>
      </c>
    </row>
    <row r="2" spans="1:12" x14ac:dyDescent="0.25">
      <c r="A2" s="2" t="s">
        <v>68</v>
      </c>
    </row>
    <row r="4" spans="1:12" ht="30" x14ac:dyDescent="0.25">
      <c r="A4" s="3" t="s">
        <v>35</v>
      </c>
      <c r="B4" s="3" t="s">
        <v>37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76</v>
      </c>
      <c r="K4" s="3" t="s">
        <v>77</v>
      </c>
      <c r="L4" s="3" t="s">
        <v>78</v>
      </c>
    </row>
  </sheetData>
  <dataValidations count="1">
    <dataValidation type="list" allowBlank="1" sqref="D5:D5000" xr:uid="{00000000-0002-0000-0500-000000000000}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Study</vt:lpstr>
      <vt:lpstr>Modules</vt:lpstr>
      <vt:lpstr>Alternatives</vt:lpstr>
      <vt:lpstr>Benefits</vt:lpstr>
      <vt:lpstr>Costs</vt:lpstr>
      <vt:lpstr>OMRRR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CEICA</cp:lastModifiedBy>
  <dcterms:created xsi:type="dcterms:W3CDTF">2026-01-01T00:00:00Z</dcterms:created>
  <dcterms:modified xsi:type="dcterms:W3CDTF">2026-10-19T19:59:37Z</dcterms:modified>
</cp:coreProperties>
</file>