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rameters" sheetId="2" state="visible" r:id="rId2"/>
    <sheet xmlns:r="http://schemas.openxmlformats.org/officeDocument/2006/relationships" name="STAF scores" sheetId="3" state="visible" r:id="rId3"/>
    <sheet xmlns:r="http://schemas.openxmlformats.org/officeDocument/2006/relationships" name="STAF roll-up" sheetId="4" state="visible" r:id="rId4"/>
    <sheet xmlns:r="http://schemas.openxmlformats.org/officeDocument/2006/relationships" name="Benefits" sheetId="5" state="visible" r:id="rId5"/>
    <sheet xmlns:r="http://schemas.openxmlformats.org/officeDocument/2006/relationships" name="Costs" sheetId="6" state="visible" r:id="rId6"/>
    <sheet xmlns:r="http://schemas.openxmlformats.org/officeDocument/2006/relationships" name="OMRRR" sheetId="7" state="visible" r:id="rId7"/>
    <sheet xmlns:r="http://schemas.openxmlformats.org/officeDocument/2006/relationships" name="Summary" sheetId="8" state="visible" r:id="rId8"/>
    <sheet xmlns:r="http://schemas.openxmlformats.org/officeDocument/2006/relationships" name="Site CE-ICA" sheetId="9" state="visible" r:id="rId9"/>
    <sheet xmlns:r="http://schemas.openxmlformats.org/officeDocument/2006/relationships" name="Sites" sheetId="10" state="visible" r:id="rId10"/>
    <sheet xmlns:r="http://schemas.openxmlformats.org/officeDocument/2006/relationships" name="Watershed plans" sheetId="11" state="visible" r:id="rId11"/>
    <sheet xmlns:r="http://schemas.openxmlformats.org/officeDocument/2006/relationships" name="Watershed summary" sheetId="12" state="visible" r:id="rId12"/>
    <sheet xmlns:r="http://schemas.openxmlformats.org/officeDocument/2006/relationships" name="IWR input" sheetId="13" state="visible" r:id="rId13"/>
    <sheet xmlns:r="http://schemas.openxmlformats.org/officeDocument/2006/relationships" name="Charts" sheetId="14" state="visible" r:id="rId14"/>
    <sheet xmlns:r="http://schemas.openxmlformats.org/officeDocument/2006/relationships" name="snap Parameters" sheetId="15" state="veryHidden" r:id="rId15"/>
    <sheet xmlns:r="http://schemas.openxmlformats.org/officeDocument/2006/relationships" name="snap STAF scores" sheetId="16" state="veryHidden" r:id="rId16"/>
    <sheet xmlns:r="http://schemas.openxmlformats.org/officeDocument/2006/relationships" name="snap Costs" sheetId="17" state="veryHidden" r:id="rId17"/>
    <sheet xmlns:r="http://schemas.openxmlformats.org/officeDocument/2006/relationships" name="snap OMRRR" sheetId="18" state="veryHidden" r:id="rId18"/>
    <sheet xmlns:r="http://schemas.openxmlformats.org/officeDocument/2006/relationships" name="snap Sites" sheetId="19" state="veryHidden" r:id="rId19"/>
    <sheet xmlns:r="http://schemas.openxmlformats.org/officeDocument/2006/relationships" name="snap Watershed plans" sheetId="20" state="veryHidden" r:id="rId20"/>
    <sheet xmlns:r="http://schemas.openxmlformats.org/officeDocument/2006/relationships" name="snap Watershed summary" sheetId="21" state="veryHidden" r:id="rId21"/>
    <sheet xmlns:r="http://schemas.openxmlformats.org/officeDocument/2006/relationships" name="snap Summary" sheetId="22" state="veryHidden" r:id="rId22"/>
    <sheet xmlns:r="http://schemas.openxmlformats.org/officeDocument/2006/relationships" name="snap Site CE-ICA" sheetId="23" state="veryHidden" r:id="rId23"/>
    <sheet xmlns:r="http://schemas.openxmlformats.org/officeDocument/2006/relationships" name="manifest" sheetId="24" state="veryHidden" r:id="rId24"/>
  </sheets>
  <definedNames>
    <definedName name="in_rate">Parameters!$B$4</definedName>
    <definedName name="in_poa">Parameters!$B$5</definedName>
    <definedName name="in_ppy">Parameters!$B$6</definedName>
    <definedName name="in_idc_method">Parameters!$B$7</definedName>
    <definedName name="in_timing">Parameters!$B$8</definedName>
    <definedName name="in_cost_dp">Parameters!$B$9</definedName>
    <definedName name="in_out_dp">Parameters!$B$10</definedName>
    <definedName name="calc_crf">Parameters!$B$11</definedName>
    <definedName name="out_status">'Read me'!$B$10</definedName>
    <definedName name="out_changed">'Read me'!$B$11</definedName>
    <definedName name="out_mismatch">'Read me'!$B$12</definedName>
  </definedNames>
  <calcPr calcId="124519" fullCalcOnLoad="1"/>
</workbook>
</file>

<file path=xl/styles.xml><?xml version="1.0" encoding="utf-8"?>
<styleSheet xmlns="http://schemas.openxmlformats.org/spreadsheetml/2006/main">
  <numFmts count="9">
    <numFmt numFmtId="164" formatCode="0.000%"/>
    <numFmt numFmtId="165" formatCode="0.0000000000"/>
    <numFmt numFmtId="166" formatCode="0.##"/>
    <numFmt numFmtId="167" formatCode="0.0"/>
    <numFmt numFmtId="168" formatCode="#,##0.000"/>
    <numFmt numFmtId="169" formatCode="0.0#"/>
    <numFmt numFmtId="170" formatCode="0.0000"/>
    <numFmt numFmtId="171" formatCode="&quot;$&quot;#,##0"/>
    <numFmt numFmtId="172" formatCode="&quot;$&quot;#,##0.00"/>
  </numFmts>
  <fonts count="5">
    <font>
      <name val="Calibri"/>
      <family val="2"/>
      <color theme="1"/>
      <sz val="11"/>
      <scheme val="minor"/>
    </font>
    <font>
      <b val="1"/>
      <color rgb="002F4B7C"/>
      <sz val="14"/>
    </font>
    <font>
      <i val="1"/>
      <color rgb="00555555"/>
      <sz val="9"/>
    </font>
    <font>
      <b val="1"/>
      <color rgb="00FFFFFF"/>
    </font>
    <font>
      <b val="1"/>
    </font>
  </fonts>
  <fills count="7">
    <fill>
      <patternFill/>
    </fill>
    <fill>
      <patternFill patternType="gray125"/>
    </fill>
    <fill>
      <patternFill patternType="solid">
        <fgColor rgb="002F4B7C"/>
        <bgColor rgb="002F4B7C"/>
      </patternFill>
    </fill>
    <fill>
      <patternFill patternType="solid">
        <fgColor rgb="00F8CBAD"/>
        <bgColor rgb="00F8CBAD"/>
      </patternFill>
    </fill>
    <fill>
      <patternFill patternType="solid">
        <fgColor rgb="00EDEDED"/>
        <bgColor rgb="00EDEDED"/>
      </patternFill>
    </fill>
    <fill>
      <patternFill patternType="solid">
        <fgColor rgb="00EEF3FB"/>
        <bgColor rgb="00EEF3FB"/>
      </patternFill>
    </fill>
    <fill>
      <patternFill patternType="solid">
        <fgColor rgb="00FFE08A"/>
        <bgColor rgb="00FFE08A"/>
      </patternFill>
    </fill>
  </fills>
  <borders count="6">
    <border>
      <left/>
      <right/>
      <top/>
      <bottom/>
      <diagonal/>
    </border>
    <border>
      <left style="thin">
        <color rgb="00B7C3D6"/>
      </left>
      <right style="thin">
        <color rgb="00B7C3D6"/>
      </right>
      <top style="thin">
        <color rgb="00B7C3D6"/>
      </top>
      <bottom style="thin">
        <color rgb="00B7C3D6"/>
      </bottom>
    </border>
    <border>
      <left/>
      <right/>
      <top style="thin">
        <color rgb="00B7C3D6"/>
      </top>
      <bottom/>
      <diagonal/>
    </border>
    <border>
      <left/>
      <right style="thin">
        <color rgb="00B7C3D6"/>
      </right>
      <top style="thin">
        <color rgb="00B7C3D6"/>
      </top>
      <bottom/>
      <diagonal/>
    </border>
    <border>
      <left/>
      <right/>
      <top style="thin">
        <color rgb="00B7C3D6"/>
      </top>
      <bottom style="thin">
        <color rgb="00B7C3D6"/>
      </bottom>
      <diagonal/>
    </border>
    <border>
      <left/>
      <right style="thin">
        <color rgb="00B7C3D6"/>
      </right>
      <top style="thin">
        <color rgb="00B7C3D6"/>
      </top>
      <bottom style="thin">
        <color rgb="00B7C3D6"/>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4" fillId="0" borderId="1" pivotButton="0" quotePrefix="0" xfId="0"/>
    <xf numFmtId="0" fontId="0" fillId="0" borderId="1" pivotButton="0" quotePrefix="0" xfId="0"/>
    <xf numFmtId="0" fontId="4" fillId="4" borderId="1" pivotButton="0" quotePrefix="0" xfId="0"/>
    <xf numFmtId="3" fontId="0" fillId="4" borderId="1" pivotButton="0" quotePrefix="0" xfId="0"/>
    <xf numFmtId="0" fontId="4" fillId="0" borderId="0" pivotButton="0" quotePrefix="0" xfId="0"/>
    <xf numFmtId="0" fontId="0" fillId="0" borderId="0" pivotButton="0" quotePrefix="0" xfId="0"/>
    <xf numFmtId="0" fontId="0" fillId="3" borderId="1" pivotButton="0" quotePrefix="0" xfId="0"/>
    <xf numFmtId="0" fontId="0" fillId="4" borderId="1" pivotButton="0" quotePrefix="0" xfId="0"/>
    <xf numFmtId="0" fontId="0" fillId="6" borderId="1" pivotButton="0" quotePrefix="0" xfId="0"/>
    <xf numFmtId="0" fontId="3" fillId="2" borderId="1" applyAlignment="1" pivotButton="0" quotePrefix="0" xfId="0">
      <alignment horizontal="center" vertical="center" wrapText="1"/>
    </xf>
    <xf numFmtId="164" fontId="0" fillId="3" borderId="1" applyProtection="1" pivotButton="0" quotePrefix="0" xfId="0">
      <protection locked="0" hidden="0"/>
    </xf>
    <xf numFmtId="3" fontId="0" fillId="3" borderId="1" applyProtection="1" pivotButton="0" quotePrefix="0" xfId="0">
      <protection locked="0" hidden="0"/>
    </xf>
    <xf numFmtId="0" fontId="0" fillId="3" borderId="1" applyProtection="1" pivotButton="0" quotePrefix="0" xfId="0">
      <protection locked="0" hidden="0"/>
    </xf>
    <xf numFmtId="165" fontId="4" fillId="4" borderId="1" pivotButton="0" quotePrefix="0" xfId="0"/>
    <xf numFmtId="166" fontId="0" fillId="3" borderId="1" applyProtection="1" pivotButton="0" quotePrefix="0" xfId="0">
      <protection locked="0" hidden="0"/>
    </xf>
    <xf numFmtId="167" fontId="0" fillId="4" borderId="1" pivotButton="0" quotePrefix="0" xfId="0"/>
    <xf numFmtId="1" fontId="0" fillId="3" borderId="1" applyProtection="1" pivotButton="0" quotePrefix="0" xfId="0">
      <protection locked="0" hidden="0"/>
    </xf>
    <xf numFmtId="166" fontId="0" fillId="4" borderId="1" pivotButton="0" quotePrefix="0" xfId="0"/>
    <xf numFmtId="168" fontId="0" fillId="3" borderId="1" applyProtection="1" pivotButton="0" quotePrefix="0" xfId="0">
      <protection locked="0" hidden="0"/>
    </xf>
    <xf numFmtId="169" fontId="0" fillId="3" borderId="1" applyProtection="1" pivotButton="0" quotePrefix="0" xfId="0">
      <protection locked="0" hidden="0"/>
    </xf>
    <xf numFmtId="170" fontId="0" fillId="4" borderId="1" pivotButton="0" quotePrefix="0" xfId="0"/>
    <xf numFmtId="1" fontId="0" fillId="4" borderId="1" pivotButton="0" quotePrefix="0" xfId="0"/>
    <xf numFmtId="168" fontId="0" fillId="4" borderId="1" pivotButton="0" quotePrefix="0" xfId="0"/>
    <xf numFmtId="166" fontId="4" fillId="5"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171" fontId="0" fillId="3" borderId="1" applyProtection="1" pivotButton="0" quotePrefix="0" xfId="0">
      <protection locked="0" hidden="0"/>
    </xf>
    <xf numFmtId="171" fontId="0" fillId="4" borderId="1" pivotButton="0" quotePrefix="0" xfId="0"/>
    <xf numFmtId="172" fontId="0" fillId="4" borderId="1" pivotButton="0" quotePrefix="0" xfId="0"/>
    <xf numFmtId="172" fontId="0" fillId="3" borderId="1" applyProtection="1" pivotButton="0" quotePrefix="0" xfId="0">
      <protection locked="0" hidden="0"/>
    </xf>
    <xf numFmtId="10" fontId="0" fillId="3" borderId="1" applyProtection="1" pivotButton="0" quotePrefix="0" xfId="0">
      <protection locked="0" hidden="0"/>
    </xf>
    <xf numFmtId="4" fontId="0" fillId="3" borderId="1" applyProtection="1" pivotButton="0" quotePrefix="0" xfId="0">
      <protection locked="0" hidden="0"/>
    </xf>
    <xf numFmtId="4" fontId="0" fillId="4" borderId="1" pivotButton="0" quotePrefix="0" xfId="0"/>
    <xf numFmtId="0" fontId="0" fillId="3" borderId="1" applyAlignment="1" applyProtection="1" pivotButton="0" quotePrefix="0" xfId="0">
      <alignment horizontal="left" vertical="top" wrapText="1"/>
      <protection locked="0" hidden="0"/>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FE08A"/>
          <bgColor rgb="00FFE0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Cost-effectiveness</a:t>
            </a:r>
          </a:p>
        </rich>
      </tx>
    </title>
    <plotArea>
      <scatterChart>
        <ser>
          <idx val="0"/>
          <order val="0"/>
          <tx>
            <v>All plans</v>
          </tx>
          <spPr>
            <a:ln xmlns:a="http://schemas.openxmlformats.org/drawingml/2006/main">
              <a:noFill/>
              <a:prstDash val="solid"/>
            </a:ln>
          </spPr>
          <marker>
            <symbol val="circle"/>
            <size val="5"/>
            <spPr>
              <a:ln xmlns:a="http://schemas.openxmlformats.org/drawingml/2006/main">
                <a:prstDash val="solid"/>
              </a:ln>
            </spPr>
          </marker>
          <xVal>
            <numRef>
              <f>'Charts'!$A$31:$A$38</f>
            </numRef>
          </xVal>
          <yVal>
            <numRef>
              <f>'Charts'!$B$31:$B$38</f>
            </numRef>
          </yVal>
        </ser>
        <ser>
          <idx val="1"/>
          <order val="1"/>
          <tx>
            <v>Cost-effective frontier</v>
          </tx>
          <spPr>
            <a:ln xmlns:a="http://schemas.openxmlformats.org/drawingml/2006/main">
              <a:prstDash val="solid"/>
            </a:ln>
          </spPr>
          <marker>
            <symbol val="circle"/>
            <size val="8"/>
            <spPr>
              <a:ln xmlns:a="http://schemas.openxmlformats.org/drawingml/2006/main">
                <a:prstDash val="solid"/>
              </a:ln>
            </spPr>
          </marker>
          <xVal>
            <numRef>
              <f>'Charts'!$C$31:$C$38</f>
            </numRef>
          </xVal>
          <yVal>
            <numRef>
              <f>'Charts'!$D$31:$D$38</f>
            </numRef>
          </yVal>
        </ser>
        <ser>
          <idx val="2"/>
          <order val="2"/>
          <tx>
            <v>Best buys</v>
          </tx>
          <spPr>
            <a:ln xmlns:a="http://schemas.openxmlformats.org/drawingml/2006/main">
              <a:noFill/>
              <a:prstDash val="solid"/>
            </a:ln>
          </spPr>
          <marker>
            <symbol val="diamond"/>
            <size val="8"/>
            <spPr>
              <a:ln xmlns:a="http://schemas.openxmlformats.org/drawingml/2006/main">
                <a:prstDash val="solid"/>
              </a:ln>
            </spPr>
          </marker>
          <xVal>
            <numRef>
              <f>'Charts'!$E$31:$E$38</f>
            </numRef>
          </xVal>
          <yVal>
            <numRef>
              <f>'Charts'!$F$31:$F$38</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Condition lift (AACU)</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Average annual cost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Incremental cost per unit</a:t>
            </a:r>
          </a:p>
        </rich>
      </tx>
    </title>
    <plotArea>
      <scatterChart>
        <ser>
          <idx val="0"/>
          <order val="0"/>
          <tx>
            <v>Best-buy steps</v>
          </tx>
          <spPr>
            <a:ln xmlns:a="http://schemas.openxmlformats.org/drawingml/2006/main">
              <a:prstDash val="solid"/>
            </a:ln>
          </spPr>
          <marker>
            <symbol val="none"/>
            <spPr>
              <a:ln xmlns:a="http://schemas.openxmlformats.org/drawingml/2006/main">
                <a:prstDash val="solid"/>
              </a:ln>
            </spPr>
          </marker>
          <xVal>
            <numRef>
              <f>'Charts'!$G$31:$G$55</f>
            </numRef>
          </xVal>
          <yVal>
            <numRef>
              <f>'Charts'!$H$31:$H$55</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Condition lift (AACU)</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 per AACU</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4" customWidth="1" style="8" min="1" max="1"/>
    <col width="70" customWidth="1" style="8" min="2" max="2"/>
  </cols>
  <sheetData>
    <row r="1">
      <c r="A1" s="1" t="inlineStr">
        <is>
          <t>STAF demonstration: CE/ICA calculator</t>
        </is>
      </c>
    </row>
    <row r="2">
      <c r="A2" s="2" t="inlineStr">
        <is>
          <t>Cost-effectiveness and incremental cost analysis, as live formulas.</t>
        </is>
      </c>
    </row>
    <row r="4">
      <c r="A4" s="3" t="inlineStr">
        <is>
          <t>Study</t>
        </is>
      </c>
      <c r="B4" s="4" t="inlineStr">
        <is>
          <t>STAF demonstration</t>
        </is>
      </c>
    </row>
    <row r="5">
      <c r="A5" s="3" t="inlineStr">
        <is>
          <t>Generated by</t>
        </is>
      </c>
      <c r="B5" s="4" t="inlineStr">
        <is>
          <t>CEICA 0.1.0 (engine 1)</t>
        </is>
      </c>
    </row>
    <row r="6">
      <c r="A6" s="3" t="inlineStr">
        <is>
          <t>Project digest</t>
        </is>
      </c>
      <c r="B6" s="4" t="inlineStr">
        <is>
          <t>5d6ded045e76</t>
        </is>
      </c>
    </row>
    <row r="7">
      <c r="A7" s="3" t="inlineStr">
        <is>
          <t>Discount rate</t>
        </is>
      </c>
      <c r="B7" s="4" t="inlineStr">
        <is>
          <t>3 percent</t>
        </is>
      </c>
    </row>
    <row r="8">
      <c r="A8" s="3" t="inlineStr">
        <is>
          <t>Period of analysis</t>
        </is>
      </c>
      <c r="B8" s="4" t="inlineStr">
        <is>
          <t>50 years</t>
        </is>
      </c>
    </row>
    <row r="10">
      <c r="A10" s="3" t="inlineStr">
        <is>
          <t>Status</t>
        </is>
      </c>
      <c r="B10" s="5">
        <f>IF((SUMPRODUCT(1*(Parameters!B4:B10&lt;&gt;'snap Parameters'!B4:B10))+SUMPRODUCT(1*(Parameters!B14:G14&lt;&gt;'snap Parameters'!B14:G14))+SUMPRODUCT(1*('STAF scores'!F10:Y12&lt;&gt;'snap STAF scores'!F10:Y12))+SUMPRODUCT(1*('STAF scores'!E15:Y74&lt;&gt;'snap STAF scores'!E15:Y74))+SUMPRODUCT(1*(Costs!D6:G15&lt;&gt;'snap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summary'!B93:B93)))=0,IF((SUMPRODUCT(1*(ABS(Summary!G5:G14-'snap Summary'!G5:G14)&gt;1e-06))+SUMPRODUCT(1*(ABS(Summary!L5:L14-'snap Summary'!L5:L14)&gt;0.0001))+SUMPRODUCT(1*('Site CE-ICA'!L6:L9&lt;&gt;'snap Site CE-ICA'!L6:L9))+SUMPRODUCT(1*('Site CE-ICA'!P6:P9&lt;&gt;'snap Site CE-ICA'!P6:P9))+SUMPRODUCT(1*('Site CE-ICA'!L12:L14&lt;&gt;'snap Site CE-ICA'!L12:L14))+SUMPRODUCT(1*('Site CE-ICA'!P12:P14&lt;&gt;'snap Site CE-ICA'!P12:P14))+SUMPRODUCT(1*('Site CE-ICA'!L17:L19&lt;&gt;'snap Site CE-ICA'!L17:L19))+SUMPRODUCT(1*('Site CE-ICA'!P17:P19&lt;&gt;'snap Site CE-ICA'!P17:P19))+SUMPRODUCT(1*('Watershed plans'!O12:O19&lt;&gt;'snap Watershed plans'!O12:O19))+SUMPRODUCT(1*('Watershed plans'!S12:S19&lt;&gt;'snap Watershed plans'!S12:S19)))=0,"Unchanged: matches the CEICA export","ERROR: results differ from the export although no input changed"),"Edited: "&amp;(SUMPRODUCT(1*(Parameters!B4:B10&lt;&gt;'snap Parameters'!B4:B10))+SUMPRODUCT(1*(Parameters!B14:G14&lt;&gt;'snap Parameters'!B14:G14))+SUMPRODUCT(1*('STAF scores'!F10:Y12&lt;&gt;'snap STAF scores'!F10:Y12))+SUMPRODUCT(1*('STAF scores'!E15:Y74&lt;&gt;'snap STAF scores'!E15:Y74))+SUMPRODUCT(1*(Costs!D6:G15&lt;&gt;'snap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summary'!B93:B93)))&amp;" input cells changed since the export")</f>
        <v/>
      </c>
    </row>
    <row r="11">
      <c r="A11" s="4" t="inlineStr">
        <is>
          <t>Inputs changed</t>
        </is>
      </c>
      <c r="B11" s="6">
        <f>(SUMPRODUCT(1*(Parameters!B4:B10&lt;&gt;'snap Parameters'!B4:B10))+SUMPRODUCT(1*(Parameters!B14:G14&lt;&gt;'snap Parameters'!B14:G14))+SUMPRODUCT(1*('STAF scores'!F10:Y12&lt;&gt;'snap STAF scores'!F10:Y12))+SUMPRODUCT(1*('STAF scores'!E15:Y74&lt;&gt;'snap STAF scores'!E15:Y74))+SUMPRODUCT(1*(Costs!D6:G15&lt;&gt;'snap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f>
        <v/>
      </c>
    </row>
    <row r="12">
      <c r="A12" s="4" t="inlineStr">
        <is>
          <t>Results that differ from the export</t>
        </is>
      </c>
      <c r="B12" s="6">
        <f>(SUMPRODUCT(1*(ABS(Summary!G5:G14-'snap Summary'!G5:G14)&gt;1e-06))+SUMPRODUCT(1*(ABS(Summary!L5:L14-'snap Summary'!L5:L14)&gt;0.0001))+SUMPRODUCT(1*('Site CE-ICA'!L6:L9&lt;&gt;'snap Site CE-ICA'!L6:L9))+SUMPRODUCT(1*('Site CE-ICA'!P6:P9&lt;&gt;'snap Site CE-ICA'!P6:P9))+SUMPRODUCT(1*('Site CE-ICA'!L12:L14&lt;&gt;'snap Site CE-ICA'!L12:L14))+SUMPRODUCT(1*('Site CE-ICA'!P12:P14&lt;&gt;'snap Site CE-ICA'!P12:P14))+SUMPRODUCT(1*('Site CE-ICA'!L17:L19&lt;&gt;'snap Site CE-ICA'!L17:L19))+SUMPRODUCT(1*('Site CE-ICA'!P17:P19&lt;&gt;'snap Site CE-ICA'!P17:P19))+SUMPRODUCT(1*('Watershed plans'!O12:O19&lt;&gt;'snap Watershed plans'!O12:O19))+SUMPRODUCT(1*('Watershed plans'!S12:S19&lt;&gt;'snap Watershed plans'!S12:S19)))</f>
        <v/>
      </c>
    </row>
    <row r="14">
      <c r="A14" s="7" t="inlineStr">
        <is>
          <t>How to use</t>
        </is>
      </c>
    </row>
    <row r="15">
      <c r="A15" t="inlineStr">
        <is>
          <t>- Orange cells are inputs; grey cells are formulas. Sheets are protected (password 'ceica') only to prevent accidental edits.</t>
        </is>
      </c>
    </row>
    <row r="16">
      <c r="A16" t="inlineStr">
        <is>
          <t>- Change any orange cell: annualization, site CE/ICA, the watershed plans and the summary update. Changed inputs turn yellow.</t>
        </is>
      </c>
    </row>
    <row r="17">
      <c r="A17" t="inlineStr">
        <is>
          <t>- To add sites, alternatives or years, make the change in CEICA and export again.</t>
        </is>
      </c>
    </row>
    <row r="18">
      <c r="A18" t="inlineStr">
        <is>
          <t>- Import this workbook in CEICA to bring your changes back into the project.</t>
        </is>
      </c>
    </row>
    <row r="20">
      <c r="A20" s="7" t="inlineStr">
        <is>
          <t>Legend</t>
        </is>
      </c>
    </row>
    <row r="21">
      <c r="A21" s="9" t="inlineStr">
        <is>
          <t>Input</t>
        </is>
      </c>
    </row>
    <row r="22">
      <c r="A22" s="10" t="inlineStr">
        <is>
          <t>Formula</t>
        </is>
      </c>
    </row>
    <row r="23">
      <c r="A23" s="11" t="inlineStr">
        <is>
          <t>Changed since export</t>
        </is>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62" customWidth="1" style="8" min="1" max="1"/>
    <col width="18" customWidth="1" style="8" min="2" max="2"/>
  </cols>
  <sheetData>
    <row r="1">
      <c r="A1" s="1" t="inlineStr">
        <is>
          <t>Parameters</t>
        </is>
      </c>
    </row>
    <row r="2">
      <c r="A2" s="2" t="inlineStr">
        <is>
          <t>Economics and conventions. Orange cells are inputs.</t>
        </is>
      </c>
    </row>
    <row r="3">
      <c r="A3" s="12" t="inlineStr">
        <is>
          <t>Parameter</t>
        </is>
      </c>
      <c r="B3" s="12" t="inlineStr">
        <is>
          <t>Value</t>
        </is>
      </c>
    </row>
    <row r="4">
      <c r="A4" s="4" t="inlineStr">
        <is>
          <t>Discount rate</t>
        </is>
      </c>
      <c r="B4" s="13" t="n">
        <v>0.03</v>
      </c>
    </row>
    <row r="5">
      <c r="A5" s="4" t="inlineStr">
        <is>
          <t>Period of analysis (years)</t>
        </is>
      </c>
      <c r="B5" s="14" t="n">
        <v>50</v>
      </c>
    </row>
    <row r="6">
      <c r="A6" s="4" t="inlineStr">
        <is>
          <t>Interest during construction: periods per year</t>
        </is>
      </c>
      <c r="B6" s="14" t="n">
        <v>12</v>
      </c>
    </row>
    <row r="7">
      <c r="A7" s="4" t="inlineStr">
        <is>
          <t>Interest during construction: spending in each period (END, MIDDLE or START)</t>
        </is>
      </c>
      <c r="B7" s="15" t="inlineStr">
        <is>
          <t>END</t>
        </is>
      </c>
    </row>
    <row r="8">
      <c r="A8" s="4" t="inlineStr">
        <is>
          <t>OMRRR discounting (END_OF_YEAR or MID_YEAR)</t>
        </is>
      </c>
      <c r="B8" s="15" t="inlineStr">
        <is>
          <t>END_OF_YEAR</t>
        </is>
      </c>
    </row>
    <row r="9">
      <c r="A9" s="4" t="inlineStr">
        <is>
          <t>Cost decimals kept for CE/ICA</t>
        </is>
      </c>
      <c r="B9" s="14" t="n">
        <v>2</v>
      </c>
    </row>
    <row r="10">
      <c r="A10" s="4" t="inlineStr">
        <is>
          <t>Output decimals kept for CE/ICA</t>
        </is>
      </c>
      <c r="B10" s="14" t="n">
        <v>3</v>
      </c>
    </row>
    <row r="11">
      <c r="A11" s="3" t="inlineStr">
        <is>
          <t>Capital recovery factor</t>
        </is>
      </c>
      <c r="B11" s="16">
        <f>IF(in_rate=0,1/in_poa,in_rate*(1+in_rate)^in_poa/((1+in_rate)^in_poa-1))</f>
        <v/>
      </c>
    </row>
    <row r="13">
      <c r="A13" s="12" t="inlineStr">
        <is>
          <t>Target years</t>
        </is>
      </c>
      <c r="B13" s="12" t="inlineStr">
        <is>
          <t>Year 1</t>
        </is>
      </c>
      <c r="C13" s="12" t="inlineStr">
        <is>
          <t>Year 2</t>
        </is>
      </c>
      <c r="D13" s="12" t="inlineStr">
        <is>
          <t>Year 3</t>
        </is>
      </c>
      <c r="E13" s="12" t="inlineStr">
        <is>
          <t>Year 4</t>
        </is>
      </c>
      <c r="F13" s="12" t="inlineStr">
        <is>
          <t>Year 5</t>
        </is>
      </c>
      <c r="G13" s="12" t="inlineStr">
        <is>
          <t>Year 6</t>
        </is>
      </c>
    </row>
    <row r="14">
      <c r="A14" s="4" t="inlineStr">
        <is>
          <t>Years (first to last)</t>
        </is>
      </c>
      <c r="B14" s="17" t="n">
        <v>0</v>
      </c>
      <c r="C14" s="17" t="n">
        <v>1</v>
      </c>
      <c r="D14" s="17" t="n">
        <v>5</v>
      </c>
      <c r="E14" s="17" t="n">
        <v>10</v>
      </c>
      <c r="F14" s="17" t="n">
        <v>25</v>
      </c>
      <c r="G14" s="17" t="n">
        <v>50</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B4:B10">
    <cfRule type="expression" priority="1" dxfId="0" stopIfTrue="0">
      <formula>B4&lt;&gt;'snap Parameters'!B4</formula>
    </cfRule>
  </conditionalFormatting>
  <conditionalFormatting sqref="B14:G14">
    <cfRule type="expression" priority="2" dxfId="0" stopIfTrue="0">
      <formula>B14&lt;&gt;'snap Parameters'!B14</formula>
    </cfRule>
  </conditionalFormatting>
  <dataValidations count="2">
    <dataValidation sqref="B7" showDropDown="0" showInputMessage="0" showErrorMessage="0" allowBlank="0" type="list">
      <formula1>"END,MIDDLE,START"</formula1>
    </dataValidation>
    <dataValidation sqref="B8" showDropDown="0" showInputMessage="0" showErrorMessage="0" allowBlank="0" type="list">
      <formula1>"END_OF_YEAR,MID_YEAR"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4"/>
  <sheetViews>
    <sheetView showGridLines="0" workbookViewId="0">
      <pane xSplit="5" ySplit="14" topLeftCell="F15"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2" max="2"/>
    <col width="14" customWidth="1" style="8" min="3" max="3"/>
    <col width="8"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s>
  <sheetData>
    <row r="1">
      <c r="A1" s="1" t="inlineStr">
        <is>
          <t>STAF scores: function scores (0 to 15) at each target year</t>
        </is>
      </c>
    </row>
    <row r="2">
      <c r="A2" s="2" t="inlineStr">
        <is>
          <t>Outcome mapping STAF documentation, EASI and DEEP (A): weight 1 for a direct effect, 0.1 for an indirect one. A function marked 0 under Assessed is left out of both sums at that site.</t>
        </is>
      </c>
    </row>
    <row r="4">
      <c r="B4" s="12" t="inlineStr">
        <is>
          <t>Weights</t>
        </is>
      </c>
      <c r="F4" s="12" t="inlineStr">
        <is>
          <t>Catchment hydrology</t>
        </is>
      </c>
      <c r="G4" s="12" t="inlineStr">
        <is>
          <t>Surface water storage</t>
        </is>
      </c>
      <c r="H4" s="12" t="inlineStr">
        <is>
          <t>Reach inflow</t>
        </is>
      </c>
      <c r="I4" s="12" t="inlineStr">
        <is>
          <t>Streamflow regime</t>
        </is>
      </c>
      <c r="J4" s="12" t="inlineStr">
        <is>
          <t>Low flow and baseflow dynamics</t>
        </is>
      </c>
      <c r="K4" s="12" t="inlineStr">
        <is>
          <t>High flow dynamics</t>
        </is>
      </c>
      <c r="L4" s="12" t="inlineStr">
        <is>
          <t>Floodplain connectivity</t>
        </is>
      </c>
      <c r="M4" s="12" t="inlineStr">
        <is>
          <t>Hyporheic connectivity</t>
        </is>
      </c>
      <c r="N4" s="12" t="inlineStr">
        <is>
          <t>Channel evolution</t>
        </is>
      </c>
      <c r="O4" s="12" t="inlineStr">
        <is>
          <t>Channel and floodplain dynamics</t>
        </is>
      </c>
      <c r="P4" s="12" t="inlineStr">
        <is>
          <t>Sediment continuity</t>
        </is>
      </c>
      <c r="Q4" s="12" t="inlineStr">
        <is>
          <t>Bed composition and large wood</t>
        </is>
      </c>
      <c r="R4" s="12" t="inlineStr">
        <is>
          <t>Light &amp; thermal regime</t>
        </is>
      </c>
      <c r="S4" s="12" t="inlineStr">
        <is>
          <t>Carbon processing</t>
        </is>
      </c>
      <c r="T4" s="12" t="inlineStr">
        <is>
          <t>Nutrient cycling</t>
        </is>
      </c>
      <c r="U4" s="12" t="inlineStr">
        <is>
          <t>Water &amp; soil quality</t>
        </is>
      </c>
      <c r="V4" s="12" t="inlineStr">
        <is>
          <t>Habitat provision</t>
        </is>
      </c>
      <c r="W4" s="12" t="inlineStr">
        <is>
          <t>Population support</t>
        </is>
      </c>
      <c r="X4" s="12" t="inlineStr">
        <is>
          <t>Community dynamics</t>
        </is>
      </c>
      <c r="Y4" s="12" t="inlineStr">
        <is>
          <t>Watershed connectivity</t>
        </is>
      </c>
    </row>
    <row r="5">
      <c r="B5" s="3" t="inlineStr">
        <is>
          <t>Physical</t>
        </is>
      </c>
      <c r="F5" s="18" t="n">
        <v>1</v>
      </c>
      <c r="G5" s="18" t="n">
        <v>1</v>
      </c>
      <c r="H5" s="18" t="n">
        <v>1</v>
      </c>
      <c r="I5" s="18" t="n">
        <v>1</v>
      </c>
      <c r="J5" s="18" t="n">
        <v>1</v>
      </c>
      <c r="K5" s="18" t="n">
        <v>1</v>
      </c>
      <c r="L5" s="18" t="n">
        <v>1</v>
      </c>
      <c r="M5" s="18" t="n">
        <v>1</v>
      </c>
      <c r="N5" s="18" t="n">
        <v>1</v>
      </c>
      <c r="O5" s="18" t="n">
        <v>1</v>
      </c>
      <c r="P5" s="18" t="n">
        <v>1</v>
      </c>
      <c r="Q5" s="18" t="n">
        <v>1</v>
      </c>
      <c r="R5" s="18" t="n">
        <v>0</v>
      </c>
      <c r="S5" s="18" t="n">
        <v>0</v>
      </c>
      <c r="T5" s="18" t="n">
        <v>0.1</v>
      </c>
      <c r="U5" s="18" t="n">
        <v>0.1</v>
      </c>
      <c r="V5" s="18" t="n">
        <v>0</v>
      </c>
      <c r="W5" s="18" t="n">
        <v>0.1</v>
      </c>
      <c r="X5" s="18" t="n">
        <v>0.1</v>
      </c>
      <c r="Y5" s="18" t="n">
        <v>0.1</v>
      </c>
    </row>
    <row r="6">
      <c r="B6" s="3" t="inlineStr">
        <is>
          <t>Chemical</t>
        </is>
      </c>
      <c r="F6" s="18" t="n">
        <v>0.1</v>
      </c>
      <c r="G6" s="18" t="n">
        <v>0.1</v>
      </c>
      <c r="H6" s="18" t="n">
        <v>0.1</v>
      </c>
      <c r="I6" s="18" t="n">
        <v>0.1</v>
      </c>
      <c r="J6" s="18" t="n">
        <v>0.1</v>
      </c>
      <c r="K6" s="18" t="n">
        <v>0.1</v>
      </c>
      <c r="L6" s="18" t="n">
        <v>0.1</v>
      </c>
      <c r="M6" s="18" t="n">
        <v>0.1</v>
      </c>
      <c r="N6" s="18" t="n">
        <v>0.1</v>
      </c>
      <c r="O6" s="18" t="n">
        <v>0.1</v>
      </c>
      <c r="P6" s="18" t="n">
        <v>0.1</v>
      </c>
      <c r="Q6" s="18" t="n">
        <v>0.1</v>
      </c>
      <c r="R6" s="18" t="n">
        <v>1</v>
      </c>
      <c r="S6" s="18" t="n">
        <v>1</v>
      </c>
      <c r="T6" s="18" t="n">
        <v>1</v>
      </c>
      <c r="U6" s="18" t="n">
        <v>1</v>
      </c>
      <c r="V6" s="18" t="n">
        <v>0</v>
      </c>
      <c r="W6" s="18" t="n">
        <v>0.1</v>
      </c>
      <c r="X6" s="18" t="n">
        <v>0.1</v>
      </c>
      <c r="Y6" s="18" t="n">
        <v>0</v>
      </c>
    </row>
    <row r="7">
      <c r="B7" s="3" t="inlineStr">
        <is>
          <t>Biological</t>
        </is>
      </c>
      <c r="F7" s="18" t="n">
        <v>0.1</v>
      </c>
      <c r="G7" s="18" t="n">
        <v>0.1</v>
      </c>
      <c r="H7" s="18" t="n">
        <v>0.1</v>
      </c>
      <c r="I7" s="18" t="n">
        <v>0.1</v>
      </c>
      <c r="J7" s="18" t="n">
        <v>0.1</v>
      </c>
      <c r="K7" s="18" t="n">
        <v>0.1</v>
      </c>
      <c r="L7" s="18" t="n">
        <v>0.1</v>
      </c>
      <c r="M7" s="18" t="n">
        <v>0.1</v>
      </c>
      <c r="N7" s="18" t="n">
        <v>0.1</v>
      </c>
      <c r="O7" s="18" t="n">
        <v>0.1</v>
      </c>
      <c r="P7" s="18" t="n">
        <v>0.1</v>
      </c>
      <c r="Q7" s="18" t="n">
        <v>0.1</v>
      </c>
      <c r="R7" s="18" t="n">
        <v>0.1</v>
      </c>
      <c r="S7" s="18" t="n">
        <v>0.1</v>
      </c>
      <c r="T7" s="18" t="n">
        <v>0.1</v>
      </c>
      <c r="U7" s="18" t="n">
        <v>0.1</v>
      </c>
      <c r="V7" s="18" t="n">
        <v>1</v>
      </c>
      <c r="W7" s="18" t="n">
        <v>1</v>
      </c>
      <c r="X7" s="18" t="n">
        <v>1</v>
      </c>
      <c r="Y7" s="18" t="n">
        <v>1</v>
      </c>
    </row>
    <row r="9">
      <c r="B9" s="12" t="inlineStr">
        <is>
          <t>Assessed (1) or not (0)</t>
        </is>
      </c>
      <c r="F9" s="12" t="inlineStr">
        <is>
          <t>Catchment hydrology</t>
        </is>
      </c>
      <c r="G9" s="12" t="inlineStr">
        <is>
          <t>Surface water storage</t>
        </is>
      </c>
      <c r="H9" s="12" t="inlineStr">
        <is>
          <t>Reach inflow</t>
        </is>
      </c>
      <c r="I9" s="12" t="inlineStr">
        <is>
          <t>Streamflow regime</t>
        </is>
      </c>
      <c r="J9" s="12" t="inlineStr">
        <is>
          <t>Low flow and baseflow dynamics</t>
        </is>
      </c>
      <c r="K9" s="12" t="inlineStr">
        <is>
          <t>High flow dynamics</t>
        </is>
      </c>
      <c r="L9" s="12" t="inlineStr">
        <is>
          <t>Floodplain connectivity</t>
        </is>
      </c>
      <c r="M9" s="12" t="inlineStr">
        <is>
          <t>Hyporheic connectivity</t>
        </is>
      </c>
      <c r="N9" s="12" t="inlineStr">
        <is>
          <t>Channel evolution</t>
        </is>
      </c>
      <c r="O9" s="12" t="inlineStr">
        <is>
          <t>Channel and floodplain dynamics</t>
        </is>
      </c>
      <c r="P9" s="12" t="inlineStr">
        <is>
          <t>Sediment continuity</t>
        </is>
      </c>
      <c r="Q9" s="12" t="inlineStr">
        <is>
          <t>Bed composition and large wood</t>
        </is>
      </c>
      <c r="R9" s="12" t="inlineStr">
        <is>
          <t>Light &amp; thermal regime</t>
        </is>
      </c>
      <c r="S9" s="12" t="inlineStr">
        <is>
          <t>Carbon processing</t>
        </is>
      </c>
      <c r="T9" s="12" t="inlineStr">
        <is>
          <t>Nutrient cycling</t>
        </is>
      </c>
      <c r="U9" s="12" t="inlineStr">
        <is>
          <t>Water &amp; soil quality</t>
        </is>
      </c>
      <c r="V9" s="12" t="inlineStr">
        <is>
          <t>Habitat provision</t>
        </is>
      </c>
      <c r="W9" s="12" t="inlineStr">
        <is>
          <t>Population support</t>
        </is>
      </c>
      <c r="X9" s="12" t="inlineStr">
        <is>
          <t>Community dynamics</t>
        </is>
      </c>
      <c r="Y9" s="12" t="inlineStr">
        <is>
          <t>Watershed connectivity</t>
        </is>
      </c>
    </row>
    <row r="10">
      <c r="B10" s="4" t="inlineStr">
        <is>
          <t>R1</t>
        </is>
      </c>
      <c r="F10" s="19" t="n">
        <v>1</v>
      </c>
      <c r="G10" s="19" t="n">
        <v>1</v>
      </c>
      <c r="H10" s="19" t="n">
        <v>1</v>
      </c>
      <c r="I10" s="19" t="n">
        <v>1</v>
      </c>
      <c r="J10" s="19" t="n">
        <v>1</v>
      </c>
      <c r="K10" s="19" t="n">
        <v>1</v>
      </c>
      <c r="L10" s="19" t="n">
        <v>1</v>
      </c>
      <c r="M10" s="19" t="n">
        <v>1</v>
      </c>
      <c r="N10" s="19" t="n">
        <v>1</v>
      </c>
      <c r="O10" s="19" t="n">
        <v>1</v>
      </c>
      <c r="P10" s="19" t="n">
        <v>1</v>
      </c>
      <c r="Q10" s="19" t="n">
        <v>1</v>
      </c>
      <c r="R10" s="19" t="n">
        <v>1</v>
      </c>
      <c r="S10" s="19" t="n">
        <v>1</v>
      </c>
      <c r="T10" s="19" t="n">
        <v>1</v>
      </c>
      <c r="U10" s="19" t="n">
        <v>1</v>
      </c>
      <c r="V10" s="19" t="n">
        <v>1</v>
      </c>
      <c r="W10" s="19" t="n">
        <v>1</v>
      </c>
      <c r="X10" s="19" t="n">
        <v>1</v>
      </c>
      <c r="Y10" s="19" t="n">
        <v>1</v>
      </c>
    </row>
    <row r="11">
      <c r="B11" s="4" t="inlineStr">
        <is>
          <t>R2</t>
        </is>
      </c>
      <c r="F11" s="19" t="n">
        <v>1</v>
      </c>
      <c r="G11" s="19" t="n">
        <v>1</v>
      </c>
      <c r="H11" s="19" t="n">
        <v>1</v>
      </c>
      <c r="I11" s="19" t="n">
        <v>1</v>
      </c>
      <c r="J11" s="19" t="n">
        <v>1</v>
      </c>
      <c r="K11" s="19" t="n">
        <v>1</v>
      </c>
      <c r="L11" s="19" t="n">
        <v>1</v>
      </c>
      <c r="M11" s="19" t="n">
        <v>1</v>
      </c>
      <c r="N11" s="19" t="n">
        <v>1</v>
      </c>
      <c r="O11" s="19" t="n">
        <v>1</v>
      </c>
      <c r="P11" s="19" t="n">
        <v>1</v>
      </c>
      <c r="Q11" s="19" t="n">
        <v>1</v>
      </c>
      <c r="R11" s="19" t="n">
        <v>1</v>
      </c>
      <c r="S11" s="19" t="n">
        <v>1</v>
      </c>
      <c r="T11" s="19" t="n">
        <v>1</v>
      </c>
      <c r="U11" s="19" t="n">
        <v>1</v>
      </c>
      <c r="V11" s="19" t="n">
        <v>1</v>
      </c>
      <c r="W11" s="19" t="n">
        <v>1</v>
      </c>
      <c r="X11" s="19" t="n">
        <v>1</v>
      </c>
      <c r="Y11" s="19" t="n">
        <v>1</v>
      </c>
    </row>
    <row r="12">
      <c r="B12" s="4" t="inlineStr">
        <is>
          <t>R3</t>
        </is>
      </c>
      <c r="F12" s="19" t="n">
        <v>1</v>
      </c>
      <c r="G12" s="19" t="n">
        <v>1</v>
      </c>
      <c r="H12" s="19" t="n">
        <v>1</v>
      </c>
      <c r="I12" s="19" t="n">
        <v>1</v>
      </c>
      <c r="J12" s="19" t="n">
        <v>1</v>
      </c>
      <c r="K12" s="19" t="n">
        <v>1</v>
      </c>
      <c r="L12" s="19" t="n">
        <v>1</v>
      </c>
      <c r="M12" s="19" t="n">
        <v>1</v>
      </c>
      <c r="N12" s="19" t="n">
        <v>1</v>
      </c>
      <c r="O12" s="19" t="n">
        <v>1</v>
      </c>
      <c r="P12" s="19" t="n">
        <v>1</v>
      </c>
      <c r="Q12" s="19" t="n">
        <v>1</v>
      </c>
      <c r="R12" s="19" t="n">
        <v>1</v>
      </c>
      <c r="S12" s="19" t="n">
        <v>1</v>
      </c>
      <c r="T12" s="19" t="n">
        <v>1</v>
      </c>
      <c r="U12" s="19" t="n">
        <v>1</v>
      </c>
      <c r="V12" s="19" t="n">
        <v>1</v>
      </c>
      <c r="W12" s="19" t="n">
        <v>1</v>
      </c>
      <c r="X12" s="19" t="n">
        <v>1</v>
      </c>
      <c r="Y12" s="19" t="n">
        <v>0</v>
      </c>
    </row>
    <row r="14">
      <c r="B14" s="12" t="inlineStr">
        <is>
          <t>Site</t>
        </is>
      </c>
      <c r="C14" s="12" t="inlineStr">
        <is>
          <t>Alternative</t>
        </is>
      </c>
      <c r="D14" s="12" t="inlineStr">
        <is>
          <t>Year</t>
        </is>
      </c>
      <c r="E14" s="12" t="inlineStr">
        <is>
          <t>Quantity (ft)</t>
        </is>
      </c>
      <c r="F14" s="12" t="inlineStr">
        <is>
          <t>Catchment hydrology</t>
        </is>
      </c>
      <c r="G14" s="12" t="inlineStr">
        <is>
          <t>Surface water storage</t>
        </is>
      </c>
      <c r="H14" s="12" t="inlineStr">
        <is>
          <t>Reach inflow</t>
        </is>
      </c>
      <c r="I14" s="12" t="inlineStr">
        <is>
          <t>Streamflow regime</t>
        </is>
      </c>
      <c r="J14" s="12" t="inlineStr">
        <is>
          <t>Low flow and baseflow dynamics</t>
        </is>
      </c>
      <c r="K14" s="12" t="inlineStr">
        <is>
          <t>High flow dynamics</t>
        </is>
      </c>
      <c r="L14" s="12" t="inlineStr">
        <is>
          <t>Floodplain connectivity</t>
        </is>
      </c>
      <c r="M14" s="12" t="inlineStr">
        <is>
          <t>Hyporheic connectivity</t>
        </is>
      </c>
      <c r="N14" s="12" t="inlineStr">
        <is>
          <t>Channel evolution</t>
        </is>
      </c>
      <c r="O14" s="12" t="inlineStr">
        <is>
          <t>Channel and floodplain dynamics</t>
        </is>
      </c>
      <c r="P14" s="12" t="inlineStr">
        <is>
          <t>Sediment continuity</t>
        </is>
      </c>
      <c r="Q14" s="12" t="inlineStr">
        <is>
          <t>Bed composition and large wood</t>
        </is>
      </c>
      <c r="R14" s="12" t="inlineStr">
        <is>
          <t>Light &amp; thermal regime</t>
        </is>
      </c>
      <c r="S14" s="12" t="inlineStr">
        <is>
          <t>Carbon processing</t>
        </is>
      </c>
      <c r="T14" s="12" t="inlineStr">
        <is>
          <t>Nutrient cycling</t>
        </is>
      </c>
      <c r="U14" s="12" t="inlineStr">
        <is>
          <t>Water &amp; soil quality</t>
        </is>
      </c>
      <c r="V14" s="12" t="inlineStr">
        <is>
          <t>Habitat provision</t>
        </is>
      </c>
      <c r="W14" s="12" t="inlineStr">
        <is>
          <t>Population support</t>
        </is>
      </c>
      <c r="X14" s="12" t="inlineStr">
        <is>
          <t>Community dynamics</t>
        </is>
      </c>
      <c r="Y14" s="12" t="inlineStr">
        <is>
          <t>Watershed connectivity</t>
        </is>
      </c>
    </row>
    <row r="15">
      <c r="B15" s="4" t="inlineStr">
        <is>
          <t>R1</t>
        </is>
      </c>
      <c r="C15" s="4" t="inlineStr">
        <is>
          <t>FWOP</t>
        </is>
      </c>
      <c r="D15" s="20">
        <f>Parameters!$B$14</f>
        <v/>
      </c>
      <c r="E15" s="21" t="n">
        <v>1000</v>
      </c>
      <c r="F15" s="22" t="n">
        <v>8</v>
      </c>
      <c r="G15" s="22" t="n">
        <v>15</v>
      </c>
      <c r="H15" s="22" t="n">
        <v>7</v>
      </c>
      <c r="I15" s="22" t="n">
        <v>12</v>
      </c>
      <c r="J15" s="22" t="n">
        <v>4</v>
      </c>
      <c r="K15" s="22" t="n">
        <v>11</v>
      </c>
      <c r="L15" s="22" t="n">
        <v>9</v>
      </c>
      <c r="M15" s="22" t="n">
        <v>13</v>
      </c>
      <c r="N15" s="22" t="n">
        <v>5</v>
      </c>
      <c r="O15" s="22" t="n">
        <v>10</v>
      </c>
      <c r="P15" s="22" t="n">
        <v>6</v>
      </c>
      <c r="Q15" s="22" t="n">
        <v>5</v>
      </c>
      <c r="R15" s="22" t="n">
        <v>12</v>
      </c>
      <c r="S15" s="22" t="n">
        <v>13</v>
      </c>
      <c r="T15" s="22" t="n">
        <v>13</v>
      </c>
      <c r="U15" s="22" t="n">
        <v>10</v>
      </c>
      <c r="V15" s="22" t="n">
        <v>2</v>
      </c>
      <c r="W15" s="22" t="n">
        <v>3</v>
      </c>
      <c r="X15" s="22" t="n">
        <v>4</v>
      </c>
      <c r="Y15" s="22" t="n">
        <v>1</v>
      </c>
    </row>
    <row r="16">
      <c r="B16" s="4" t="inlineStr">
        <is>
          <t>R1</t>
        </is>
      </c>
      <c r="C16" s="4" t="inlineStr">
        <is>
          <t>FWOP</t>
        </is>
      </c>
      <c r="D16" s="20">
        <f>Parameters!$C$14</f>
        <v/>
      </c>
      <c r="E16" s="21" t="n">
        <v>1000</v>
      </c>
      <c r="F16" s="22" t="n">
        <v>8</v>
      </c>
      <c r="G16" s="22" t="n">
        <v>15</v>
      </c>
      <c r="H16" s="22" t="n">
        <v>7</v>
      </c>
      <c r="I16" s="22" t="n">
        <v>12</v>
      </c>
      <c r="J16" s="22" t="n">
        <v>4</v>
      </c>
      <c r="K16" s="22" t="n">
        <v>11</v>
      </c>
      <c r="L16" s="22" t="n">
        <v>9</v>
      </c>
      <c r="M16" s="22" t="n">
        <v>13</v>
      </c>
      <c r="N16" s="22" t="n">
        <v>5</v>
      </c>
      <c r="O16" s="22" t="n">
        <v>10</v>
      </c>
      <c r="P16" s="22" t="n">
        <v>6</v>
      </c>
      <c r="Q16" s="22" t="n">
        <v>5</v>
      </c>
      <c r="R16" s="22" t="n">
        <v>12</v>
      </c>
      <c r="S16" s="22" t="n">
        <v>13</v>
      </c>
      <c r="T16" s="22" t="n">
        <v>13</v>
      </c>
      <c r="U16" s="22" t="n">
        <v>10</v>
      </c>
      <c r="V16" s="22" t="n">
        <v>2</v>
      </c>
      <c r="W16" s="22" t="n">
        <v>3</v>
      </c>
      <c r="X16" s="22" t="n">
        <v>4</v>
      </c>
      <c r="Y16" s="22" t="n">
        <v>1</v>
      </c>
    </row>
    <row r="17">
      <c r="B17" s="4" t="inlineStr">
        <is>
          <t>R1</t>
        </is>
      </c>
      <c r="C17" s="4" t="inlineStr">
        <is>
          <t>FWOP</t>
        </is>
      </c>
      <c r="D17" s="20">
        <f>Parameters!$D$14</f>
        <v/>
      </c>
      <c r="E17" s="21" t="n">
        <v>1000</v>
      </c>
      <c r="F17" s="22" t="n">
        <v>8</v>
      </c>
      <c r="G17" s="22" t="n">
        <v>15</v>
      </c>
      <c r="H17" s="22" t="n">
        <v>7</v>
      </c>
      <c r="I17" s="22" t="n">
        <v>12</v>
      </c>
      <c r="J17" s="22" t="n">
        <v>4</v>
      </c>
      <c r="K17" s="22" t="n">
        <v>11</v>
      </c>
      <c r="L17" s="22" t="n">
        <v>9</v>
      </c>
      <c r="M17" s="22" t="n">
        <v>13</v>
      </c>
      <c r="N17" s="22" t="n">
        <v>4.9</v>
      </c>
      <c r="O17" s="22" t="n">
        <v>10</v>
      </c>
      <c r="P17" s="22" t="n">
        <v>6</v>
      </c>
      <c r="Q17" s="22" t="n">
        <v>4.9</v>
      </c>
      <c r="R17" s="22" t="n">
        <v>12</v>
      </c>
      <c r="S17" s="22" t="n">
        <v>13</v>
      </c>
      <c r="T17" s="22" t="n">
        <v>13</v>
      </c>
      <c r="U17" s="22" t="n">
        <v>10</v>
      </c>
      <c r="V17" s="22" t="n">
        <v>2</v>
      </c>
      <c r="W17" s="22" t="n">
        <v>2.9</v>
      </c>
      <c r="X17" s="22" t="n">
        <v>3.9</v>
      </c>
      <c r="Y17" s="22" t="n">
        <v>1</v>
      </c>
    </row>
    <row r="18">
      <c r="B18" s="4" t="inlineStr">
        <is>
          <t>R1</t>
        </is>
      </c>
      <c r="C18" s="4" t="inlineStr">
        <is>
          <t>FWOP</t>
        </is>
      </c>
      <c r="D18" s="20">
        <f>Parameters!$E$14</f>
        <v/>
      </c>
      <c r="E18" s="21" t="n">
        <v>1000</v>
      </c>
      <c r="F18" s="22" t="n">
        <v>8</v>
      </c>
      <c r="G18" s="22" t="n">
        <v>15</v>
      </c>
      <c r="H18" s="22" t="n">
        <v>7</v>
      </c>
      <c r="I18" s="22" t="n">
        <v>12</v>
      </c>
      <c r="J18" s="22" t="n">
        <v>4</v>
      </c>
      <c r="K18" s="22" t="n">
        <v>11</v>
      </c>
      <c r="L18" s="22" t="n">
        <v>9</v>
      </c>
      <c r="M18" s="22" t="n">
        <v>13</v>
      </c>
      <c r="N18" s="22" t="n">
        <v>4.8</v>
      </c>
      <c r="O18" s="22" t="n">
        <v>10</v>
      </c>
      <c r="P18" s="22" t="n">
        <v>6</v>
      </c>
      <c r="Q18" s="22" t="n">
        <v>4.8</v>
      </c>
      <c r="R18" s="22" t="n">
        <v>12</v>
      </c>
      <c r="S18" s="22" t="n">
        <v>13</v>
      </c>
      <c r="T18" s="22" t="n">
        <v>13</v>
      </c>
      <c r="U18" s="22" t="n">
        <v>10</v>
      </c>
      <c r="V18" s="22" t="n">
        <v>2</v>
      </c>
      <c r="W18" s="22" t="n">
        <v>2.8</v>
      </c>
      <c r="X18" s="22" t="n">
        <v>3.8</v>
      </c>
      <c r="Y18" s="22" t="n">
        <v>1</v>
      </c>
    </row>
    <row r="19">
      <c r="B19" s="4" t="inlineStr">
        <is>
          <t>R1</t>
        </is>
      </c>
      <c r="C19" s="4" t="inlineStr">
        <is>
          <t>FWOP</t>
        </is>
      </c>
      <c r="D19" s="20">
        <f>Parameters!$F$14</f>
        <v/>
      </c>
      <c r="E19" s="21" t="n">
        <v>1000</v>
      </c>
      <c r="F19" s="22" t="n">
        <v>8</v>
      </c>
      <c r="G19" s="22" t="n">
        <v>15</v>
      </c>
      <c r="H19" s="22" t="n">
        <v>7</v>
      </c>
      <c r="I19" s="22" t="n">
        <v>12</v>
      </c>
      <c r="J19" s="22" t="n">
        <v>4</v>
      </c>
      <c r="K19" s="22" t="n">
        <v>11</v>
      </c>
      <c r="L19" s="22" t="n">
        <v>9</v>
      </c>
      <c r="M19" s="22" t="n">
        <v>13</v>
      </c>
      <c r="N19" s="22" t="n">
        <v>4.5</v>
      </c>
      <c r="O19" s="22" t="n">
        <v>10</v>
      </c>
      <c r="P19" s="22" t="n">
        <v>6</v>
      </c>
      <c r="Q19" s="22" t="n">
        <v>4.5</v>
      </c>
      <c r="R19" s="22" t="n">
        <v>12</v>
      </c>
      <c r="S19" s="22" t="n">
        <v>13</v>
      </c>
      <c r="T19" s="22" t="n">
        <v>13</v>
      </c>
      <c r="U19" s="22" t="n">
        <v>10</v>
      </c>
      <c r="V19" s="22" t="n">
        <v>2</v>
      </c>
      <c r="W19" s="22" t="n">
        <v>2.5</v>
      </c>
      <c r="X19" s="22" t="n">
        <v>3.5</v>
      </c>
      <c r="Y19" s="22" t="n">
        <v>1</v>
      </c>
    </row>
    <row r="20">
      <c r="B20" s="4" t="inlineStr">
        <is>
          <t>R1</t>
        </is>
      </c>
      <c r="C20" s="4" t="inlineStr">
        <is>
          <t>FWOP</t>
        </is>
      </c>
      <c r="D20" s="20">
        <f>Parameters!$G$14</f>
        <v/>
      </c>
      <c r="E20" s="21" t="n">
        <v>1000</v>
      </c>
      <c r="F20" s="22" t="n">
        <v>8</v>
      </c>
      <c r="G20" s="22" t="n">
        <v>15</v>
      </c>
      <c r="H20" s="22" t="n">
        <v>7</v>
      </c>
      <c r="I20" s="22" t="n">
        <v>12</v>
      </c>
      <c r="J20" s="22" t="n">
        <v>4</v>
      </c>
      <c r="K20" s="22" t="n">
        <v>11</v>
      </c>
      <c r="L20" s="22" t="n">
        <v>9</v>
      </c>
      <c r="M20" s="22" t="n">
        <v>13</v>
      </c>
      <c r="N20" s="22" t="n">
        <v>4</v>
      </c>
      <c r="O20" s="22" t="n">
        <v>10</v>
      </c>
      <c r="P20" s="22" t="n">
        <v>6</v>
      </c>
      <c r="Q20" s="22" t="n">
        <v>4</v>
      </c>
      <c r="R20" s="22" t="n">
        <v>12</v>
      </c>
      <c r="S20" s="22" t="n">
        <v>13</v>
      </c>
      <c r="T20" s="22" t="n">
        <v>13</v>
      </c>
      <c r="U20" s="22" t="n">
        <v>10</v>
      </c>
      <c r="V20" s="22" t="n">
        <v>2</v>
      </c>
      <c r="W20" s="22" t="n">
        <v>2</v>
      </c>
      <c r="X20" s="22" t="n">
        <v>3</v>
      </c>
      <c r="Y20" s="22" t="n">
        <v>1</v>
      </c>
    </row>
    <row r="21">
      <c r="B21" s="4" t="inlineStr">
        <is>
          <t>R1</t>
        </is>
      </c>
      <c r="C21" s="4" t="inlineStr">
        <is>
          <t>A1</t>
        </is>
      </c>
      <c r="D21" s="20">
        <f>Parameters!$B$14</f>
        <v/>
      </c>
      <c r="E21" s="21" t="n">
        <v>1000</v>
      </c>
      <c r="F21" s="22" t="n">
        <v>8</v>
      </c>
      <c r="G21" s="22" t="n">
        <v>15</v>
      </c>
      <c r="H21" s="22" t="n">
        <v>7</v>
      </c>
      <c r="I21" s="22" t="n">
        <v>12</v>
      </c>
      <c r="J21" s="22" t="n">
        <v>4</v>
      </c>
      <c r="K21" s="22" t="n">
        <v>11</v>
      </c>
      <c r="L21" s="22" t="n">
        <v>9</v>
      </c>
      <c r="M21" s="22" t="n">
        <v>13</v>
      </c>
      <c r="N21" s="22" t="n">
        <v>5</v>
      </c>
      <c r="O21" s="22" t="n">
        <v>10</v>
      </c>
      <c r="P21" s="22" t="n">
        <v>6</v>
      </c>
      <c r="Q21" s="22" t="n">
        <v>5</v>
      </c>
      <c r="R21" s="22" t="n">
        <v>12</v>
      </c>
      <c r="S21" s="22" t="n">
        <v>13</v>
      </c>
      <c r="T21" s="22" t="n">
        <v>13</v>
      </c>
      <c r="U21" s="22" t="n">
        <v>10</v>
      </c>
      <c r="V21" s="22" t="n">
        <v>2</v>
      </c>
      <c r="W21" s="22" t="n">
        <v>3</v>
      </c>
      <c r="X21" s="22" t="n">
        <v>4</v>
      </c>
      <c r="Y21" s="22" t="n">
        <v>1</v>
      </c>
    </row>
    <row r="22">
      <c r="B22" s="4" t="inlineStr">
        <is>
          <t>R1</t>
        </is>
      </c>
      <c r="C22" s="4" t="inlineStr">
        <is>
          <t>A1</t>
        </is>
      </c>
      <c r="D22" s="20">
        <f>Parameters!$C$14</f>
        <v/>
      </c>
      <c r="E22" s="21" t="n">
        <v>1000</v>
      </c>
      <c r="F22" s="22" t="n">
        <v>8</v>
      </c>
      <c r="G22" s="22" t="n">
        <v>15</v>
      </c>
      <c r="H22" s="22" t="n">
        <v>7</v>
      </c>
      <c r="I22" s="22" t="n">
        <v>12</v>
      </c>
      <c r="J22" s="22" t="n">
        <v>4</v>
      </c>
      <c r="K22" s="22" t="n">
        <v>11</v>
      </c>
      <c r="L22" s="22" t="n">
        <v>9</v>
      </c>
      <c r="M22" s="22" t="n">
        <v>13</v>
      </c>
      <c r="N22" s="22" t="n">
        <v>5</v>
      </c>
      <c r="O22" s="22" t="n">
        <v>10</v>
      </c>
      <c r="P22" s="22" t="n">
        <v>6</v>
      </c>
      <c r="Q22" s="22" t="n">
        <v>5</v>
      </c>
      <c r="R22" s="22" t="n">
        <v>12.2</v>
      </c>
      <c r="S22" s="22" t="n">
        <v>13.1</v>
      </c>
      <c r="T22" s="22" t="n">
        <v>13.1</v>
      </c>
      <c r="U22" s="22" t="n">
        <v>10.2</v>
      </c>
      <c r="V22" s="22" t="n">
        <v>2</v>
      </c>
      <c r="W22" s="22" t="n">
        <v>3</v>
      </c>
      <c r="X22" s="22" t="n">
        <v>4</v>
      </c>
      <c r="Y22" s="22" t="n">
        <v>1</v>
      </c>
    </row>
    <row r="23">
      <c r="B23" s="4" t="inlineStr">
        <is>
          <t>R1</t>
        </is>
      </c>
      <c r="C23" s="4" t="inlineStr">
        <is>
          <t>A1</t>
        </is>
      </c>
      <c r="D23" s="20">
        <f>Parameters!$D$14</f>
        <v/>
      </c>
      <c r="E23" s="21" t="n">
        <v>1000</v>
      </c>
      <c r="F23" s="22" t="n">
        <v>8</v>
      </c>
      <c r="G23" s="22" t="n">
        <v>15</v>
      </c>
      <c r="H23" s="22" t="n">
        <v>7</v>
      </c>
      <c r="I23" s="22" t="n">
        <v>12</v>
      </c>
      <c r="J23" s="22" t="n">
        <v>4</v>
      </c>
      <c r="K23" s="22" t="n">
        <v>11</v>
      </c>
      <c r="L23" s="22" t="n">
        <v>9</v>
      </c>
      <c r="M23" s="22" t="n">
        <v>13</v>
      </c>
      <c r="N23" s="22" t="n">
        <v>4.9</v>
      </c>
      <c r="O23" s="22" t="n">
        <v>10</v>
      </c>
      <c r="P23" s="22" t="n">
        <v>6</v>
      </c>
      <c r="Q23" s="22" t="n">
        <v>4.9</v>
      </c>
      <c r="R23" s="22" t="n">
        <v>13</v>
      </c>
      <c r="S23" s="22" t="n">
        <v>13.5</v>
      </c>
      <c r="T23" s="22" t="n">
        <v>13.5</v>
      </c>
      <c r="U23" s="22" t="n">
        <v>11</v>
      </c>
      <c r="V23" s="22" t="n">
        <v>2.8</v>
      </c>
      <c r="W23" s="22" t="n">
        <v>3.4</v>
      </c>
      <c r="X23" s="22" t="n">
        <v>4.4</v>
      </c>
      <c r="Y23" s="22" t="n">
        <v>1</v>
      </c>
    </row>
    <row r="24">
      <c r="B24" s="4" t="inlineStr">
        <is>
          <t>R1</t>
        </is>
      </c>
      <c r="C24" s="4" t="inlineStr">
        <is>
          <t>A1</t>
        </is>
      </c>
      <c r="D24" s="20">
        <f>Parameters!$E$14</f>
        <v/>
      </c>
      <c r="E24" s="21" t="n">
        <v>1000</v>
      </c>
      <c r="F24" s="22" t="n">
        <v>8</v>
      </c>
      <c r="G24" s="22" t="n">
        <v>15</v>
      </c>
      <c r="H24" s="22" t="n">
        <v>7</v>
      </c>
      <c r="I24" s="22" t="n">
        <v>12</v>
      </c>
      <c r="J24" s="22" t="n">
        <v>4</v>
      </c>
      <c r="K24" s="22" t="n">
        <v>11</v>
      </c>
      <c r="L24" s="22" t="n">
        <v>9</v>
      </c>
      <c r="M24" s="22" t="n">
        <v>13</v>
      </c>
      <c r="N24" s="22" t="n">
        <v>4.8</v>
      </c>
      <c r="O24" s="22" t="n">
        <v>10</v>
      </c>
      <c r="P24" s="22" t="n">
        <v>6</v>
      </c>
      <c r="Q24" s="22" t="n">
        <v>4.8</v>
      </c>
      <c r="R24" s="22" t="n">
        <v>13.6</v>
      </c>
      <c r="S24" s="22" t="n">
        <v>13.8</v>
      </c>
      <c r="T24" s="22" t="n">
        <v>13.8</v>
      </c>
      <c r="U24" s="22" t="n">
        <v>11.6</v>
      </c>
      <c r="V24" s="22" t="n">
        <v>3.4</v>
      </c>
      <c r="W24" s="22" t="n">
        <v>3.7</v>
      </c>
      <c r="X24" s="22" t="n">
        <v>4.7</v>
      </c>
      <c r="Y24" s="22" t="n">
        <v>1</v>
      </c>
    </row>
    <row r="25">
      <c r="B25" s="4" t="inlineStr">
        <is>
          <t>R1</t>
        </is>
      </c>
      <c r="C25" s="4" t="inlineStr">
        <is>
          <t>A1</t>
        </is>
      </c>
      <c r="D25" s="20">
        <f>Parameters!$F$14</f>
        <v/>
      </c>
      <c r="E25" s="21" t="n">
        <v>1000</v>
      </c>
      <c r="F25" s="22" t="n">
        <v>8</v>
      </c>
      <c r="G25" s="22" t="n">
        <v>15</v>
      </c>
      <c r="H25" s="22" t="n">
        <v>7</v>
      </c>
      <c r="I25" s="22" t="n">
        <v>12</v>
      </c>
      <c r="J25" s="22" t="n">
        <v>4</v>
      </c>
      <c r="K25" s="22" t="n">
        <v>11</v>
      </c>
      <c r="L25" s="22" t="n">
        <v>9</v>
      </c>
      <c r="M25" s="22" t="n">
        <v>13</v>
      </c>
      <c r="N25" s="22" t="n">
        <v>4.5</v>
      </c>
      <c r="O25" s="22" t="n">
        <v>10</v>
      </c>
      <c r="P25" s="22" t="n">
        <v>6</v>
      </c>
      <c r="Q25" s="22" t="n">
        <v>4.5</v>
      </c>
      <c r="R25" s="22" t="n">
        <v>14</v>
      </c>
      <c r="S25" s="22" t="n">
        <v>14</v>
      </c>
      <c r="T25" s="22" t="n">
        <v>14</v>
      </c>
      <c r="U25" s="22" t="n">
        <v>12</v>
      </c>
      <c r="V25" s="22" t="n">
        <v>4</v>
      </c>
      <c r="W25" s="22" t="n">
        <v>4</v>
      </c>
      <c r="X25" s="22" t="n">
        <v>5</v>
      </c>
      <c r="Y25" s="22" t="n">
        <v>1</v>
      </c>
    </row>
    <row r="26">
      <c r="B26" s="4" t="inlineStr">
        <is>
          <t>R1</t>
        </is>
      </c>
      <c r="C26" s="4" t="inlineStr">
        <is>
          <t>A1</t>
        </is>
      </c>
      <c r="D26" s="20">
        <f>Parameters!$G$14</f>
        <v/>
      </c>
      <c r="E26" s="21" t="n">
        <v>1000</v>
      </c>
      <c r="F26" s="22" t="n">
        <v>8</v>
      </c>
      <c r="G26" s="22" t="n">
        <v>15</v>
      </c>
      <c r="H26" s="22" t="n">
        <v>7</v>
      </c>
      <c r="I26" s="22" t="n">
        <v>12</v>
      </c>
      <c r="J26" s="22" t="n">
        <v>4</v>
      </c>
      <c r="K26" s="22" t="n">
        <v>11</v>
      </c>
      <c r="L26" s="22" t="n">
        <v>9</v>
      </c>
      <c r="M26" s="22" t="n">
        <v>13</v>
      </c>
      <c r="N26" s="22" t="n">
        <v>4</v>
      </c>
      <c r="O26" s="22" t="n">
        <v>10</v>
      </c>
      <c r="P26" s="22" t="n">
        <v>6</v>
      </c>
      <c r="Q26" s="22" t="n">
        <v>4</v>
      </c>
      <c r="R26" s="22" t="n">
        <v>14</v>
      </c>
      <c r="S26" s="22" t="n">
        <v>14</v>
      </c>
      <c r="T26" s="22" t="n">
        <v>14</v>
      </c>
      <c r="U26" s="22" t="n">
        <v>12</v>
      </c>
      <c r="V26" s="22" t="n">
        <v>4</v>
      </c>
      <c r="W26" s="22" t="n">
        <v>4</v>
      </c>
      <c r="X26" s="22" t="n">
        <v>5</v>
      </c>
      <c r="Y26" s="22" t="n">
        <v>1</v>
      </c>
    </row>
    <row r="27">
      <c r="B27" s="4" t="inlineStr">
        <is>
          <t>R1</t>
        </is>
      </c>
      <c r="C27" s="4" t="inlineStr">
        <is>
          <t>A2</t>
        </is>
      </c>
      <c r="D27" s="20">
        <f>Parameters!$B$14</f>
        <v/>
      </c>
      <c r="E27" s="21" t="n">
        <v>1000</v>
      </c>
      <c r="F27" s="22" t="n">
        <v>8</v>
      </c>
      <c r="G27" s="22" t="n">
        <v>15</v>
      </c>
      <c r="H27" s="22" t="n">
        <v>7</v>
      </c>
      <c r="I27" s="22" t="n">
        <v>12</v>
      </c>
      <c r="J27" s="22" t="n">
        <v>4</v>
      </c>
      <c r="K27" s="22" t="n">
        <v>11</v>
      </c>
      <c r="L27" s="22" t="n">
        <v>9</v>
      </c>
      <c r="M27" s="22" t="n">
        <v>13</v>
      </c>
      <c r="N27" s="22" t="n">
        <v>5</v>
      </c>
      <c r="O27" s="22" t="n">
        <v>10</v>
      </c>
      <c r="P27" s="22" t="n">
        <v>6</v>
      </c>
      <c r="Q27" s="22" t="n">
        <v>5</v>
      </c>
      <c r="R27" s="22" t="n">
        <v>12</v>
      </c>
      <c r="S27" s="22" t="n">
        <v>13</v>
      </c>
      <c r="T27" s="22" t="n">
        <v>13</v>
      </c>
      <c r="U27" s="22" t="n">
        <v>10</v>
      </c>
      <c r="V27" s="22" t="n">
        <v>2</v>
      </c>
      <c r="W27" s="22" t="n">
        <v>3</v>
      </c>
      <c r="X27" s="22" t="n">
        <v>4</v>
      </c>
      <c r="Y27" s="22" t="n">
        <v>1</v>
      </c>
    </row>
    <row r="28">
      <c r="B28" s="4" t="inlineStr">
        <is>
          <t>R1</t>
        </is>
      </c>
      <c r="C28" s="4" t="inlineStr">
        <is>
          <t>A2</t>
        </is>
      </c>
      <c r="D28" s="20">
        <f>Parameters!$C$14</f>
        <v/>
      </c>
      <c r="E28" s="21" t="n">
        <v>1000</v>
      </c>
      <c r="F28" s="22" t="n">
        <v>8</v>
      </c>
      <c r="G28" s="22" t="n">
        <v>15</v>
      </c>
      <c r="H28" s="22" t="n">
        <v>7</v>
      </c>
      <c r="I28" s="22" t="n">
        <v>12</v>
      </c>
      <c r="J28" s="22" t="n">
        <v>4</v>
      </c>
      <c r="K28" s="22" t="n">
        <v>12.6</v>
      </c>
      <c r="L28" s="22" t="n">
        <v>12.2</v>
      </c>
      <c r="M28" s="22" t="n">
        <v>13.8</v>
      </c>
      <c r="N28" s="22" t="n">
        <v>5</v>
      </c>
      <c r="O28" s="22" t="n">
        <v>11.6</v>
      </c>
      <c r="P28" s="22" t="n">
        <v>6</v>
      </c>
      <c r="Q28" s="22" t="n">
        <v>5</v>
      </c>
      <c r="R28" s="22" t="n">
        <v>12.2</v>
      </c>
      <c r="S28" s="22" t="n">
        <v>13.1</v>
      </c>
      <c r="T28" s="22" t="n">
        <v>13.1</v>
      </c>
      <c r="U28" s="22" t="n">
        <v>10.2</v>
      </c>
      <c r="V28" s="22" t="n">
        <v>2</v>
      </c>
      <c r="W28" s="22" t="n">
        <v>3</v>
      </c>
      <c r="X28" s="22" t="n">
        <v>4</v>
      </c>
      <c r="Y28" s="22" t="n">
        <v>1</v>
      </c>
    </row>
    <row r="29">
      <c r="B29" s="4" t="inlineStr">
        <is>
          <t>R1</t>
        </is>
      </c>
      <c r="C29" s="4" t="inlineStr">
        <is>
          <t>A2</t>
        </is>
      </c>
      <c r="D29" s="20">
        <f>Parameters!$D$14</f>
        <v/>
      </c>
      <c r="E29" s="21" t="n">
        <v>1000</v>
      </c>
      <c r="F29" s="22" t="n">
        <v>8</v>
      </c>
      <c r="G29" s="22" t="n">
        <v>15</v>
      </c>
      <c r="H29" s="22" t="n">
        <v>7</v>
      </c>
      <c r="I29" s="22" t="n">
        <v>12</v>
      </c>
      <c r="J29" s="22" t="n">
        <v>4</v>
      </c>
      <c r="K29" s="22" t="n">
        <v>13</v>
      </c>
      <c r="L29" s="22" t="n">
        <v>13</v>
      </c>
      <c r="M29" s="22" t="n">
        <v>14</v>
      </c>
      <c r="N29" s="22" t="n">
        <v>5</v>
      </c>
      <c r="O29" s="22" t="n">
        <v>12</v>
      </c>
      <c r="P29" s="22" t="n">
        <v>6</v>
      </c>
      <c r="Q29" s="22" t="n">
        <v>5</v>
      </c>
      <c r="R29" s="22" t="n">
        <v>13</v>
      </c>
      <c r="S29" s="22" t="n">
        <v>13.5</v>
      </c>
      <c r="T29" s="22" t="n">
        <v>13.5</v>
      </c>
      <c r="U29" s="22" t="n">
        <v>11</v>
      </c>
      <c r="V29" s="22" t="n">
        <v>4</v>
      </c>
      <c r="W29" s="22" t="n">
        <v>4.2</v>
      </c>
      <c r="X29" s="22" t="n">
        <v>5.2</v>
      </c>
      <c r="Y29" s="22" t="n">
        <v>1</v>
      </c>
    </row>
    <row r="30">
      <c r="B30" s="4" t="inlineStr">
        <is>
          <t>R1</t>
        </is>
      </c>
      <c r="C30" s="4" t="inlineStr">
        <is>
          <t>A2</t>
        </is>
      </c>
      <c r="D30" s="20">
        <f>Parameters!$E$14</f>
        <v/>
      </c>
      <c r="E30" s="21" t="n">
        <v>1000</v>
      </c>
      <c r="F30" s="22" t="n">
        <v>8</v>
      </c>
      <c r="G30" s="22" t="n">
        <v>15</v>
      </c>
      <c r="H30" s="22" t="n">
        <v>7</v>
      </c>
      <c r="I30" s="22" t="n">
        <v>12</v>
      </c>
      <c r="J30" s="22" t="n">
        <v>4</v>
      </c>
      <c r="K30" s="22" t="n">
        <v>13</v>
      </c>
      <c r="L30" s="22" t="n">
        <v>13</v>
      </c>
      <c r="M30" s="22" t="n">
        <v>14</v>
      </c>
      <c r="N30" s="22" t="n">
        <v>5</v>
      </c>
      <c r="O30" s="22" t="n">
        <v>12</v>
      </c>
      <c r="P30" s="22" t="n">
        <v>6</v>
      </c>
      <c r="Q30" s="22" t="n">
        <v>5</v>
      </c>
      <c r="R30" s="22" t="n">
        <v>13.6</v>
      </c>
      <c r="S30" s="22" t="n">
        <v>13.8</v>
      </c>
      <c r="T30" s="22" t="n">
        <v>13.8</v>
      </c>
      <c r="U30" s="22" t="n">
        <v>11.6</v>
      </c>
      <c r="V30" s="22" t="n">
        <v>5.5</v>
      </c>
      <c r="W30" s="22" t="n">
        <v>5.1</v>
      </c>
      <c r="X30" s="22" t="n">
        <v>6.1</v>
      </c>
      <c r="Y30" s="22" t="n">
        <v>1</v>
      </c>
    </row>
    <row r="31">
      <c r="B31" s="4" t="inlineStr">
        <is>
          <t>R1</t>
        </is>
      </c>
      <c r="C31" s="4" t="inlineStr">
        <is>
          <t>A2</t>
        </is>
      </c>
      <c r="D31" s="20">
        <f>Parameters!$F$14</f>
        <v/>
      </c>
      <c r="E31" s="21" t="n">
        <v>1000</v>
      </c>
      <c r="F31" s="22" t="n">
        <v>8</v>
      </c>
      <c r="G31" s="22" t="n">
        <v>15</v>
      </c>
      <c r="H31" s="22" t="n">
        <v>7</v>
      </c>
      <c r="I31" s="22" t="n">
        <v>12</v>
      </c>
      <c r="J31" s="22" t="n">
        <v>4</v>
      </c>
      <c r="K31" s="22" t="n">
        <v>13</v>
      </c>
      <c r="L31" s="22" t="n">
        <v>13</v>
      </c>
      <c r="M31" s="22" t="n">
        <v>14</v>
      </c>
      <c r="N31" s="22" t="n">
        <v>5</v>
      </c>
      <c r="O31" s="22" t="n">
        <v>12</v>
      </c>
      <c r="P31" s="22" t="n">
        <v>6</v>
      </c>
      <c r="Q31" s="22" t="n">
        <v>5</v>
      </c>
      <c r="R31" s="22" t="n">
        <v>14</v>
      </c>
      <c r="S31" s="22" t="n">
        <v>14</v>
      </c>
      <c r="T31" s="22" t="n">
        <v>14</v>
      </c>
      <c r="U31" s="22" t="n">
        <v>12</v>
      </c>
      <c r="V31" s="22" t="n">
        <v>7</v>
      </c>
      <c r="W31" s="22" t="n">
        <v>6</v>
      </c>
      <c r="X31" s="22" t="n">
        <v>7</v>
      </c>
      <c r="Y31" s="22" t="n">
        <v>1</v>
      </c>
    </row>
    <row r="32">
      <c r="B32" s="4" t="inlineStr">
        <is>
          <t>R1</t>
        </is>
      </c>
      <c r="C32" s="4" t="inlineStr">
        <is>
          <t>A2</t>
        </is>
      </c>
      <c r="D32" s="20">
        <f>Parameters!$G$14</f>
        <v/>
      </c>
      <c r="E32" s="21" t="n">
        <v>1000</v>
      </c>
      <c r="F32" s="22" t="n">
        <v>8</v>
      </c>
      <c r="G32" s="22" t="n">
        <v>15</v>
      </c>
      <c r="H32" s="22" t="n">
        <v>7</v>
      </c>
      <c r="I32" s="22" t="n">
        <v>12</v>
      </c>
      <c r="J32" s="22" t="n">
        <v>4</v>
      </c>
      <c r="K32" s="22" t="n">
        <v>13</v>
      </c>
      <c r="L32" s="22" t="n">
        <v>13</v>
      </c>
      <c r="M32" s="22" t="n">
        <v>14</v>
      </c>
      <c r="N32" s="22" t="n">
        <v>5</v>
      </c>
      <c r="O32" s="22" t="n">
        <v>12</v>
      </c>
      <c r="P32" s="22" t="n">
        <v>6</v>
      </c>
      <c r="Q32" s="22" t="n">
        <v>5</v>
      </c>
      <c r="R32" s="22" t="n">
        <v>14</v>
      </c>
      <c r="S32" s="22" t="n">
        <v>14</v>
      </c>
      <c r="T32" s="22" t="n">
        <v>14</v>
      </c>
      <c r="U32" s="22" t="n">
        <v>12</v>
      </c>
      <c r="V32" s="22" t="n">
        <v>7</v>
      </c>
      <c r="W32" s="22" t="n">
        <v>6</v>
      </c>
      <c r="X32" s="22" t="n">
        <v>7</v>
      </c>
      <c r="Y32" s="22" t="n">
        <v>1</v>
      </c>
    </row>
    <row r="33">
      <c r="B33" s="4" t="inlineStr">
        <is>
          <t>R1</t>
        </is>
      </c>
      <c r="C33" s="4" t="inlineStr">
        <is>
          <t>A3</t>
        </is>
      </c>
      <c r="D33" s="20">
        <f>Parameters!$B$14</f>
        <v/>
      </c>
      <c r="E33" s="21" t="n">
        <v>1000</v>
      </c>
      <c r="F33" s="22" t="n">
        <v>8</v>
      </c>
      <c r="G33" s="22" t="n">
        <v>15</v>
      </c>
      <c r="H33" s="22" t="n">
        <v>7</v>
      </c>
      <c r="I33" s="22" t="n">
        <v>12</v>
      </c>
      <c r="J33" s="22" t="n">
        <v>4</v>
      </c>
      <c r="K33" s="22" t="n">
        <v>11</v>
      </c>
      <c r="L33" s="22" t="n">
        <v>9</v>
      </c>
      <c r="M33" s="22" t="n">
        <v>13</v>
      </c>
      <c r="N33" s="22" t="n">
        <v>5</v>
      </c>
      <c r="O33" s="22" t="n">
        <v>10</v>
      </c>
      <c r="P33" s="22" t="n">
        <v>6</v>
      </c>
      <c r="Q33" s="22" t="n">
        <v>5</v>
      </c>
      <c r="R33" s="22" t="n">
        <v>12</v>
      </c>
      <c r="S33" s="22" t="n">
        <v>13</v>
      </c>
      <c r="T33" s="22" t="n">
        <v>13</v>
      </c>
      <c r="U33" s="22" t="n">
        <v>10</v>
      </c>
      <c r="V33" s="22" t="n">
        <v>2</v>
      </c>
      <c r="W33" s="22" t="n">
        <v>3</v>
      </c>
      <c r="X33" s="22" t="n">
        <v>4</v>
      </c>
      <c r="Y33" s="22" t="n">
        <v>1</v>
      </c>
    </row>
    <row r="34">
      <c r="B34" s="4" t="inlineStr">
        <is>
          <t>R1</t>
        </is>
      </c>
      <c r="C34" s="4" t="inlineStr">
        <is>
          <t>A3</t>
        </is>
      </c>
      <c r="D34" s="20">
        <f>Parameters!$C$14</f>
        <v/>
      </c>
      <c r="E34" s="21" t="n">
        <v>1000</v>
      </c>
      <c r="F34" s="22" t="n">
        <v>8</v>
      </c>
      <c r="G34" s="22" t="n">
        <v>15</v>
      </c>
      <c r="H34" s="22" t="n">
        <v>7</v>
      </c>
      <c r="I34" s="22" t="n">
        <v>12</v>
      </c>
      <c r="J34" s="22" t="n">
        <v>6.4</v>
      </c>
      <c r="K34" s="22" t="n">
        <v>12.6</v>
      </c>
      <c r="L34" s="22" t="n">
        <v>12.2</v>
      </c>
      <c r="M34" s="22" t="n">
        <v>13.8</v>
      </c>
      <c r="N34" s="22" t="n">
        <v>5</v>
      </c>
      <c r="O34" s="22" t="n">
        <v>11.6</v>
      </c>
      <c r="P34" s="22" t="n">
        <v>7.6</v>
      </c>
      <c r="Q34" s="22" t="n">
        <v>9</v>
      </c>
      <c r="R34" s="22" t="n">
        <v>12.2</v>
      </c>
      <c r="S34" s="22" t="n">
        <v>13.1</v>
      </c>
      <c r="T34" s="22" t="n">
        <v>13.1</v>
      </c>
      <c r="U34" s="22" t="n">
        <v>10.2</v>
      </c>
      <c r="V34" s="22" t="n">
        <v>2</v>
      </c>
      <c r="W34" s="22" t="n">
        <v>3</v>
      </c>
      <c r="X34" s="22" t="n">
        <v>4</v>
      </c>
      <c r="Y34" s="22" t="n">
        <v>1</v>
      </c>
    </row>
    <row r="35">
      <c r="B35" s="4" t="inlineStr">
        <is>
          <t>R1</t>
        </is>
      </c>
      <c r="C35" s="4" t="inlineStr">
        <is>
          <t>A3</t>
        </is>
      </c>
      <c r="D35" s="20">
        <f>Parameters!$D$14</f>
        <v/>
      </c>
      <c r="E35" s="21" t="n">
        <v>1000</v>
      </c>
      <c r="F35" s="22" t="n">
        <v>8</v>
      </c>
      <c r="G35" s="22" t="n">
        <v>15</v>
      </c>
      <c r="H35" s="22" t="n">
        <v>7</v>
      </c>
      <c r="I35" s="22" t="n">
        <v>12</v>
      </c>
      <c r="J35" s="22" t="n">
        <v>7</v>
      </c>
      <c r="K35" s="22" t="n">
        <v>13</v>
      </c>
      <c r="L35" s="22" t="n">
        <v>13</v>
      </c>
      <c r="M35" s="22" t="n">
        <v>14</v>
      </c>
      <c r="N35" s="22" t="n">
        <v>5</v>
      </c>
      <c r="O35" s="22" t="n">
        <v>12</v>
      </c>
      <c r="P35" s="22" t="n">
        <v>8</v>
      </c>
      <c r="Q35" s="22" t="n">
        <v>10</v>
      </c>
      <c r="R35" s="22" t="n">
        <v>13</v>
      </c>
      <c r="S35" s="22" t="n">
        <v>13.5</v>
      </c>
      <c r="T35" s="22" t="n">
        <v>13.5</v>
      </c>
      <c r="U35" s="22" t="n">
        <v>11</v>
      </c>
      <c r="V35" s="22" t="n">
        <v>5.2</v>
      </c>
      <c r="W35" s="22" t="n">
        <v>5</v>
      </c>
      <c r="X35" s="22" t="n">
        <v>5.6</v>
      </c>
      <c r="Y35" s="22" t="n">
        <v>1</v>
      </c>
    </row>
    <row r="36">
      <c r="B36" s="4" t="inlineStr">
        <is>
          <t>R1</t>
        </is>
      </c>
      <c r="C36" s="4" t="inlineStr">
        <is>
          <t>A3</t>
        </is>
      </c>
      <c r="D36" s="20">
        <f>Parameters!$E$14</f>
        <v/>
      </c>
      <c r="E36" s="21" t="n">
        <v>1000</v>
      </c>
      <c r="F36" s="22" t="n">
        <v>8</v>
      </c>
      <c r="G36" s="22" t="n">
        <v>15</v>
      </c>
      <c r="H36" s="22" t="n">
        <v>7</v>
      </c>
      <c r="I36" s="22" t="n">
        <v>12</v>
      </c>
      <c r="J36" s="22" t="n">
        <v>7</v>
      </c>
      <c r="K36" s="22" t="n">
        <v>13</v>
      </c>
      <c r="L36" s="22" t="n">
        <v>13</v>
      </c>
      <c r="M36" s="22" t="n">
        <v>14</v>
      </c>
      <c r="N36" s="22" t="n">
        <v>5</v>
      </c>
      <c r="O36" s="22" t="n">
        <v>12</v>
      </c>
      <c r="P36" s="22" t="n">
        <v>8</v>
      </c>
      <c r="Q36" s="22" t="n">
        <v>10</v>
      </c>
      <c r="R36" s="22" t="n">
        <v>13.6</v>
      </c>
      <c r="S36" s="22" t="n">
        <v>13.8</v>
      </c>
      <c r="T36" s="22" t="n">
        <v>13.8</v>
      </c>
      <c r="U36" s="22" t="n">
        <v>11.6</v>
      </c>
      <c r="V36" s="22" t="n">
        <v>7.6</v>
      </c>
      <c r="W36" s="22" t="n">
        <v>6.5</v>
      </c>
      <c r="X36" s="22" t="n">
        <v>6.8</v>
      </c>
      <c r="Y36" s="22" t="n">
        <v>1</v>
      </c>
    </row>
    <row r="37">
      <c r="B37" s="4" t="inlineStr">
        <is>
          <t>R1</t>
        </is>
      </c>
      <c r="C37" s="4" t="inlineStr">
        <is>
          <t>A3</t>
        </is>
      </c>
      <c r="D37" s="20">
        <f>Parameters!$F$14</f>
        <v/>
      </c>
      <c r="E37" s="21" t="n">
        <v>1000</v>
      </c>
      <c r="F37" s="22" t="n">
        <v>8</v>
      </c>
      <c r="G37" s="22" t="n">
        <v>15</v>
      </c>
      <c r="H37" s="22" t="n">
        <v>7</v>
      </c>
      <c r="I37" s="22" t="n">
        <v>12</v>
      </c>
      <c r="J37" s="22" t="n">
        <v>7</v>
      </c>
      <c r="K37" s="22" t="n">
        <v>13</v>
      </c>
      <c r="L37" s="22" t="n">
        <v>13</v>
      </c>
      <c r="M37" s="22" t="n">
        <v>14</v>
      </c>
      <c r="N37" s="22" t="n">
        <v>5</v>
      </c>
      <c r="O37" s="22" t="n">
        <v>12</v>
      </c>
      <c r="P37" s="22" t="n">
        <v>8</v>
      </c>
      <c r="Q37" s="22" t="n">
        <v>10</v>
      </c>
      <c r="R37" s="22" t="n">
        <v>14</v>
      </c>
      <c r="S37" s="22" t="n">
        <v>14</v>
      </c>
      <c r="T37" s="22" t="n">
        <v>14</v>
      </c>
      <c r="U37" s="22" t="n">
        <v>12</v>
      </c>
      <c r="V37" s="22" t="n">
        <v>10</v>
      </c>
      <c r="W37" s="22" t="n">
        <v>8</v>
      </c>
      <c r="X37" s="22" t="n">
        <v>8</v>
      </c>
      <c r="Y37" s="22" t="n">
        <v>1</v>
      </c>
    </row>
    <row r="38">
      <c r="B38" s="4" t="inlineStr">
        <is>
          <t>R1</t>
        </is>
      </c>
      <c r="C38" s="4" t="inlineStr">
        <is>
          <t>A3</t>
        </is>
      </c>
      <c r="D38" s="20">
        <f>Parameters!$G$14</f>
        <v/>
      </c>
      <c r="E38" s="21" t="n">
        <v>1000</v>
      </c>
      <c r="F38" s="22" t="n">
        <v>8</v>
      </c>
      <c r="G38" s="22" t="n">
        <v>15</v>
      </c>
      <c r="H38" s="22" t="n">
        <v>7</v>
      </c>
      <c r="I38" s="22" t="n">
        <v>12</v>
      </c>
      <c r="J38" s="22" t="n">
        <v>7</v>
      </c>
      <c r="K38" s="22" t="n">
        <v>13</v>
      </c>
      <c r="L38" s="22" t="n">
        <v>13</v>
      </c>
      <c r="M38" s="22" t="n">
        <v>14</v>
      </c>
      <c r="N38" s="22" t="n">
        <v>5</v>
      </c>
      <c r="O38" s="22" t="n">
        <v>12</v>
      </c>
      <c r="P38" s="22" t="n">
        <v>8</v>
      </c>
      <c r="Q38" s="22" t="n">
        <v>10</v>
      </c>
      <c r="R38" s="22" t="n">
        <v>14</v>
      </c>
      <c r="S38" s="22" t="n">
        <v>14</v>
      </c>
      <c r="T38" s="22" t="n">
        <v>14</v>
      </c>
      <c r="U38" s="22" t="n">
        <v>12</v>
      </c>
      <c r="V38" s="22" t="n">
        <v>10</v>
      </c>
      <c r="W38" s="22" t="n">
        <v>8</v>
      </c>
      <c r="X38" s="22" t="n">
        <v>8</v>
      </c>
      <c r="Y38" s="22" t="n">
        <v>1</v>
      </c>
    </row>
    <row r="39">
      <c r="B39" s="4" t="inlineStr">
        <is>
          <t>R2</t>
        </is>
      </c>
      <c r="C39" s="4" t="inlineStr">
        <is>
          <t>FWOP</t>
        </is>
      </c>
      <c r="D39" s="20">
        <f>Parameters!$B$14</f>
        <v/>
      </c>
      <c r="E39" s="21" t="n">
        <v>2400</v>
      </c>
      <c r="F39" s="22" t="n">
        <v>3</v>
      </c>
      <c r="G39" s="22" t="n">
        <v>4</v>
      </c>
      <c r="H39" s="22" t="n">
        <v>3</v>
      </c>
      <c r="I39" s="22" t="n">
        <v>4</v>
      </c>
      <c r="J39" s="22" t="n">
        <v>3</v>
      </c>
      <c r="K39" s="22" t="n">
        <v>3</v>
      </c>
      <c r="L39" s="22" t="n">
        <v>2</v>
      </c>
      <c r="M39" s="22" t="n">
        <v>4</v>
      </c>
      <c r="N39" s="22" t="n">
        <v>3</v>
      </c>
      <c r="O39" s="22" t="n">
        <v>3</v>
      </c>
      <c r="P39" s="22" t="n">
        <v>4</v>
      </c>
      <c r="Q39" s="22" t="n">
        <v>3</v>
      </c>
      <c r="R39" s="22" t="n">
        <v>5</v>
      </c>
      <c r="S39" s="22" t="n">
        <v>5</v>
      </c>
      <c r="T39" s="22" t="n">
        <v>6</v>
      </c>
      <c r="U39" s="22" t="n">
        <v>4</v>
      </c>
      <c r="V39" s="22" t="n">
        <v>2</v>
      </c>
      <c r="W39" s="22" t="n">
        <v>2</v>
      </c>
      <c r="X39" s="22" t="n">
        <v>2</v>
      </c>
      <c r="Y39" s="22" t="n">
        <v>3</v>
      </c>
    </row>
    <row r="40">
      <c r="B40" s="4" t="inlineStr">
        <is>
          <t>R2</t>
        </is>
      </c>
      <c r="C40" s="4" t="inlineStr">
        <is>
          <t>FWOP</t>
        </is>
      </c>
      <c r="D40" s="20">
        <f>Parameters!$C$14</f>
        <v/>
      </c>
      <c r="E40" s="21" t="n">
        <v>2400</v>
      </c>
      <c r="F40" s="22" t="n">
        <v>3</v>
      </c>
      <c r="G40" s="22" t="n">
        <v>4</v>
      </c>
      <c r="H40" s="22" t="n">
        <v>3</v>
      </c>
      <c r="I40" s="22" t="n">
        <v>4</v>
      </c>
      <c r="J40" s="22" t="n">
        <v>3</v>
      </c>
      <c r="K40" s="22" t="n">
        <v>3</v>
      </c>
      <c r="L40" s="22" t="n">
        <v>2</v>
      </c>
      <c r="M40" s="22" t="n">
        <v>4</v>
      </c>
      <c r="N40" s="22" t="n">
        <v>3</v>
      </c>
      <c r="O40" s="22" t="n">
        <v>3</v>
      </c>
      <c r="P40" s="22" t="n">
        <v>4</v>
      </c>
      <c r="Q40" s="22" t="n">
        <v>3</v>
      </c>
      <c r="R40" s="22" t="n">
        <v>5</v>
      </c>
      <c r="S40" s="22" t="n">
        <v>5</v>
      </c>
      <c r="T40" s="22" t="n">
        <v>6</v>
      </c>
      <c r="U40" s="22" t="n">
        <v>4</v>
      </c>
      <c r="V40" s="22" t="n">
        <v>2</v>
      </c>
      <c r="W40" s="22" t="n">
        <v>2</v>
      </c>
      <c r="X40" s="22" t="n">
        <v>2</v>
      </c>
      <c r="Y40" s="22" t="n">
        <v>3</v>
      </c>
    </row>
    <row r="41">
      <c r="B41" s="4" t="inlineStr">
        <is>
          <t>R2</t>
        </is>
      </c>
      <c r="C41" s="4" t="inlineStr">
        <is>
          <t>FWOP</t>
        </is>
      </c>
      <c r="D41" s="20">
        <f>Parameters!$D$14</f>
        <v/>
      </c>
      <c r="E41" s="21" t="n">
        <v>2400</v>
      </c>
      <c r="F41" s="22" t="n">
        <v>3</v>
      </c>
      <c r="G41" s="22" t="n">
        <v>4</v>
      </c>
      <c r="H41" s="22" t="n">
        <v>3</v>
      </c>
      <c r="I41" s="22" t="n">
        <v>4</v>
      </c>
      <c r="J41" s="22" t="n">
        <v>3</v>
      </c>
      <c r="K41" s="22" t="n">
        <v>3</v>
      </c>
      <c r="L41" s="22" t="n">
        <v>2</v>
      </c>
      <c r="M41" s="22" t="n">
        <v>4</v>
      </c>
      <c r="N41" s="22" t="n">
        <v>2.9</v>
      </c>
      <c r="O41" s="22" t="n">
        <v>2.9</v>
      </c>
      <c r="P41" s="22" t="n">
        <v>4</v>
      </c>
      <c r="Q41" s="22" t="n">
        <v>3</v>
      </c>
      <c r="R41" s="22" t="n">
        <v>5</v>
      </c>
      <c r="S41" s="22" t="n">
        <v>5</v>
      </c>
      <c r="T41" s="22" t="n">
        <v>6</v>
      </c>
      <c r="U41" s="22" t="n">
        <v>3.9</v>
      </c>
      <c r="V41" s="22" t="n">
        <v>2</v>
      </c>
      <c r="W41" s="22" t="n">
        <v>2</v>
      </c>
      <c r="X41" s="22" t="n">
        <v>2</v>
      </c>
      <c r="Y41" s="22" t="n">
        <v>3</v>
      </c>
    </row>
    <row r="42">
      <c r="B42" s="4" t="inlineStr">
        <is>
          <t>R2</t>
        </is>
      </c>
      <c r="C42" s="4" t="inlineStr">
        <is>
          <t>FWOP</t>
        </is>
      </c>
      <c r="D42" s="20">
        <f>Parameters!$E$14</f>
        <v/>
      </c>
      <c r="E42" s="21" t="n">
        <v>2400</v>
      </c>
      <c r="F42" s="22" t="n">
        <v>3</v>
      </c>
      <c r="G42" s="22" t="n">
        <v>4</v>
      </c>
      <c r="H42" s="22" t="n">
        <v>3</v>
      </c>
      <c r="I42" s="22" t="n">
        <v>4</v>
      </c>
      <c r="J42" s="22" t="n">
        <v>3</v>
      </c>
      <c r="K42" s="22" t="n">
        <v>3</v>
      </c>
      <c r="L42" s="22" t="n">
        <v>2</v>
      </c>
      <c r="M42" s="22" t="n">
        <v>4</v>
      </c>
      <c r="N42" s="22" t="n">
        <v>2.8</v>
      </c>
      <c r="O42" s="22" t="n">
        <v>2.8</v>
      </c>
      <c r="P42" s="22" t="n">
        <v>4</v>
      </c>
      <c r="Q42" s="22" t="n">
        <v>3</v>
      </c>
      <c r="R42" s="22" t="n">
        <v>5</v>
      </c>
      <c r="S42" s="22" t="n">
        <v>5</v>
      </c>
      <c r="T42" s="22" t="n">
        <v>6</v>
      </c>
      <c r="U42" s="22" t="n">
        <v>3.8</v>
      </c>
      <c r="V42" s="22" t="n">
        <v>2</v>
      </c>
      <c r="W42" s="22" t="n">
        <v>2</v>
      </c>
      <c r="X42" s="22" t="n">
        <v>2</v>
      </c>
      <c r="Y42" s="22" t="n">
        <v>3</v>
      </c>
    </row>
    <row r="43">
      <c r="B43" s="4" t="inlineStr">
        <is>
          <t>R2</t>
        </is>
      </c>
      <c r="C43" s="4" t="inlineStr">
        <is>
          <t>FWOP</t>
        </is>
      </c>
      <c r="D43" s="20">
        <f>Parameters!$F$14</f>
        <v/>
      </c>
      <c r="E43" s="21" t="n">
        <v>2400</v>
      </c>
      <c r="F43" s="22" t="n">
        <v>3</v>
      </c>
      <c r="G43" s="22" t="n">
        <v>4</v>
      </c>
      <c r="H43" s="22" t="n">
        <v>3</v>
      </c>
      <c r="I43" s="22" t="n">
        <v>4</v>
      </c>
      <c r="J43" s="22" t="n">
        <v>3</v>
      </c>
      <c r="K43" s="22" t="n">
        <v>3</v>
      </c>
      <c r="L43" s="22" t="n">
        <v>2</v>
      </c>
      <c r="M43" s="22" t="n">
        <v>4</v>
      </c>
      <c r="N43" s="22" t="n">
        <v>2.5</v>
      </c>
      <c r="O43" s="22" t="n">
        <v>2.5</v>
      </c>
      <c r="P43" s="22" t="n">
        <v>4</v>
      </c>
      <c r="Q43" s="22" t="n">
        <v>3</v>
      </c>
      <c r="R43" s="22" t="n">
        <v>5</v>
      </c>
      <c r="S43" s="22" t="n">
        <v>5</v>
      </c>
      <c r="T43" s="22" t="n">
        <v>6</v>
      </c>
      <c r="U43" s="22" t="n">
        <v>3.5</v>
      </c>
      <c r="V43" s="22" t="n">
        <v>2</v>
      </c>
      <c r="W43" s="22" t="n">
        <v>2</v>
      </c>
      <c r="X43" s="22" t="n">
        <v>2</v>
      </c>
      <c r="Y43" s="22" t="n">
        <v>3</v>
      </c>
    </row>
    <row r="44">
      <c r="B44" s="4" t="inlineStr">
        <is>
          <t>R2</t>
        </is>
      </c>
      <c r="C44" s="4" t="inlineStr">
        <is>
          <t>FWOP</t>
        </is>
      </c>
      <c r="D44" s="20">
        <f>Parameters!$G$14</f>
        <v/>
      </c>
      <c r="E44" s="21" t="n">
        <v>2400</v>
      </c>
      <c r="F44" s="22" t="n">
        <v>3</v>
      </c>
      <c r="G44" s="22" t="n">
        <v>4</v>
      </c>
      <c r="H44" s="22" t="n">
        <v>3</v>
      </c>
      <c r="I44" s="22" t="n">
        <v>4</v>
      </c>
      <c r="J44" s="22" t="n">
        <v>3</v>
      </c>
      <c r="K44" s="22" t="n">
        <v>3</v>
      </c>
      <c r="L44" s="22" t="n">
        <v>2</v>
      </c>
      <c r="M44" s="22" t="n">
        <v>4</v>
      </c>
      <c r="N44" s="22" t="n">
        <v>2</v>
      </c>
      <c r="O44" s="22" t="n">
        <v>2</v>
      </c>
      <c r="P44" s="22" t="n">
        <v>4</v>
      </c>
      <c r="Q44" s="22" t="n">
        <v>3</v>
      </c>
      <c r="R44" s="22" t="n">
        <v>5</v>
      </c>
      <c r="S44" s="22" t="n">
        <v>5</v>
      </c>
      <c r="T44" s="22" t="n">
        <v>6</v>
      </c>
      <c r="U44" s="22" t="n">
        <v>3</v>
      </c>
      <c r="V44" s="22" t="n">
        <v>2</v>
      </c>
      <c r="W44" s="22" t="n">
        <v>2</v>
      </c>
      <c r="X44" s="22" t="n">
        <v>2</v>
      </c>
      <c r="Y44" s="22" t="n">
        <v>3</v>
      </c>
    </row>
    <row r="45">
      <c r="B45" s="4" t="inlineStr">
        <is>
          <t>R2</t>
        </is>
      </c>
      <c r="C45" s="4" t="inlineStr">
        <is>
          <t>A1</t>
        </is>
      </c>
      <c r="D45" s="20">
        <f>Parameters!$B$14</f>
        <v/>
      </c>
      <c r="E45" s="21" t="n">
        <v>2400</v>
      </c>
      <c r="F45" s="22" t="n">
        <v>12</v>
      </c>
      <c r="G45" s="22" t="n">
        <v>4</v>
      </c>
      <c r="H45" s="22" t="n">
        <v>3</v>
      </c>
      <c r="I45" s="22" t="n">
        <v>4</v>
      </c>
      <c r="J45" s="22" t="n">
        <v>3</v>
      </c>
      <c r="K45" s="22" t="n">
        <v>3</v>
      </c>
      <c r="L45" s="22" t="n">
        <v>2</v>
      </c>
      <c r="M45" s="22" t="n">
        <v>4</v>
      </c>
      <c r="N45" s="22" t="n">
        <v>3</v>
      </c>
      <c r="O45" s="22" t="n">
        <v>3</v>
      </c>
      <c r="P45" s="22" t="n">
        <v>4</v>
      </c>
      <c r="Q45" s="22" t="n">
        <v>3</v>
      </c>
      <c r="R45" s="22" t="n">
        <v>5</v>
      </c>
      <c r="S45" s="22" t="n">
        <v>5</v>
      </c>
      <c r="T45" s="22" t="n">
        <v>6</v>
      </c>
      <c r="U45" s="22" t="n">
        <v>4</v>
      </c>
      <c r="V45" s="22" t="n">
        <v>2</v>
      </c>
      <c r="W45" s="22" t="n">
        <v>2</v>
      </c>
      <c r="X45" s="22" t="n">
        <v>2</v>
      </c>
      <c r="Y45" s="22" t="n">
        <v>3</v>
      </c>
    </row>
    <row r="46">
      <c r="B46" s="4" t="inlineStr">
        <is>
          <t>R2</t>
        </is>
      </c>
      <c r="C46" s="4" t="inlineStr">
        <is>
          <t>A1</t>
        </is>
      </c>
      <c r="D46" s="20">
        <f>Parameters!$C$14</f>
        <v/>
      </c>
      <c r="E46" s="21" t="n">
        <v>2400</v>
      </c>
      <c r="F46" s="22" t="n">
        <v>3</v>
      </c>
      <c r="G46" s="22" t="n">
        <v>4</v>
      </c>
      <c r="H46" s="22" t="n">
        <v>3</v>
      </c>
      <c r="I46" s="22" t="n">
        <v>4</v>
      </c>
      <c r="J46" s="22" t="n">
        <v>3</v>
      </c>
      <c r="K46" s="22" t="n">
        <v>3</v>
      </c>
      <c r="L46" s="22" t="n">
        <v>2</v>
      </c>
      <c r="M46" s="22" t="n">
        <v>4</v>
      </c>
      <c r="N46" s="22" t="n">
        <v>3</v>
      </c>
      <c r="O46" s="22" t="n">
        <v>6.2</v>
      </c>
      <c r="P46" s="22" t="n">
        <v>5.6</v>
      </c>
      <c r="Q46" s="22" t="n">
        <v>3</v>
      </c>
      <c r="R46" s="22" t="n">
        <v>5.4</v>
      </c>
      <c r="S46" s="22" t="n">
        <v>5.3</v>
      </c>
      <c r="T46" s="22" t="n">
        <v>6.2</v>
      </c>
      <c r="U46" s="22" t="n">
        <v>4.2</v>
      </c>
      <c r="V46" s="22" t="n">
        <v>2</v>
      </c>
      <c r="W46" s="22" t="n">
        <v>2</v>
      </c>
      <c r="X46" s="22" t="n">
        <v>2</v>
      </c>
      <c r="Y46" s="22" t="n">
        <v>3</v>
      </c>
    </row>
    <row r="47">
      <c r="B47" s="4" t="inlineStr">
        <is>
          <t>R2</t>
        </is>
      </c>
      <c r="C47" s="4" t="inlineStr">
        <is>
          <t>A1</t>
        </is>
      </c>
      <c r="D47" s="20">
        <f>Parameters!$D$14</f>
        <v/>
      </c>
      <c r="E47" s="21" t="n">
        <v>2400</v>
      </c>
      <c r="F47" s="22" t="n">
        <v>3</v>
      </c>
      <c r="G47" s="22" t="n">
        <v>4</v>
      </c>
      <c r="H47" s="22" t="n">
        <v>3</v>
      </c>
      <c r="I47" s="22" t="n">
        <v>4</v>
      </c>
      <c r="J47" s="22" t="n">
        <v>3</v>
      </c>
      <c r="K47" s="22" t="n">
        <v>3</v>
      </c>
      <c r="L47" s="22" t="n">
        <v>2</v>
      </c>
      <c r="M47" s="22" t="n">
        <v>4</v>
      </c>
      <c r="N47" s="22" t="n">
        <v>2.9</v>
      </c>
      <c r="O47" s="22" t="n">
        <v>7</v>
      </c>
      <c r="P47" s="22" t="n">
        <v>6</v>
      </c>
      <c r="Q47" s="22" t="n">
        <v>3</v>
      </c>
      <c r="R47" s="22" t="n">
        <v>7</v>
      </c>
      <c r="S47" s="22" t="n">
        <v>6.5</v>
      </c>
      <c r="T47" s="22" t="n">
        <v>7</v>
      </c>
      <c r="U47" s="22" t="n">
        <v>5</v>
      </c>
      <c r="V47" s="22" t="n">
        <v>3.2</v>
      </c>
      <c r="W47" s="22" t="n">
        <v>2.4</v>
      </c>
      <c r="X47" s="22" t="n">
        <v>2.4</v>
      </c>
      <c r="Y47" s="22" t="n">
        <v>3</v>
      </c>
    </row>
    <row r="48">
      <c r="B48" s="4" t="inlineStr">
        <is>
          <t>R2</t>
        </is>
      </c>
      <c r="C48" s="4" t="inlineStr">
        <is>
          <t>A1</t>
        </is>
      </c>
      <c r="D48" s="20">
        <f>Parameters!$E$14</f>
        <v/>
      </c>
      <c r="E48" s="21" t="n">
        <v>2400</v>
      </c>
      <c r="F48" s="22" t="n">
        <v>3</v>
      </c>
      <c r="G48" s="22" t="n">
        <v>4</v>
      </c>
      <c r="H48" s="22" t="n">
        <v>3</v>
      </c>
      <c r="I48" s="22" t="n">
        <v>4</v>
      </c>
      <c r="J48" s="22" t="n">
        <v>3</v>
      </c>
      <c r="K48" s="22" t="n">
        <v>3</v>
      </c>
      <c r="L48" s="22" t="n">
        <v>2</v>
      </c>
      <c r="M48" s="22" t="n">
        <v>4</v>
      </c>
      <c r="N48" s="22" t="n">
        <v>2.8</v>
      </c>
      <c r="O48" s="22" t="n">
        <v>7</v>
      </c>
      <c r="P48" s="22" t="n">
        <v>6</v>
      </c>
      <c r="Q48" s="22" t="n">
        <v>3</v>
      </c>
      <c r="R48" s="22" t="n">
        <v>8.199999999999999</v>
      </c>
      <c r="S48" s="22" t="n">
        <v>7.4</v>
      </c>
      <c r="T48" s="22" t="n">
        <v>7.6</v>
      </c>
      <c r="U48" s="22" t="n">
        <v>5.6</v>
      </c>
      <c r="V48" s="22" t="n">
        <v>4.1</v>
      </c>
      <c r="W48" s="22" t="n">
        <v>2.7</v>
      </c>
      <c r="X48" s="22" t="n">
        <v>2.7</v>
      </c>
      <c r="Y48" s="22" t="n">
        <v>3</v>
      </c>
    </row>
    <row r="49">
      <c r="B49" s="4" t="inlineStr">
        <is>
          <t>R2</t>
        </is>
      </c>
      <c r="C49" s="4" t="inlineStr">
        <is>
          <t>A1</t>
        </is>
      </c>
      <c r="D49" s="20">
        <f>Parameters!$F$14</f>
        <v/>
      </c>
      <c r="E49" s="21" t="n">
        <v>2400</v>
      </c>
      <c r="F49" s="22" t="n">
        <v>3</v>
      </c>
      <c r="G49" s="22" t="n">
        <v>4</v>
      </c>
      <c r="H49" s="22" t="n">
        <v>3</v>
      </c>
      <c r="I49" s="22" t="n">
        <v>4</v>
      </c>
      <c r="J49" s="22" t="n">
        <v>3</v>
      </c>
      <c r="K49" s="22" t="n">
        <v>3</v>
      </c>
      <c r="L49" s="22" t="n">
        <v>2</v>
      </c>
      <c r="M49" s="22" t="n">
        <v>4</v>
      </c>
      <c r="N49" s="22" t="n">
        <v>2.5</v>
      </c>
      <c r="O49" s="22" t="n">
        <v>7</v>
      </c>
      <c r="P49" s="22" t="n">
        <v>6</v>
      </c>
      <c r="Q49" s="22" t="n">
        <v>3</v>
      </c>
      <c r="R49" s="22" t="n">
        <v>9</v>
      </c>
      <c r="S49" s="22" t="n">
        <v>8</v>
      </c>
      <c r="T49" s="22" t="n">
        <v>8</v>
      </c>
      <c r="U49" s="22" t="n">
        <v>6</v>
      </c>
      <c r="V49" s="22" t="n">
        <v>5</v>
      </c>
      <c r="W49" s="22" t="n">
        <v>3</v>
      </c>
      <c r="X49" s="22" t="n">
        <v>3</v>
      </c>
      <c r="Y49" s="22" t="n">
        <v>3</v>
      </c>
    </row>
    <row r="50">
      <c r="B50" s="4" t="inlineStr">
        <is>
          <t>R2</t>
        </is>
      </c>
      <c r="C50" s="4" t="inlineStr">
        <is>
          <t>A1</t>
        </is>
      </c>
      <c r="D50" s="20">
        <f>Parameters!$G$14</f>
        <v/>
      </c>
      <c r="E50" s="21" t="n">
        <v>2400</v>
      </c>
      <c r="F50" s="22" t="n">
        <v>3</v>
      </c>
      <c r="G50" s="22" t="n">
        <v>4</v>
      </c>
      <c r="H50" s="22" t="n">
        <v>3</v>
      </c>
      <c r="I50" s="22" t="n">
        <v>4</v>
      </c>
      <c r="J50" s="22" t="n">
        <v>3</v>
      </c>
      <c r="K50" s="22" t="n">
        <v>3</v>
      </c>
      <c r="L50" s="22" t="n">
        <v>2</v>
      </c>
      <c r="M50" s="22" t="n">
        <v>4</v>
      </c>
      <c r="N50" s="22" t="n">
        <v>2</v>
      </c>
      <c r="O50" s="22" t="n">
        <v>7</v>
      </c>
      <c r="P50" s="22" t="n">
        <v>6</v>
      </c>
      <c r="Q50" s="22" t="n">
        <v>3</v>
      </c>
      <c r="R50" s="22" t="n">
        <v>9</v>
      </c>
      <c r="S50" s="22" t="n">
        <v>8</v>
      </c>
      <c r="T50" s="22" t="n">
        <v>8</v>
      </c>
      <c r="U50" s="22" t="n">
        <v>6</v>
      </c>
      <c r="V50" s="22" t="n">
        <v>5</v>
      </c>
      <c r="W50" s="22" t="n">
        <v>3</v>
      </c>
      <c r="X50" s="22" t="n">
        <v>3</v>
      </c>
      <c r="Y50" s="22" t="n">
        <v>3</v>
      </c>
    </row>
    <row r="51">
      <c r="B51" s="4" t="inlineStr">
        <is>
          <t>R2</t>
        </is>
      </c>
      <c r="C51" s="4" t="inlineStr">
        <is>
          <t>A2</t>
        </is>
      </c>
      <c r="D51" s="20">
        <f>Parameters!$B$14</f>
        <v/>
      </c>
      <c r="E51" s="21" t="n">
        <v>2400</v>
      </c>
      <c r="F51" s="22" t="n">
        <v>3</v>
      </c>
      <c r="G51" s="22" t="n">
        <v>4</v>
      </c>
      <c r="H51" s="22" t="n">
        <v>3</v>
      </c>
      <c r="I51" s="22" t="n">
        <v>4</v>
      </c>
      <c r="J51" s="22" t="n">
        <v>3</v>
      </c>
      <c r="K51" s="22" t="n">
        <v>3</v>
      </c>
      <c r="L51" s="22" t="n">
        <v>2</v>
      </c>
      <c r="M51" s="22" t="n">
        <v>4</v>
      </c>
      <c r="N51" s="22" t="n">
        <v>3</v>
      </c>
      <c r="O51" s="22" t="n">
        <v>3</v>
      </c>
      <c r="P51" s="22" t="n">
        <v>4</v>
      </c>
      <c r="Q51" s="22" t="n">
        <v>3</v>
      </c>
      <c r="R51" s="22" t="n">
        <v>5</v>
      </c>
      <c r="S51" s="22" t="n">
        <v>5</v>
      </c>
      <c r="T51" s="22" t="n">
        <v>6</v>
      </c>
      <c r="U51" s="22" t="n">
        <v>4</v>
      </c>
      <c r="V51" s="22" t="n">
        <v>2</v>
      </c>
      <c r="W51" s="22" t="n">
        <v>2</v>
      </c>
      <c r="X51" s="22" t="n">
        <v>2</v>
      </c>
      <c r="Y51" s="22" t="n">
        <v>3</v>
      </c>
    </row>
    <row r="52">
      <c r="B52" s="4" t="inlineStr">
        <is>
          <t>R2</t>
        </is>
      </c>
      <c r="C52" s="4" t="inlineStr">
        <is>
          <t>A2</t>
        </is>
      </c>
      <c r="D52" s="20">
        <f>Parameters!$C$14</f>
        <v/>
      </c>
      <c r="E52" s="21" t="n">
        <v>2400</v>
      </c>
      <c r="F52" s="22" t="n">
        <v>3</v>
      </c>
      <c r="G52" s="22" t="n">
        <v>4</v>
      </c>
      <c r="H52" s="22" t="n">
        <v>3</v>
      </c>
      <c r="I52" s="22" t="n">
        <v>4</v>
      </c>
      <c r="J52" s="22" t="n">
        <v>5.4</v>
      </c>
      <c r="K52" s="22" t="n">
        <v>7</v>
      </c>
      <c r="L52" s="22" t="n">
        <v>8.4</v>
      </c>
      <c r="M52" s="22" t="n">
        <v>8</v>
      </c>
      <c r="N52" s="22" t="n">
        <v>7</v>
      </c>
      <c r="O52" s="22" t="n">
        <v>8.6</v>
      </c>
      <c r="P52" s="22" t="n">
        <v>7.2</v>
      </c>
      <c r="Q52" s="22" t="n">
        <v>7.8</v>
      </c>
      <c r="R52" s="22" t="n">
        <v>5.6</v>
      </c>
      <c r="S52" s="22" t="n">
        <v>5.5</v>
      </c>
      <c r="T52" s="22" t="n">
        <v>6.4</v>
      </c>
      <c r="U52" s="22" t="n">
        <v>4.4</v>
      </c>
      <c r="V52" s="22" t="n">
        <v>2</v>
      </c>
      <c r="W52" s="22" t="n">
        <v>2</v>
      </c>
      <c r="X52" s="22" t="n">
        <v>2</v>
      </c>
      <c r="Y52" s="22" t="n">
        <v>3</v>
      </c>
    </row>
    <row r="53">
      <c r="B53" s="4" t="inlineStr">
        <is>
          <t>R2</t>
        </is>
      </c>
      <c r="C53" s="4" t="inlineStr">
        <is>
          <t>A2</t>
        </is>
      </c>
      <c r="D53" s="20">
        <f>Parameters!$D$14</f>
        <v/>
      </c>
      <c r="E53" s="21" t="n">
        <v>2400</v>
      </c>
      <c r="F53" s="22" t="n">
        <v>3</v>
      </c>
      <c r="G53" s="22" t="n">
        <v>4</v>
      </c>
      <c r="H53" s="22" t="n">
        <v>3</v>
      </c>
      <c r="I53" s="22" t="n">
        <v>4</v>
      </c>
      <c r="J53" s="22" t="n">
        <v>6</v>
      </c>
      <c r="K53" s="22" t="n">
        <v>8</v>
      </c>
      <c r="L53" s="22" t="n">
        <v>10</v>
      </c>
      <c r="M53" s="22" t="n">
        <v>9</v>
      </c>
      <c r="N53" s="22" t="n">
        <v>8</v>
      </c>
      <c r="O53" s="22" t="n">
        <v>10</v>
      </c>
      <c r="P53" s="22" t="n">
        <v>8</v>
      </c>
      <c r="Q53" s="22" t="n">
        <v>9</v>
      </c>
      <c r="R53" s="22" t="n">
        <v>8</v>
      </c>
      <c r="S53" s="22" t="n">
        <v>7.5</v>
      </c>
      <c r="T53" s="22" t="n">
        <v>8</v>
      </c>
      <c r="U53" s="22" t="n">
        <v>6</v>
      </c>
      <c r="V53" s="22" t="n">
        <v>4.8</v>
      </c>
      <c r="W53" s="22" t="n">
        <v>3.6</v>
      </c>
      <c r="X53" s="22" t="n">
        <v>3.6</v>
      </c>
      <c r="Y53" s="22" t="n">
        <v>3.8</v>
      </c>
    </row>
    <row r="54">
      <c r="B54" s="4" t="inlineStr">
        <is>
          <t>R2</t>
        </is>
      </c>
      <c r="C54" s="4" t="inlineStr">
        <is>
          <t>A2</t>
        </is>
      </c>
      <c r="D54" s="20">
        <f>Parameters!$E$14</f>
        <v/>
      </c>
      <c r="E54" s="21" t="n">
        <v>2400</v>
      </c>
      <c r="F54" s="22" t="n">
        <v>3</v>
      </c>
      <c r="G54" s="22" t="n">
        <v>4</v>
      </c>
      <c r="H54" s="22" t="n">
        <v>3</v>
      </c>
      <c r="I54" s="22" t="n">
        <v>4</v>
      </c>
      <c r="J54" s="22" t="n">
        <v>6</v>
      </c>
      <c r="K54" s="22" t="n">
        <v>8</v>
      </c>
      <c r="L54" s="22" t="n">
        <v>10</v>
      </c>
      <c r="M54" s="22" t="n">
        <v>9</v>
      </c>
      <c r="N54" s="22" t="n">
        <v>8</v>
      </c>
      <c r="O54" s="22" t="n">
        <v>10</v>
      </c>
      <c r="P54" s="22" t="n">
        <v>8</v>
      </c>
      <c r="Q54" s="22" t="n">
        <v>9</v>
      </c>
      <c r="R54" s="22" t="n">
        <v>9.800000000000001</v>
      </c>
      <c r="S54" s="22" t="n">
        <v>9</v>
      </c>
      <c r="T54" s="22" t="n">
        <v>9.199999999999999</v>
      </c>
      <c r="U54" s="22" t="n">
        <v>7.2</v>
      </c>
      <c r="V54" s="22" t="n">
        <v>6.9</v>
      </c>
      <c r="W54" s="22" t="n">
        <v>4.8</v>
      </c>
      <c r="X54" s="22" t="n">
        <v>4.8</v>
      </c>
      <c r="Y54" s="22" t="n">
        <v>4.4</v>
      </c>
    </row>
    <row r="55">
      <c r="B55" s="4" t="inlineStr">
        <is>
          <t>R2</t>
        </is>
      </c>
      <c r="C55" s="4" t="inlineStr">
        <is>
          <t>A2</t>
        </is>
      </c>
      <c r="D55" s="20">
        <f>Parameters!$F$14</f>
        <v/>
      </c>
      <c r="E55" s="21" t="n">
        <v>2400</v>
      </c>
      <c r="F55" s="22" t="n">
        <v>3</v>
      </c>
      <c r="G55" s="22" t="n">
        <v>4</v>
      </c>
      <c r="H55" s="22" t="n">
        <v>3</v>
      </c>
      <c r="I55" s="22" t="n">
        <v>4</v>
      </c>
      <c r="J55" s="22" t="n">
        <v>6</v>
      </c>
      <c r="K55" s="22" t="n">
        <v>8</v>
      </c>
      <c r="L55" s="22" t="n">
        <v>10</v>
      </c>
      <c r="M55" s="22" t="n">
        <v>9</v>
      </c>
      <c r="N55" s="22" t="n">
        <v>8</v>
      </c>
      <c r="O55" s="22" t="n">
        <v>10</v>
      </c>
      <c r="P55" s="22" t="n">
        <v>8</v>
      </c>
      <c r="Q55" s="22" t="n">
        <v>9</v>
      </c>
      <c r="R55" s="22" t="n">
        <v>11</v>
      </c>
      <c r="S55" s="22" t="n">
        <v>10</v>
      </c>
      <c r="T55" s="22" t="n">
        <v>10</v>
      </c>
      <c r="U55" s="22" t="n">
        <v>8</v>
      </c>
      <c r="V55" s="22" t="n">
        <v>9</v>
      </c>
      <c r="W55" s="22" t="n">
        <v>6</v>
      </c>
      <c r="X55" s="22" t="n">
        <v>6</v>
      </c>
      <c r="Y55" s="22" t="n">
        <v>5</v>
      </c>
    </row>
    <row r="56">
      <c r="B56" s="4" t="inlineStr">
        <is>
          <t>R2</t>
        </is>
      </c>
      <c r="C56" s="4" t="inlineStr">
        <is>
          <t>A2</t>
        </is>
      </c>
      <c r="D56" s="20">
        <f>Parameters!$G$14</f>
        <v/>
      </c>
      <c r="E56" s="21" t="n">
        <v>2400</v>
      </c>
      <c r="F56" s="22" t="n">
        <v>3</v>
      </c>
      <c r="G56" s="22" t="n">
        <v>4</v>
      </c>
      <c r="H56" s="22" t="n">
        <v>3</v>
      </c>
      <c r="I56" s="22" t="n">
        <v>4</v>
      </c>
      <c r="J56" s="22" t="n">
        <v>6</v>
      </c>
      <c r="K56" s="22" t="n">
        <v>8</v>
      </c>
      <c r="L56" s="22" t="n">
        <v>10</v>
      </c>
      <c r="M56" s="22" t="n">
        <v>9</v>
      </c>
      <c r="N56" s="22" t="n">
        <v>8</v>
      </c>
      <c r="O56" s="22" t="n">
        <v>10</v>
      </c>
      <c r="P56" s="22" t="n">
        <v>8</v>
      </c>
      <c r="Q56" s="22" t="n">
        <v>9</v>
      </c>
      <c r="R56" s="22" t="n">
        <v>11</v>
      </c>
      <c r="S56" s="22" t="n">
        <v>10</v>
      </c>
      <c r="T56" s="22" t="n">
        <v>10</v>
      </c>
      <c r="U56" s="22" t="n">
        <v>8</v>
      </c>
      <c r="V56" s="22" t="n">
        <v>9</v>
      </c>
      <c r="W56" s="22" t="n">
        <v>6</v>
      </c>
      <c r="X56" s="22" t="n">
        <v>6</v>
      </c>
      <c r="Y56" s="22" t="n">
        <v>5</v>
      </c>
    </row>
    <row r="57">
      <c r="B57" s="4" t="inlineStr">
        <is>
          <t>R3</t>
        </is>
      </c>
      <c r="C57" s="4" t="inlineStr">
        <is>
          <t>FWOP</t>
        </is>
      </c>
      <c r="D57" s="20">
        <f>Parameters!$B$14</f>
        <v/>
      </c>
      <c r="E57" s="21" t="n">
        <v>1600</v>
      </c>
      <c r="F57" s="22" t="n">
        <v>11</v>
      </c>
      <c r="G57" s="22" t="n">
        <v>12</v>
      </c>
      <c r="H57" s="22" t="n">
        <v>10</v>
      </c>
      <c r="I57" s="22" t="n">
        <v>11</v>
      </c>
      <c r="J57" s="22" t="n">
        <v>9</v>
      </c>
      <c r="K57" s="22" t="n">
        <v>10</v>
      </c>
      <c r="L57" s="22" t="n">
        <v>10</v>
      </c>
      <c r="M57" s="22" t="n">
        <v>11</v>
      </c>
      <c r="N57" s="22" t="n">
        <v>9</v>
      </c>
      <c r="O57" s="22" t="n">
        <v>8</v>
      </c>
      <c r="P57" s="22" t="n">
        <v>8</v>
      </c>
      <c r="Q57" s="22" t="n">
        <v>7</v>
      </c>
      <c r="R57" s="22" t="n">
        <v>10</v>
      </c>
      <c r="S57" s="22" t="n">
        <v>11</v>
      </c>
      <c r="T57" s="22" t="n">
        <v>10</v>
      </c>
      <c r="U57" s="22" t="n">
        <v>9</v>
      </c>
      <c r="V57" s="22" t="n">
        <v>6</v>
      </c>
      <c r="W57" s="22" t="n">
        <v>5</v>
      </c>
      <c r="X57" s="22" t="n">
        <v>6</v>
      </c>
      <c r="Y57" s="22" t="n"/>
    </row>
    <row r="58">
      <c r="B58" s="4" t="inlineStr">
        <is>
          <t>R3</t>
        </is>
      </c>
      <c r="C58" s="4" t="inlineStr">
        <is>
          <t>FWOP</t>
        </is>
      </c>
      <c r="D58" s="20">
        <f>Parameters!$C$14</f>
        <v/>
      </c>
      <c r="E58" s="21" t="n">
        <v>1600</v>
      </c>
      <c r="F58" s="22" t="n">
        <v>11</v>
      </c>
      <c r="G58" s="22" t="n">
        <v>12</v>
      </c>
      <c r="H58" s="22" t="n">
        <v>10</v>
      </c>
      <c r="I58" s="22" t="n">
        <v>11</v>
      </c>
      <c r="J58" s="22" t="n">
        <v>9</v>
      </c>
      <c r="K58" s="22" t="n">
        <v>10</v>
      </c>
      <c r="L58" s="22" t="n">
        <v>10</v>
      </c>
      <c r="M58" s="22" t="n">
        <v>11</v>
      </c>
      <c r="N58" s="22" t="n">
        <v>9</v>
      </c>
      <c r="O58" s="22" t="n">
        <v>8</v>
      </c>
      <c r="P58" s="22" t="n">
        <v>8</v>
      </c>
      <c r="Q58" s="22" t="n">
        <v>7</v>
      </c>
      <c r="R58" s="22" t="n">
        <v>10</v>
      </c>
      <c r="S58" s="22" t="n">
        <v>11</v>
      </c>
      <c r="T58" s="22" t="n">
        <v>10</v>
      </c>
      <c r="U58" s="22" t="n">
        <v>9</v>
      </c>
      <c r="V58" s="22" t="n">
        <v>6</v>
      </c>
      <c r="W58" s="22" t="n">
        <v>5</v>
      </c>
      <c r="X58" s="22" t="n">
        <v>6</v>
      </c>
      <c r="Y58" s="22" t="n"/>
    </row>
    <row r="59">
      <c r="B59" s="4" t="inlineStr">
        <is>
          <t>R3</t>
        </is>
      </c>
      <c r="C59" s="4" t="inlineStr">
        <is>
          <t>FWOP</t>
        </is>
      </c>
      <c r="D59" s="20">
        <f>Parameters!$D$14</f>
        <v/>
      </c>
      <c r="E59" s="21" t="n">
        <v>1600</v>
      </c>
      <c r="F59" s="22" t="n">
        <v>11</v>
      </c>
      <c r="G59" s="22" t="n">
        <v>12</v>
      </c>
      <c r="H59" s="22" t="n">
        <v>10</v>
      </c>
      <c r="I59" s="22" t="n">
        <v>11</v>
      </c>
      <c r="J59" s="22" t="n">
        <v>9</v>
      </c>
      <c r="K59" s="22" t="n">
        <v>10</v>
      </c>
      <c r="L59" s="22" t="n">
        <v>10</v>
      </c>
      <c r="M59" s="22" t="n">
        <v>11</v>
      </c>
      <c r="N59" s="22" t="n">
        <v>9</v>
      </c>
      <c r="O59" s="22" t="n">
        <v>8</v>
      </c>
      <c r="P59" s="22" t="n">
        <v>8</v>
      </c>
      <c r="Q59" s="22" t="n">
        <v>7</v>
      </c>
      <c r="R59" s="22" t="n">
        <v>10</v>
      </c>
      <c r="S59" s="22" t="n">
        <v>11</v>
      </c>
      <c r="T59" s="22" t="n">
        <v>10</v>
      </c>
      <c r="U59" s="22" t="n">
        <v>8.9</v>
      </c>
      <c r="V59" s="22" t="n">
        <v>5.9</v>
      </c>
      <c r="W59" s="22" t="n">
        <v>5</v>
      </c>
      <c r="X59" s="22" t="n">
        <v>6</v>
      </c>
      <c r="Y59" s="22" t="n"/>
    </row>
    <row r="60">
      <c r="B60" s="4" t="inlineStr">
        <is>
          <t>R3</t>
        </is>
      </c>
      <c r="C60" s="4" t="inlineStr">
        <is>
          <t>FWOP</t>
        </is>
      </c>
      <c r="D60" s="20">
        <f>Parameters!$E$14</f>
        <v/>
      </c>
      <c r="E60" s="21" t="n">
        <v>1600</v>
      </c>
      <c r="F60" s="22" t="n">
        <v>11</v>
      </c>
      <c r="G60" s="22" t="n">
        <v>12</v>
      </c>
      <c r="H60" s="22" t="n">
        <v>10</v>
      </c>
      <c r="I60" s="22" t="n">
        <v>11</v>
      </c>
      <c r="J60" s="22" t="n">
        <v>9</v>
      </c>
      <c r="K60" s="22" t="n">
        <v>10</v>
      </c>
      <c r="L60" s="22" t="n">
        <v>10</v>
      </c>
      <c r="M60" s="22" t="n">
        <v>11</v>
      </c>
      <c r="N60" s="22" t="n">
        <v>9</v>
      </c>
      <c r="O60" s="22" t="n">
        <v>8</v>
      </c>
      <c r="P60" s="22" t="n">
        <v>8</v>
      </c>
      <c r="Q60" s="22" t="n">
        <v>7</v>
      </c>
      <c r="R60" s="22" t="n">
        <v>10</v>
      </c>
      <c r="S60" s="22" t="n">
        <v>11</v>
      </c>
      <c r="T60" s="22" t="n">
        <v>10</v>
      </c>
      <c r="U60" s="22" t="n">
        <v>8.800000000000001</v>
      </c>
      <c r="V60" s="22" t="n">
        <v>5.8</v>
      </c>
      <c r="W60" s="22" t="n">
        <v>5</v>
      </c>
      <c r="X60" s="22" t="n">
        <v>6</v>
      </c>
      <c r="Y60" s="22" t="n"/>
    </row>
    <row r="61">
      <c r="B61" s="4" t="inlineStr">
        <is>
          <t>R3</t>
        </is>
      </c>
      <c r="C61" s="4" t="inlineStr">
        <is>
          <t>FWOP</t>
        </is>
      </c>
      <c r="D61" s="20">
        <f>Parameters!$F$14</f>
        <v/>
      </c>
      <c r="E61" s="21" t="n">
        <v>1600</v>
      </c>
      <c r="F61" s="22" t="n">
        <v>11</v>
      </c>
      <c r="G61" s="22" t="n">
        <v>12</v>
      </c>
      <c r="H61" s="22" t="n">
        <v>10</v>
      </c>
      <c r="I61" s="22" t="n">
        <v>11</v>
      </c>
      <c r="J61" s="22" t="n">
        <v>9</v>
      </c>
      <c r="K61" s="22" t="n">
        <v>10</v>
      </c>
      <c r="L61" s="22" t="n">
        <v>10</v>
      </c>
      <c r="M61" s="22" t="n">
        <v>11</v>
      </c>
      <c r="N61" s="22" t="n">
        <v>9</v>
      </c>
      <c r="O61" s="22" t="n">
        <v>8</v>
      </c>
      <c r="P61" s="22" t="n">
        <v>8</v>
      </c>
      <c r="Q61" s="22" t="n">
        <v>7</v>
      </c>
      <c r="R61" s="22" t="n">
        <v>10</v>
      </c>
      <c r="S61" s="22" t="n">
        <v>11</v>
      </c>
      <c r="T61" s="22" t="n">
        <v>10</v>
      </c>
      <c r="U61" s="22" t="n">
        <v>8.5</v>
      </c>
      <c r="V61" s="22" t="n">
        <v>5.5</v>
      </c>
      <c r="W61" s="22" t="n">
        <v>5</v>
      </c>
      <c r="X61" s="22" t="n">
        <v>6</v>
      </c>
      <c r="Y61" s="22" t="n"/>
    </row>
    <row r="62">
      <c r="B62" s="4" t="inlineStr">
        <is>
          <t>R3</t>
        </is>
      </c>
      <c r="C62" s="4" t="inlineStr">
        <is>
          <t>FWOP</t>
        </is>
      </c>
      <c r="D62" s="20">
        <f>Parameters!$G$14</f>
        <v/>
      </c>
      <c r="E62" s="21" t="n">
        <v>1600</v>
      </c>
      <c r="F62" s="22" t="n">
        <v>11</v>
      </c>
      <c r="G62" s="22" t="n">
        <v>12</v>
      </c>
      <c r="H62" s="22" t="n">
        <v>10</v>
      </c>
      <c r="I62" s="22" t="n">
        <v>11</v>
      </c>
      <c r="J62" s="22" t="n">
        <v>9</v>
      </c>
      <c r="K62" s="22" t="n">
        <v>10</v>
      </c>
      <c r="L62" s="22" t="n">
        <v>10</v>
      </c>
      <c r="M62" s="22" t="n">
        <v>11</v>
      </c>
      <c r="N62" s="22" t="n">
        <v>9</v>
      </c>
      <c r="O62" s="22" t="n">
        <v>8</v>
      </c>
      <c r="P62" s="22" t="n">
        <v>8</v>
      </c>
      <c r="Q62" s="22" t="n">
        <v>7</v>
      </c>
      <c r="R62" s="22" t="n">
        <v>10</v>
      </c>
      <c r="S62" s="22" t="n">
        <v>11</v>
      </c>
      <c r="T62" s="22" t="n">
        <v>10</v>
      </c>
      <c r="U62" s="22" t="n">
        <v>8</v>
      </c>
      <c r="V62" s="22" t="n">
        <v>5</v>
      </c>
      <c r="W62" s="22" t="n">
        <v>5</v>
      </c>
      <c r="X62" s="22" t="n">
        <v>6</v>
      </c>
      <c r="Y62" s="22" t="n"/>
    </row>
    <row r="63">
      <c r="B63" s="4" t="inlineStr">
        <is>
          <t>R3</t>
        </is>
      </c>
      <c r="C63" s="4" t="inlineStr">
        <is>
          <t>A1</t>
        </is>
      </c>
      <c r="D63" s="20">
        <f>Parameters!$B$14</f>
        <v/>
      </c>
      <c r="E63" s="21" t="n">
        <v>1600</v>
      </c>
      <c r="F63" s="22" t="n">
        <v>11</v>
      </c>
      <c r="G63" s="22" t="n">
        <v>12</v>
      </c>
      <c r="H63" s="22" t="n">
        <v>10</v>
      </c>
      <c r="I63" s="22" t="n">
        <v>11</v>
      </c>
      <c r="J63" s="22" t="n">
        <v>9</v>
      </c>
      <c r="K63" s="22" t="n">
        <v>10</v>
      </c>
      <c r="L63" s="22" t="n">
        <v>10</v>
      </c>
      <c r="M63" s="22" t="n">
        <v>11</v>
      </c>
      <c r="N63" s="22" t="n">
        <v>9</v>
      </c>
      <c r="O63" s="22" t="n">
        <v>8</v>
      </c>
      <c r="P63" s="22" t="n">
        <v>8</v>
      </c>
      <c r="Q63" s="22" t="n">
        <v>7</v>
      </c>
      <c r="R63" s="22" t="n">
        <v>10</v>
      </c>
      <c r="S63" s="22" t="n">
        <v>11</v>
      </c>
      <c r="T63" s="22" t="n">
        <v>10</v>
      </c>
      <c r="U63" s="22" t="n">
        <v>9</v>
      </c>
      <c r="V63" s="22" t="n">
        <v>6</v>
      </c>
      <c r="W63" s="22" t="n">
        <v>5</v>
      </c>
      <c r="X63" s="22" t="n">
        <v>6</v>
      </c>
      <c r="Y63" s="22" t="n"/>
    </row>
    <row r="64">
      <c r="B64" s="4" t="inlineStr">
        <is>
          <t>R3</t>
        </is>
      </c>
      <c r="C64" s="4" t="inlineStr">
        <is>
          <t>A1</t>
        </is>
      </c>
      <c r="D64" s="20">
        <f>Parameters!$C$14</f>
        <v/>
      </c>
      <c r="E64" s="21" t="n">
        <v>1600</v>
      </c>
      <c r="F64" s="22" t="n">
        <v>11</v>
      </c>
      <c r="G64" s="22" t="n">
        <v>12</v>
      </c>
      <c r="H64" s="22" t="n">
        <v>10</v>
      </c>
      <c r="I64" s="22" t="n">
        <v>11</v>
      </c>
      <c r="J64" s="22" t="n">
        <v>9</v>
      </c>
      <c r="K64" s="22" t="n">
        <v>10</v>
      </c>
      <c r="L64" s="22" t="n">
        <v>10</v>
      </c>
      <c r="M64" s="22" t="n">
        <v>11</v>
      </c>
      <c r="N64" s="22" t="n">
        <v>9</v>
      </c>
      <c r="O64" s="22" t="n">
        <v>9.6</v>
      </c>
      <c r="P64" s="22" t="n">
        <v>9.6</v>
      </c>
      <c r="Q64" s="22" t="n">
        <v>7</v>
      </c>
      <c r="R64" s="22" t="n">
        <v>10.3</v>
      </c>
      <c r="S64" s="22" t="n">
        <v>11.1</v>
      </c>
      <c r="T64" s="22" t="n">
        <v>10.2</v>
      </c>
      <c r="U64" s="22" t="n">
        <v>9.300000000000001</v>
      </c>
      <c r="V64" s="22" t="n">
        <v>6</v>
      </c>
      <c r="W64" s="22" t="n">
        <v>5</v>
      </c>
      <c r="X64" s="22" t="n">
        <v>6</v>
      </c>
      <c r="Y64" s="22" t="n"/>
    </row>
    <row r="65">
      <c r="B65" s="4" t="inlineStr">
        <is>
          <t>R3</t>
        </is>
      </c>
      <c r="C65" s="4" t="inlineStr">
        <is>
          <t>A1</t>
        </is>
      </c>
      <c r="D65" s="20">
        <f>Parameters!$D$14</f>
        <v/>
      </c>
      <c r="E65" s="21" t="n">
        <v>1600</v>
      </c>
      <c r="F65" s="22" t="n">
        <v>11</v>
      </c>
      <c r="G65" s="22" t="n">
        <v>12</v>
      </c>
      <c r="H65" s="22" t="n">
        <v>10</v>
      </c>
      <c r="I65" s="22" t="n">
        <v>11</v>
      </c>
      <c r="J65" s="22" t="n">
        <v>9</v>
      </c>
      <c r="K65" s="22" t="n">
        <v>10</v>
      </c>
      <c r="L65" s="22" t="n">
        <v>10</v>
      </c>
      <c r="M65" s="22" t="n">
        <v>11</v>
      </c>
      <c r="N65" s="22" t="n">
        <v>9</v>
      </c>
      <c r="O65" s="22" t="n">
        <v>10</v>
      </c>
      <c r="P65" s="22" t="n">
        <v>10</v>
      </c>
      <c r="Q65" s="22" t="n">
        <v>7</v>
      </c>
      <c r="R65" s="22" t="n">
        <v>11.5</v>
      </c>
      <c r="S65" s="22" t="n">
        <v>11.5</v>
      </c>
      <c r="T65" s="22" t="n">
        <v>11</v>
      </c>
      <c r="U65" s="22" t="n">
        <v>10.5</v>
      </c>
      <c r="V65" s="22" t="n">
        <v>7.2</v>
      </c>
      <c r="W65" s="22" t="n">
        <v>5.8</v>
      </c>
      <c r="X65" s="22" t="n">
        <v>6.8</v>
      </c>
      <c r="Y65" s="22" t="n"/>
    </row>
    <row r="66">
      <c r="B66" s="4" t="inlineStr">
        <is>
          <t>R3</t>
        </is>
      </c>
      <c r="C66" s="4" t="inlineStr">
        <is>
          <t>A1</t>
        </is>
      </c>
      <c r="D66" s="20">
        <f>Parameters!$E$14</f>
        <v/>
      </c>
      <c r="E66" s="21" t="n">
        <v>1600</v>
      </c>
      <c r="F66" s="22" t="n">
        <v>11</v>
      </c>
      <c r="G66" s="22" t="n">
        <v>12</v>
      </c>
      <c r="H66" s="22" t="n">
        <v>10</v>
      </c>
      <c r="I66" s="22" t="n">
        <v>11</v>
      </c>
      <c r="J66" s="22" t="n">
        <v>9</v>
      </c>
      <c r="K66" s="22" t="n">
        <v>10</v>
      </c>
      <c r="L66" s="22" t="n">
        <v>10</v>
      </c>
      <c r="M66" s="22" t="n">
        <v>11</v>
      </c>
      <c r="N66" s="22" t="n">
        <v>9</v>
      </c>
      <c r="O66" s="22" t="n">
        <v>10</v>
      </c>
      <c r="P66" s="22" t="n">
        <v>10</v>
      </c>
      <c r="Q66" s="22" t="n">
        <v>7</v>
      </c>
      <c r="R66" s="22" t="n">
        <v>12.4</v>
      </c>
      <c r="S66" s="22" t="n">
        <v>11.8</v>
      </c>
      <c r="T66" s="22" t="n">
        <v>11.6</v>
      </c>
      <c r="U66" s="22" t="n">
        <v>11.4</v>
      </c>
      <c r="V66" s="22" t="n">
        <v>8.1</v>
      </c>
      <c r="W66" s="22" t="n">
        <v>6.4</v>
      </c>
      <c r="X66" s="22" t="n">
        <v>7.4</v>
      </c>
      <c r="Y66" s="22" t="n"/>
    </row>
    <row r="67">
      <c r="B67" s="4" t="inlineStr">
        <is>
          <t>R3</t>
        </is>
      </c>
      <c r="C67" s="4" t="inlineStr">
        <is>
          <t>A1</t>
        </is>
      </c>
      <c r="D67" s="20">
        <f>Parameters!$F$14</f>
        <v/>
      </c>
      <c r="E67" s="21" t="n">
        <v>1600</v>
      </c>
      <c r="F67" s="22" t="n">
        <v>11</v>
      </c>
      <c r="G67" s="22" t="n">
        <v>12</v>
      </c>
      <c r="H67" s="22" t="n">
        <v>10</v>
      </c>
      <c r="I67" s="22" t="n">
        <v>11</v>
      </c>
      <c r="J67" s="22" t="n">
        <v>9</v>
      </c>
      <c r="K67" s="22" t="n">
        <v>10</v>
      </c>
      <c r="L67" s="22" t="n">
        <v>10</v>
      </c>
      <c r="M67" s="22" t="n">
        <v>11</v>
      </c>
      <c r="N67" s="22" t="n">
        <v>9</v>
      </c>
      <c r="O67" s="22" t="n">
        <v>10</v>
      </c>
      <c r="P67" s="22" t="n">
        <v>10</v>
      </c>
      <c r="Q67" s="22" t="n">
        <v>7</v>
      </c>
      <c r="R67" s="22" t="n">
        <v>13</v>
      </c>
      <c r="S67" s="22" t="n">
        <v>12</v>
      </c>
      <c r="T67" s="22" t="n">
        <v>12</v>
      </c>
      <c r="U67" s="22" t="n">
        <v>12</v>
      </c>
      <c r="V67" s="22" t="n">
        <v>9</v>
      </c>
      <c r="W67" s="22" t="n">
        <v>7</v>
      </c>
      <c r="X67" s="22" t="n">
        <v>8</v>
      </c>
      <c r="Y67" s="22" t="n"/>
    </row>
    <row r="68">
      <c r="B68" s="4" t="inlineStr">
        <is>
          <t>R3</t>
        </is>
      </c>
      <c r="C68" s="4" t="inlineStr">
        <is>
          <t>A1</t>
        </is>
      </c>
      <c r="D68" s="20">
        <f>Parameters!$G$14</f>
        <v/>
      </c>
      <c r="E68" s="21" t="n">
        <v>1600</v>
      </c>
      <c r="F68" s="22" t="n">
        <v>11</v>
      </c>
      <c r="G68" s="22" t="n">
        <v>12</v>
      </c>
      <c r="H68" s="22" t="n">
        <v>10</v>
      </c>
      <c r="I68" s="22" t="n">
        <v>11</v>
      </c>
      <c r="J68" s="22" t="n">
        <v>9</v>
      </c>
      <c r="K68" s="22" t="n">
        <v>10</v>
      </c>
      <c r="L68" s="22" t="n">
        <v>10</v>
      </c>
      <c r="M68" s="22" t="n">
        <v>11</v>
      </c>
      <c r="N68" s="22" t="n">
        <v>9</v>
      </c>
      <c r="O68" s="22" t="n">
        <v>10</v>
      </c>
      <c r="P68" s="22" t="n">
        <v>10</v>
      </c>
      <c r="Q68" s="22" t="n">
        <v>7</v>
      </c>
      <c r="R68" s="22" t="n">
        <v>13</v>
      </c>
      <c r="S68" s="22" t="n">
        <v>12</v>
      </c>
      <c r="T68" s="22" t="n">
        <v>12</v>
      </c>
      <c r="U68" s="22" t="n">
        <v>12</v>
      </c>
      <c r="V68" s="22" t="n">
        <v>9</v>
      </c>
      <c r="W68" s="22" t="n">
        <v>7</v>
      </c>
      <c r="X68" s="22" t="n">
        <v>8</v>
      </c>
      <c r="Y68" s="22" t="n"/>
    </row>
    <row r="69">
      <c r="B69" s="4" t="inlineStr">
        <is>
          <t>R3</t>
        </is>
      </c>
      <c r="C69" s="4" t="inlineStr">
        <is>
          <t>A2</t>
        </is>
      </c>
      <c r="D69" s="20">
        <f>Parameters!$B$14</f>
        <v/>
      </c>
      <c r="E69" s="21" t="n">
        <v>1600</v>
      </c>
      <c r="F69" s="22" t="n">
        <v>11</v>
      </c>
      <c r="G69" s="22" t="n">
        <v>12</v>
      </c>
      <c r="H69" s="22" t="n">
        <v>10</v>
      </c>
      <c r="I69" s="22" t="n">
        <v>11</v>
      </c>
      <c r="J69" s="22" t="n">
        <v>9</v>
      </c>
      <c r="K69" s="22" t="n">
        <v>10</v>
      </c>
      <c r="L69" s="22" t="n">
        <v>10</v>
      </c>
      <c r="M69" s="22" t="n">
        <v>11</v>
      </c>
      <c r="N69" s="22" t="n">
        <v>9</v>
      </c>
      <c r="O69" s="22" t="n">
        <v>8</v>
      </c>
      <c r="P69" s="22" t="n">
        <v>8</v>
      </c>
      <c r="Q69" s="22" t="n">
        <v>7</v>
      </c>
      <c r="R69" s="22" t="n">
        <v>10</v>
      </c>
      <c r="S69" s="22" t="n">
        <v>11</v>
      </c>
      <c r="T69" s="22" t="n">
        <v>10</v>
      </c>
      <c r="U69" s="22" t="n">
        <v>9</v>
      </c>
      <c r="V69" s="22" t="n">
        <v>6</v>
      </c>
      <c r="W69" s="22" t="n">
        <v>5</v>
      </c>
      <c r="X69" s="22" t="n">
        <v>6</v>
      </c>
      <c r="Y69" s="22" t="n"/>
    </row>
    <row r="70">
      <c r="B70" s="4" t="inlineStr">
        <is>
          <t>R3</t>
        </is>
      </c>
      <c r="C70" s="4" t="inlineStr">
        <is>
          <t>A2</t>
        </is>
      </c>
      <c r="D70" s="20">
        <f>Parameters!$C$14</f>
        <v/>
      </c>
      <c r="E70" s="21" t="n">
        <v>1600</v>
      </c>
      <c r="F70" s="22" t="n">
        <v>11</v>
      </c>
      <c r="G70" s="22" t="n">
        <v>12</v>
      </c>
      <c r="H70" s="22" t="n">
        <v>10</v>
      </c>
      <c r="I70" s="22" t="n">
        <v>11</v>
      </c>
      <c r="J70" s="22" t="n">
        <v>9</v>
      </c>
      <c r="K70" s="22" t="n">
        <v>10</v>
      </c>
      <c r="L70" s="22" t="n">
        <v>10</v>
      </c>
      <c r="M70" s="22" t="n">
        <v>11</v>
      </c>
      <c r="N70" s="22" t="n">
        <v>9</v>
      </c>
      <c r="O70" s="22" t="n">
        <v>9.6</v>
      </c>
      <c r="P70" s="22" t="n">
        <v>11.2</v>
      </c>
      <c r="Q70" s="22" t="n">
        <v>9.4</v>
      </c>
      <c r="R70" s="22" t="n">
        <v>10.3</v>
      </c>
      <c r="S70" s="22" t="n">
        <v>11.1</v>
      </c>
      <c r="T70" s="22" t="n">
        <v>10.2</v>
      </c>
      <c r="U70" s="22" t="n">
        <v>9.300000000000001</v>
      </c>
      <c r="V70" s="22" t="n">
        <v>6</v>
      </c>
      <c r="W70" s="22" t="n">
        <v>5</v>
      </c>
      <c r="X70" s="22" t="n">
        <v>6</v>
      </c>
      <c r="Y70" s="22" t="n"/>
    </row>
    <row r="71">
      <c r="B71" s="4" t="inlineStr">
        <is>
          <t>R3</t>
        </is>
      </c>
      <c r="C71" s="4" t="inlineStr">
        <is>
          <t>A2</t>
        </is>
      </c>
      <c r="D71" s="20">
        <f>Parameters!$D$14</f>
        <v/>
      </c>
      <c r="E71" s="21" t="n">
        <v>1600</v>
      </c>
      <c r="F71" s="22" t="n">
        <v>11</v>
      </c>
      <c r="G71" s="22" t="n">
        <v>12</v>
      </c>
      <c r="H71" s="22" t="n">
        <v>10</v>
      </c>
      <c r="I71" s="22" t="n">
        <v>11</v>
      </c>
      <c r="J71" s="22" t="n">
        <v>9</v>
      </c>
      <c r="K71" s="22" t="n">
        <v>10</v>
      </c>
      <c r="L71" s="22" t="n">
        <v>10</v>
      </c>
      <c r="M71" s="22" t="n">
        <v>11</v>
      </c>
      <c r="N71" s="22" t="n">
        <v>9</v>
      </c>
      <c r="O71" s="22" t="n">
        <v>10</v>
      </c>
      <c r="P71" s="22" t="n">
        <v>12</v>
      </c>
      <c r="Q71" s="22" t="n">
        <v>10</v>
      </c>
      <c r="R71" s="22" t="n">
        <v>11.5</v>
      </c>
      <c r="S71" s="22" t="n">
        <v>11.5</v>
      </c>
      <c r="T71" s="22" t="n">
        <v>11</v>
      </c>
      <c r="U71" s="22" t="n">
        <v>10.5</v>
      </c>
      <c r="V71" s="22" t="n">
        <v>7.2</v>
      </c>
      <c r="W71" s="22" t="n">
        <v>6.6</v>
      </c>
      <c r="X71" s="22" t="n">
        <v>7.2</v>
      </c>
      <c r="Y71" s="22" t="n"/>
    </row>
    <row r="72">
      <c r="B72" s="4" t="inlineStr">
        <is>
          <t>R3</t>
        </is>
      </c>
      <c r="C72" s="4" t="inlineStr">
        <is>
          <t>A2</t>
        </is>
      </c>
      <c r="D72" s="20">
        <f>Parameters!$E$14</f>
        <v/>
      </c>
      <c r="E72" s="21" t="n">
        <v>1600</v>
      </c>
      <c r="F72" s="22" t="n">
        <v>11</v>
      </c>
      <c r="G72" s="22" t="n">
        <v>12</v>
      </c>
      <c r="H72" s="22" t="n">
        <v>10</v>
      </c>
      <c r="I72" s="22" t="n">
        <v>11</v>
      </c>
      <c r="J72" s="22" t="n">
        <v>9</v>
      </c>
      <c r="K72" s="22" t="n">
        <v>10</v>
      </c>
      <c r="L72" s="22" t="n">
        <v>10</v>
      </c>
      <c r="M72" s="22" t="n">
        <v>11</v>
      </c>
      <c r="N72" s="22" t="n">
        <v>9</v>
      </c>
      <c r="O72" s="22" t="n">
        <v>10</v>
      </c>
      <c r="P72" s="22" t="n">
        <v>12</v>
      </c>
      <c r="Q72" s="22" t="n">
        <v>10</v>
      </c>
      <c r="R72" s="22" t="n">
        <v>12.4</v>
      </c>
      <c r="S72" s="22" t="n">
        <v>11.8</v>
      </c>
      <c r="T72" s="22" t="n">
        <v>11.6</v>
      </c>
      <c r="U72" s="22" t="n">
        <v>11.4</v>
      </c>
      <c r="V72" s="22" t="n">
        <v>8.1</v>
      </c>
      <c r="W72" s="22" t="n">
        <v>7.8</v>
      </c>
      <c r="X72" s="22" t="n">
        <v>8.1</v>
      </c>
      <c r="Y72" s="22" t="n"/>
    </row>
    <row r="73">
      <c r="B73" s="4" t="inlineStr">
        <is>
          <t>R3</t>
        </is>
      </c>
      <c r="C73" s="4" t="inlineStr">
        <is>
          <t>A2</t>
        </is>
      </c>
      <c r="D73" s="20">
        <f>Parameters!$F$14</f>
        <v/>
      </c>
      <c r="E73" s="21" t="n">
        <v>1600</v>
      </c>
      <c r="F73" s="22" t="n">
        <v>11</v>
      </c>
      <c r="G73" s="22" t="n">
        <v>12</v>
      </c>
      <c r="H73" s="22" t="n">
        <v>10</v>
      </c>
      <c r="I73" s="22" t="n">
        <v>11</v>
      </c>
      <c r="J73" s="22" t="n">
        <v>9</v>
      </c>
      <c r="K73" s="22" t="n">
        <v>10</v>
      </c>
      <c r="L73" s="22" t="n">
        <v>10</v>
      </c>
      <c r="M73" s="22" t="n">
        <v>11</v>
      </c>
      <c r="N73" s="22" t="n">
        <v>9</v>
      </c>
      <c r="O73" s="22" t="n">
        <v>10</v>
      </c>
      <c r="P73" s="22" t="n">
        <v>12</v>
      </c>
      <c r="Q73" s="22" t="n">
        <v>10</v>
      </c>
      <c r="R73" s="22" t="n">
        <v>13</v>
      </c>
      <c r="S73" s="22" t="n">
        <v>12</v>
      </c>
      <c r="T73" s="22" t="n">
        <v>12</v>
      </c>
      <c r="U73" s="22" t="n">
        <v>12</v>
      </c>
      <c r="V73" s="22" t="n">
        <v>9</v>
      </c>
      <c r="W73" s="22" t="n">
        <v>9</v>
      </c>
      <c r="X73" s="22" t="n">
        <v>9</v>
      </c>
      <c r="Y73" s="22" t="n"/>
    </row>
    <row r="74">
      <c r="B74" s="4" t="inlineStr">
        <is>
          <t>R3</t>
        </is>
      </c>
      <c r="C74" s="4" t="inlineStr">
        <is>
          <t>A2</t>
        </is>
      </c>
      <c r="D74" s="20">
        <f>Parameters!$G$14</f>
        <v/>
      </c>
      <c r="E74" s="21" t="n">
        <v>1600</v>
      </c>
      <c r="F74" s="22" t="n">
        <v>11</v>
      </c>
      <c r="G74" s="22" t="n">
        <v>12</v>
      </c>
      <c r="H74" s="22" t="n">
        <v>10</v>
      </c>
      <c r="I74" s="22" t="n">
        <v>11</v>
      </c>
      <c r="J74" s="22" t="n">
        <v>9</v>
      </c>
      <c r="K74" s="22" t="n">
        <v>10</v>
      </c>
      <c r="L74" s="22" t="n">
        <v>10</v>
      </c>
      <c r="M74" s="22" t="n">
        <v>11</v>
      </c>
      <c r="N74" s="22" t="n">
        <v>9</v>
      </c>
      <c r="O74" s="22" t="n">
        <v>10</v>
      </c>
      <c r="P74" s="22" t="n">
        <v>12</v>
      </c>
      <c r="Q74" s="22" t="n">
        <v>10</v>
      </c>
      <c r="R74" s="22" t="n">
        <v>13</v>
      </c>
      <c r="S74" s="22" t="n">
        <v>12</v>
      </c>
      <c r="T74" s="22" t="n">
        <v>12</v>
      </c>
      <c r="U74" s="22" t="n">
        <v>12</v>
      </c>
      <c r="V74" s="22" t="n">
        <v>9</v>
      </c>
      <c r="W74" s="22" t="n">
        <v>9</v>
      </c>
      <c r="X74" s="22" t="n">
        <v>9</v>
      </c>
      <c r="Y74" s="22" t="n"/>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F10:Y12">
    <cfRule type="expression" priority="1" dxfId="0" stopIfTrue="0">
      <formula>F10&lt;&gt;'snap STAF scores'!F10</formula>
    </cfRule>
  </conditionalFormatting>
  <conditionalFormatting sqref="E15:Y74">
    <cfRule type="expression" priority="2" dxfId="0" stopIfTrue="0">
      <formula>E15&lt;&gt;'snap STAF scores'!E15</formula>
    </cfRule>
  </conditionalFormatting>
  <dataValidations count="2">
    <dataValidation sqref="F10 F11 F12 G10 G11 G12 H10 H11 H12 I10 I11 I12 J10 J11 J12 K10 K11 K12 L10 L11 L12 M10 M11 M12 N10 N11 N12 O10 O11 O12 P10 P11 P12 Q10 Q11 Q12 R10 R11 R12 S10 S11 S12 T10 T11 T12 U10 U11 U12 V10 V11 V12 W10 W11 W12 X10 X11 X12 Y10 Y11 Y12" showDropDown="0" showInputMessage="0" showErrorMessage="0" allowBlank="0" type="list">
      <formula1>"0,1"</formula1>
    </dataValidation>
    <dataValidation sqref="F15 F16 F17 F18 F19 F20 F21 F22 F23 F24 F25 F26 F27 F28 F29 F30 F31 F32 F33 F34 F35 F36 F37 F38 F39 F40 F41 F42 F43 F44 F45 F46 F47 F48 F49 F50 F51 F52 F53 F54 F55 F56 F57 F58 F59 F60 F61 F62 F63 F64 F65 F66 F67 F68 F69 F70 F71 F72 F73 F74 G15 G16 G17 G18 G19 G20 G21 G22 G23 G24 G25 G26 G27 G28 G29 G30 G31 G32 G33 G34 G35 G36 G37 G38 G39 G40 G41 G42 G43 G44 G45 G46 G47 G48 G49 G50 G51 G52 G53 G54 G55 G56 G57 G58 G59 G60 G61 G62 G63 G64 G65 G66 G67 G68 G69 G70 G71 G72 G73 G74 H15 H16 H17 H18 H19 H20 H21 H22 H23 H24 H25 H26 H27 H28 H29 H30 H31 H32 H33 H34 H35 H36 H37 H38 H39 H40 H41 H42 H43 H44 H45 H46 H47 H48 H49 H50 H51 H52 H53 H54 H55 H56 H57 H58 H59 H60 H61 H62 H63 H64 H65 H66 H67 H68 H69 H70 H71 H72 H73 H74 I15 I16 I17 I18 I19 I20 I21 I22 I23 I24 I25 I26 I27 I28 I29 I30 I31 I32 I33 I34 I35 I36 I37 I38 I39 I40 I41 I42 I43 I44 I45 I46 I47 I48 I49 I50 I51 I52 I53 I54 I55 I56 I57 I58 I59 I60 I61 I62 I63 I64 I65 I66 I67 I68 I69 I70 I71 I72 I73 I74 J15 J16 J17 J18 J19 J20 J21 J22 J23 J24 J25 J26 J27 J28 J29 J30 J31 J32 J33 J34 J35 J36 J37 J38 J39 J40 J41 J42 J43 J44 J45 J46 J47 J48 J49 J50 J51 J52 J53 J54 J55 J56 J57 J58 J59 J60 J61 J62 J63 J64 J65 J66 J67 J68 J69 J70 J71 J72 J73 J74 K15 K16 K17 K18 K19 K20 K21 K22 K23 K24 K25 K26 K27 K28 K29 K30 K31 K32 K33 K34 K35 K36 K37 K38 K39 K40 K41 K42 K43 K44 K45 K46 K47 K48 K49 K50 K51 K52 K53 K54 K55 K56 K57 K58 K59 K60 K61 K62 K63 K64 K65 K66 K67 K68 K69 K70 K71 K72 K73 K74 L15 L16 L17 L18 L19 L20 L21 L22 L23 L24 L25 L26 L27 L28 L29 L30 L31 L32 L33 L34 L35 L36 L37 L38 L39 L40 L41 L42 L43 L44 L45 L46 L47 L48 L49 L50 L51 L52 L53 L54 L55 L56 L57 L58 L59 L60 L61 L62 L63 L64 L65 L66 L67 L68 L69 L70 L71 L72 L73 L74 M15 M16 M17 M18 M19 M20 M21 M22 M23 M24 M25 M26 M27 M28 M29 M30 M31 M32 M33 M34 M35 M36 M37 M38 M39 M40 M41 M42 M43 M44 M45 M46 M47 M48 M49 M50 M51 M52 M53 M54 M55 M56 M57 M58 M59 M60 M61 M62 M63 M64 M65 M66 M67 M68 M69 M70 M71 M72 M73 M74 N15 N16 N17 N18 N19 N20 N21 N22 N23 N24 N25 N26 N27 N28 N29 N30 N31 N32 N33 N34 N35 N36 N37 N38 N39 N40 N41 N42 N43 N44 N45 N46 N47 N48 N49 N50 N51 N52 N53 N54 N55 N56 N57 N58 N59 N60 N61 N62 N63 N64 N65 N66 N67 N68 N69 N70 N71 N72 N73 N74 O15 O16 O17 O18 O19 O20 O21 O22 O23 O24 O25 O26 O27 O28 O29 O30 O31 O32 O33 O34 O35 O36 O37 O38 O39 O40 O41 O42 O43 O44 O45 O46 O47 O48 O49 O50 O51 O52 O53 O54 O55 O56 O57 O58 O59 O60 O61 O62 O63 O64 O65 O66 O67 O68 O69 O70 O71 O72 O73 O74 P15 P16 P17 P18 P19 P20 P21 P22 P23 P24 P25 P26 P27 P28 P29 P30 P31 P32 P33 P34 P35 P36 P37 P38 P39 P40 P41 P42 P43 P44 P45 P46 P47 P48 P49 P50 P51 P52 P53 P54 P55 P56 P57 P58 P59 P60 P61 P62 P63 P64 P65 P66 P67 P68 P69 P70 P71 P72 P73 P74 Q15 Q16 Q17 Q18 Q19 Q20 Q21 Q22 Q23 Q24 Q25 Q26 Q27 Q28 Q29 Q30 Q31 Q32 Q33 Q34 Q35 Q36 Q37 Q38 Q39 Q40 Q41 Q42 Q43 Q44 Q45 Q46 Q47 Q48 Q49 Q50 Q51 Q52 Q53 Q54 Q55 Q56 Q57 Q58 Q59 Q60 Q61 Q62 Q63 Q64 Q65 Q66 Q67 Q68 Q69 Q70 Q71 Q72 Q73 Q74 R15 R16 R17 R18 R19 R20 R21 R22 R23 R24 R25 R26 R27 R28 R29 R30 R31 R32 R33 R34 R35 R36 R37 R38 R39 R40 R41 R42 R43 R44 R45 R46 R47 R48 R49 R50 R51 R52 R53 R54 R55 R56 R57 R58 R59 R60 R61 R62 R63 R64 R65 R66 R67 R68 R69 R70 R71 R72 R73 R74 S15 S16 S17 S18 S19 S20 S21 S22 S23 S24 S25 S26 S27 S28 S29 S30 S31 S32 S33 S34 S35 S36 S37 S38 S39 S40 S41 S42 S43 S44 S45 S46 S47 S48 S49 S50 S51 S52 S53 S54 S55 S56 S57 S58 S59 S60 S61 S62 S63 S64 S65 S66 S67 S68 S69 S70 S71 S72 S73 S74 T15 T16 T17 T18 T19 T20 T21 T22 T23 T24 T25 T26 T27 T28 T29 T30 T31 T32 T33 T34 T35 T36 T37 T38 T39 T40 T41 T42 T43 T44 T45 T46 T47 T48 T49 T50 T51 T52 T53 T54 T55 T56 T57 T58 T59 T60 T61 T62 T63 T64 T65 T66 T67 T68 T69 T70 T71 T72 T73 T74 U15 U16 U17 U18 U19 U20 U21 U22 U23 U24 U25 U26 U27 U28 U29 U30 U31 U32 U33 U34 U35 U36 U37 U38 U39 U40 U41 U42 U43 U44 U45 U46 U47 U48 U49 U50 U51 U52 U53 U54 U55 U56 U57 U58 U59 U60 U61 U62 U63 U64 U65 U66 U67 U68 U69 U70 U71 U72 U73 U74 V15 V16 V17 V18 V19 V20 V21 V22 V23 V24 V25 V26 V27 V28 V29 V30 V31 V32 V33 V34 V35 V36 V37 V38 V39 V40 V41 V42 V43 V44 V45 V46 V47 V48 V49 V50 V51 V52 V53 V54 V55 V56 V57 V58 V59 V60 V61 V62 V63 V64 V65 V66 V67 V68 V69 V70 V71 V72 V73 V74 W15 W16 W17 W18 W19 W20 W21 W22 W23 W24 W25 W26 W27 W28 W29 W30 W31 W32 W33 W34 W35 W36 W37 W38 W39 W40 W41 W42 W43 W44 W45 W46 W47 W48 W49 W50 W51 W52 W53 W54 W55 W56 W57 W58 W59 W60 W61 W62 W63 W64 W65 W66 W67 W68 W69 W70 W71 W72 W73 W74 X15 X16 X17 X18 X19 X20 X21 X22 X23 X24 X25 X26 X27 X28 X29 X30 X31 X32 X33 X34 X35 X36 X37 X38 X39 X40 X41 X42 X43 X44 X45 X46 X47 X48 X49 X50 X51 X52 X53 X54 X55 X56 X57 X58 X59 X60 X61 X62 X63 X64 X65 X66 X67 X68 X69 X70 X71 X72 X73 X74 Y15 Y16 Y17 Y18 Y19 Y20 Y21 Y22 Y23 Y24 Y25 Y26 Y27 Y28 Y29 Y30 Y31 Y32 Y33 Y34 Y35 Y36 Y37 Y38 Y39 Y40 Y41 Y42 Y43 Y44 Y45 Y46 Y47 Y48 Y49 Y50 Y51 Y52 Y53 Y54 Y55 Y56 Y57 Y58 Y59 Y60 Y61 Y62 Y63 Y64 Y65 Y66 Y67 Y68 Y69 Y70 Y71 Y72 Y73 Y74" showDropDown="0" showInputMessage="0" showErrorMessage="0" allowBlank="1" error="STAF function scores run from 0 to 15." type="decimal" operator="between">
      <formula1>0</formula1>
      <formula2>15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2" max="2"/>
    <col width="14" customWidth="1" style="8" min="3" max="3"/>
    <col width="8" customWidth="1" style="8" min="4" max="4"/>
    <col width="11" customWidth="1" style="8" min="5" max="5"/>
    <col width="11" customWidth="1" style="8" min="6" max="6"/>
    <col width="11" customWidth="1" style="8" min="7" max="7"/>
    <col width="11" customWidth="1" style="8" min="8" max="8"/>
    <col width="10" customWidth="1" style="8" min="9" max="9"/>
    <col width="20" customWidth="1" style="8" min="10" max="10"/>
    <col width="12" customWidth="1" style="8" min="11" max="11"/>
    <col width="16" customWidth="1" style="8" min="12" max="12"/>
  </cols>
  <sheetData>
    <row r="1">
      <c r="A1" s="1" t="inlineStr">
        <is>
          <t>STAF roll-up: sub-indices, Ecosystem Condition Index and condition units</t>
        </is>
      </c>
    </row>
    <row r="2">
      <c r="A2" s="2" t="inlineStr">
        <is>
          <t>Each row matches the same row of STAF scores. Condition units = ECI x quantity; the Benefits sheet averages them over the period.</t>
        </is>
      </c>
    </row>
    <row r="4">
      <c r="B4" s="12" t="inlineStr">
        <is>
          <t>Site</t>
        </is>
      </c>
      <c r="C4" s="12" t="inlineStr">
        <is>
          <t>Alternative</t>
        </is>
      </c>
      <c r="D4" s="12" t="inlineStr">
        <is>
          <t>Year</t>
        </is>
      </c>
      <c r="E4" s="12" t="inlineStr">
        <is>
          <t>Physical</t>
        </is>
      </c>
      <c r="F4" s="12" t="inlineStr">
        <is>
          <t>Chemical</t>
        </is>
      </c>
      <c r="G4" s="12" t="inlineStr">
        <is>
          <t>Biological</t>
        </is>
      </c>
      <c r="H4" s="12" t="inlineStr">
        <is>
          <t>Blank scores</t>
        </is>
      </c>
      <c r="I4" s="12" t="inlineStr">
        <is>
          <t>ECI</t>
        </is>
      </c>
      <c r="J4" s="12" t="inlineStr">
        <is>
          <t>Condition</t>
        </is>
      </c>
      <c r="K4" s="12" t="inlineStr">
        <is>
          <t>Quantity (ft)</t>
        </is>
      </c>
      <c r="L4" s="12" t="inlineStr">
        <is>
          <t>Condition units (CU)</t>
        </is>
      </c>
    </row>
    <row r="5">
      <c r="B5" s="10">
        <f>'STAF scores'!B15</f>
        <v/>
      </c>
      <c r="C5" s="10">
        <f>'STAF scores'!C15</f>
        <v/>
      </c>
      <c r="D5" s="20">
        <f>'STAF scores'!D15</f>
        <v/>
      </c>
      <c r="E5" s="23">
        <f>IF(SUMPRODUCT('STAF scores'!$F$5:$Y$5,'STAF scores'!$F$10:$Y$10)&gt;0,SUMPRODUCT('STAF scores'!F15:Y15,'STAF scores'!$F$5:$Y$5,'STAF scores'!$F$10:$Y$10)/(15*SUMPRODUCT('STAF scores'!$F$5:$Y$5,'STAF scores'!$F$10:$Y$10)),NA())</f>
        <v/>
      </c>
      <c r="F5" s="23">
        <f>IF(SUMPRODUCT('STAF scores'!$F$6:$Y$6,'STAF scores'!$F$10:$Y$10)&gt;0,SUMPRODUCT('STAF scores'!F15:Y15,'STAF scores'!$F$6:$Y$6,'STAF scores'!$F$10:$Y$10)/(15*SUMPRODUCT('STAF scores'!$F$6:$Y$6,'STAF scores'!$F$10:$Y$10)),NA())</f>
        <v/>
      </c>
      <c r="G5" s="23">
        <f>IF(SUMPRODUCT('STAF scores'!$F$7:$Y$7,'STAF scores'!$F$10:$Y$10)&gt;0,SUMPRODUCT('STAF scores'!F15:Y15,'STAF scores'!$F$7:$Y$7,'STAF scores'!$F$10:$Y$10)/(15*SUMPRODUCT('STAF scores'!$F$7:$Y$7,'STAF scores'!$F$10:$Y$10)),NA())</f>
        <v/>
      </c>
      <c r="H5" s="24">
        <f>SUMPRODUCT('STAF scores'!$F$10:$Y$10*(1-ISNUMBER('STAF scores'!F15:Y15)))</f>
        <v/>
      </c>
      <c r="I5" s="23">
        <f>IF(H5&gt;0,NA(),(E5+F5+G5)/3)</f>
        <v/>
      </c>
      <c r="J5" s="10">
        <f>IF(ISNUMBER(I5),IF(ROUND(I5,2)&lt;=0.39,"Non-Functioning",IF(ROUND(I5,2)&lt;=0.69,"Functioning-at-Risk","Functioning")),"")</f>
        <v/>
      </c>
      <c r="K5" s="25">
        <f>IF(ISNUMBER('STAF scores'!E15),'STAF scores'!E15,NA())</f>
        <v/>
      </c>
      <c r="L5" s="25">
        <f>I5*K5</f>
        <v/>
      </c>
    </row>
    <row r="6">
      <c r="B6" s="10">
        <f>'STAF scores'!B16</f>
        <v/>
      </c>
      <c r="C6" s="10">
        <f>'STAF scores'!C16</f>
        <v/>
      </c>
      <c r="D6" s="20">
        <f>'STAF scores'!D16</f>
        <v/>
      </c>
      <c r="E6" s="23">
        <f>IF(SUMPRODUCT('STAF scores'!$F$5:$Y$5,'STAF scores'!$F$10:$Y$10)&gt;0,SUMPRODUCT('STAF scores'!F16:Y16,'STAF scores'!$F$5:$Y$5,'STAF scores'!$F$10:$Y$10)/(15*SUMPRODUCT('STAF scores'!$F$5:$Y$5,'STAF scores'!$F$10:$Y$10)),NA())</f>
        <v/>
      </c>
      <c r="F6" s="23">
        <f>IF(SUMPRODUCT('STAF scores'!$F$6:$Y$6,'STAF scores'!$F$10:$Y$10)&gt;0,SUMPRODUCT('STAF scores'!F16:Y16,'STAF scores'!$F$6:$Y$6,'STAF scores'!$F$10:$Y$10)/(15*SUMPRODUCT('STAF scores'!$F$6:$Y$6,'STAF scores'!$F$10:$Y$10)),NA())</f>
        <v/>
      </c>
      <c r="G6" s="23">
        <f>IF(SUMPRODUCT('STAF scores'!$F$7:$Y$7,'STAF scores'!$F$10:$Y$10)&gt;0,SUMPRODUCT('STAF scores'!F16:Y16,'STAF scores'!$F$7:$Y$7,'STAF scores'!$F$10:$Y$10)/(15*SUMPRODUCT('STAF scores'!$F$7:$Y$7,'STAF scores'!$F$10:$Y$10)),NA())</f>
        <v/>
      </c>
      <c r="H6" s="24">
        <f>SUMPRODUCT('STAF scores'!$F$10:$Y$10*(1-ISNUMBER('STAF scores'!F16:Y16)))</f>
        <v/>
      </c>
      <c r="I6" s="23">
        <f>IF(H6&gt;0,NA(),(E6+F6+G6)/3)</f>
        <v/>
      </c>
      <c r="J6" s="10">
        <f>IF(ISNUMBER(I6),IF(ROUND(I6,2)&lt;=0.39,"Non-Functioning",IF(ROUND(I6,2)&lt;=0.69,"Functioning-at-Risk","Functioning")),"")</f>
        <v/>
      </c>
      <c r="K6" s="25">
        <f>IF(ISNUMBER('STAF scores'!E16),'STAF scores'!E16,NA())</f>
        <v/>
      </c>
      <c r="L6" s="25">
        <f>I6*K6</f>
        <v/>
      </c>
    </row>
    <row r="7">
      <c r="B7" s="10">
        <f>'STAF scores'!B17</f>
        <v/>
      </c>
      <c r="C7" s="10">
        <f>'STAF scores'!C17</f>
        <v/>
      </c>
      <c r="D7" s="20">
        <f>'STAF scores'!D17</f>
        <v/>
      </c>
      <c r="E7" s="23">
        <f>IF(SUMPRODUCT('STAF scores'!$F$5:$Y$5,'STAF scores'!$F$10:$Y$10)&gt;0,SUMPRODUCT('STAF scores'!F17:Y17,'STAF scores'!$F$5:$Y$5,'STAF scores'!$F$10:$Y$10)/(15*SUMPRODUCT('STAF scores'!$F$5:$Y$5,'STAF scores'!$F$10:$Y$10)),NA())</f>
        <v/>
      </c>
      <c r="F7" s="23">
        <f>IF(SUMPRODUCT('STAF scores'!$F$6:$Y$6,'STAF scores'!$F$10:$Y$10)&gt;0,SUMPRODUCT('STAF scores'!F17:Y17,'STAF scores'!$F$6:$Y$6,'STAF scores'!$F$10:$Y$10)/(15*SUMPRODUCT('STAF scores'!$F$6:$Y$6,'STAF scores'!$F$10:$Y$10)),NA())</f>
        <v/>
      </c>
      <c r="G7" s="23">
        <f>IF(SUMPRODUCT('STAF scores'!$F$7:$Y$7,'STAF scores'!$F$10:$Y$10)&gt;0,SUMPRODUCT('STAF scores'!F17:Y17,'STAF scores'!$F$7:$Y$7,'STAF scores'!$F$10:$Y$10)/(15*SUMPRODUCT('STAF scores'!$F$7:$Y$7,'STAF scores'!$F$10:$Y$10)),NA())</f>
        <v/>
      </c>
      <c r="H7" s="24">
        <f>SUMPRODUCT('STAF scores'!$F$10:$Y$10*(1-ISNUMBER('STAF scores'!F17:Y17)))</f>
        <v/>
      </c>
      <c r="I7" s="23">
        <f>IF(H7&gt;0,NA(),(E7+F7+G7)/3)</f>
        <v/>
      </c>
      <c r="J7" s="10">
        <f>IF(ISNUMBER(I7),IF(ROUND(I7,2)&lt;=0.39,"Non-Functioning",IF(ROUND(I7,2)&lt;=0.69,"Functioning-at-Risk","Functioning")),"")</f>
        <v/>
      </c>
      <c r="K7" s="25">
        <f>IF(ISNUMBER('STAF scores'!E17),'STAF scores'!E17,NA())</f>
        <v/>
      </c>
      <c r="L7" s="25">
        <f>I7*K7</f>
        <v/>
      </c>
    </row>
    <row r="8">
      <c r="B8" s="10">
        <f>'STAF scores'!B18</f>
        <v/>
      </c>
      <c r="C8" s="10">
        <f>'STAF scores'!C18</f>
        <v/>
      </c>
      <c r="D8" s="20">
        <f>'STAF scores'!D18</f>
        <v/>
      </c>
      <c r="E8" s="23">
        <f>IF(SUMPRODUCT('STAF scores'!$F$5:$Y$5,'STAF scores'!$F$10:$Y$10)&gt;0,SUMPRODUCT('STAF scores'!F18:Y18,'STAF scores'!$F$5:$Y$5,'STAF scores'!$F$10:$Y$10)/(15*SUMPRODUCT('STAF scores'!$F$5:$Y$5,'STAF scores'!$F$10:$Y$10)),NA())</f>
        <v/>
      </c>
      <c r="F8" s="23">
        <f>IF(SUMPRODUCT('STAF scores'!$F$6:$Y$6,'STAF scores'!$F$10:$Y$10)&gt;0,SUMPRODUCT('STAF scores'!F18:Y18,'STAF scores'!$F$6:$Y$6,'STAF scores'!$F$10:$Y$10)/(15*SUMPRODUCT('STAF scores'!$F$6:$Y$6,'STAF scores'!$F$10:$Y$10)),NA())</f>
        <v/>
      </c>
      <c r="G8" s="23">
        <f>IF(SUMPRODUCT('STAF scores'!$F$7:$Y$7,'STAF scores'!$F$10:$Y$10)&gt;0,SUMPRODUCT('STAF scores'!F18:Y18,'STAF scores'!$F$7:$Y$7,'STAF scores'!$F$10:$Y$10)/(15*SUMPRODUCT('STAF scores'!$F$7:$Y$7,'STAF scores'!$F$10:$Y$10)),NA())</f>
        <v/>
      </c>
      <c r="H8" s="24">
        <f>SUMPRODUCT('STAF scores'!$F$10:$Y$10*(1-ISNUMBER('STAF scores'!F18:Y18)))</f>
        <v/>
      </c>
      <c r="I8" s="23">
        <f>IF(H8&gt;0,NA(),(E8+F8+G8)/3)</f>
        <v/>
      </c>
      <c r="J8" s="10">
        <f>IF(ISNUMBER(I8),IF(ROUND(I8,2)&lt;=0.39,"Non-Functioning",IF(ROUND(I8,2)&lt;=0.69,"Functioning-at-Risk","Functioning")),"")</f>
        <v/>
      </c>
      <c r="K8" s="25">
        <f>IF(ISNUMBER('STAF scores'!E18),'STAF scores'!E18,NA())</f>
        <v/>
      </c>
      <c r="L8" s="25">
        <f>I8*K8</f>
        <v/>
      </c>
    </row>
    <row r="9">
      <c r="B9" s="10">
        <f>'STAF scores'!B19</f>
        <v/>
      </c>
      <c r="C9" s="10">
        <f>'STAF scores'!C19</f>
        <v/>
      </c>
      <c r="D9" s="20">
        <f>'STAF scores'!D19</f>
        <v/>
      </c>
      <c r="E9" s="23">
        <f>IF(SUMPRODUCT('STAF scores'!$F$5:$Y$5,'STAF scores'!$F$10:$Y$10)&gt;0,SUMPRODUCT('STAF scores'!F19:Y19,'STAF scores'!$F$5:$Y$5,'STAF scores'!$F$10:$Y$10)/(15*SUMPRODUCT('STAF scores'!$F$5:$Y$5,'STAF scores'!$F$10:$Y$10)),NA())</f>
        <v/>
      </c>
      <c r="F9" s="23">
        <f>IF(SUMPRODUCT('STAF scores'!$F$6:$Y$6,'STAF scores'!$F$10:$Y$10)&gt;0,SUMPRODUCT('STAF scores'!F19:Y19,'STAF scores'!$F$6:$Y$6,'STAF scores'!$F$10:$Y$10)/(15*SUMPRODUCT('STAF scores'!$F$6:$Y$6,'STAF scores'!$F$10:$Y$10)),NA())</f>
        <v/>
      </c>
      <c r="G9" s="23">
        <f>IF(SUMPRODUCT('STAF scores'!$F$7:$Y$7,'STAF scores'!$F$10:$Y$10)&gt;0,SUMPRODUCT('STAF scores'!F19:Y19,'STAF scores'!$F$7:$Y$7,'STAF scores'!$F$10:$Y$10)/(15*SUMPRODUCT('STAF scores'!$F$7:$Y$7,'STAF scores'!$F$10:$Y$10)),NA())</f>
        <v/>
      </c>
      <c r="H9" s="24">
        <f>SUMPRODUCT('STAF scores'!$F$10:$Y$10*(1-ISNUMBER('STAF scores'!F19:Y19)))</f>
        <v/>
      </c>
      <c r="I9" s="23">
        <f>IF(H9&gt;0,NA(),(E9+F9+G9)/3)</f>
        <v/>
      </c>
      <c r="J9" s="10">
        <f>IF(ISNUMBER(I9),IF(ROUND(I9,2)&lt;=0.39,"Non-Functioning",IF(ROUND(I9,2)&lt;=0.69,"Functioning-at-Risk","Functioning")),"")</f>
        <v/>
      </c>
      <c r="K9" s="25">
        <f>IF(ISNUMBER('STAF scores'!E19),'STAF scores'!E19,NA())</f>
        <v/>
      </c>
      <c r="L9" s="25">
        <f>I9*K9</f>
        <v/>
      </c>
    </row>
    <row r="10">
      <c r="B10" s="10">
        <f>'STAF scores'!B20</f>
        <v/>
      </c>
      <c r="C10" s="10">
        <f>'STAF scores'!C20</f>
        <v/>
      </c>
      <c r="D10" s="20">
        <f>'STAF scores'!D20</f>
        <v/>
      </c>
      <c r="E10" s="23">
        <f>IF(SUMPRODUCT('STAF scores'!$F$5:$Y$5,'STAF scores'!$F$10:$Y$10)&gt;0,SUMPRODUCT('STAF scores'!F20:Y20,'STAF scores'!$F$5:$Y$5,'STAF scores'!$F$10:$Y$10)/(15*SUMPRODUCT('STAF scores'!$F$5:$Y$5,'STAF scores'!$F$10:$Y$10)),NA())</f>
        <v/>
      </c>
      <c r="F10" s="23">
        <f>IF(SUMPRODUCT('STAF scores'!$F$6:$Y$6,'STAF scores'!$F$10:$Y$10)&gt;0,SUMPRODUCT('STAF scores'!F20:Y20,'STAF scores'!$F$6:$Y$6,'STAF scores'!$F$10:$Y$10)/(15*SUMPRODUCT('STAF scores'!$F$6:$Y$6,'STAF scores'!$F$10:$Y$10)),NA())</f>
        <v/>
      </c>
      <c r="G10" s="23">
        <f>IF(SUMPRODUCT('STAF scores'!$F$7:$Y$7,'STAF scores'!$F$10:$Y$10)&gt;0,SUMPRODUCT('STAF scores'!F20:Y20,'STAF scores'!$F$7:$Y$7,'STAF scores'!$F$10:$Y$10)/(15*SUMPRODUCT('STAF scores'!$F$7:$Y$7,'STAF scores'!$F$10:$Y$10)),NA())</f>
        <v/>
      </c>
      <c r="H10" s="24">
        <f>SUMPRODUCT('STAF scores'!$F$10:$Y$10*(1-ISNUMBER('STAF scores'!F20:Y20)))</f>
        <v/>
      </c>
      <c r="I10" s="23">
        <f>IF(H10&gt;0,NA(),(E10+F10+G10)/3)</f>
        <v/>
      </c>
      <c r="J10" s="10">
        <f>IF(ISNUMBER(I10),IF(ROUND(I10,2)&lt;=0.39,"Non-Functioning",IF(ROUND(I10,2)&lt;=0.69,"Functioning-at-Risk","Functioning")),"")</f>
        <v/>
      </c>
      <c r="K10" s="25">
        <f>IF(ISNUMBER('STAF scores'!E20),'STAF scores'!E20,NA())</f>
        <v/>
      </c>
      <c r="L10" s="25">
        <f>I10*K10</f>
        <v/>
      </c>
    </row>
    <row r="11">
      <c r="B11" s="10">
        <f>'STAF scores'!B21</f>
        <v/>
      </c>
      <c r="C11" s="10">
        <f>'STAF scores'!C21</f>
        <v/>
      </c>
      <c r="D11" s="20">
        <f>'STAF scores'!D21</f>
        <v/>
      </c>
      <c r="E11" s="23">
        <f>IF(SUMPRODUCT('STAF scores'!$F$5:$Y$5,'STAF scores'!$F$10:$Y$10)&gt;0,SUMPRODUCT('STAF scores'!F21:Y21,'STAF scores'!$F$5:$Y$5,'STAF scores'!$F$10:$Y$10)/(15*SUMPRODUCT('STAF scores'!$F$5:$Y$5,'STAF scores'!$F$10:$Y$10)),NA())</f>
        <v/>
      </c>
      <c r="F11" s="23">
        <f>IF(SUMPRODUCT('STAF scores'!$F$6:$Y$6,'STAF scores'!$F$10:$Y$10)&gt;0,SUMPRODUCT('STAF scores'!F21:Y21,'STAF scores'!$F$6:$Y$6,'STAF scores'!$F$10:$Y$10)/(15*SUMPRODUCT('STAF scores'!$F$6:$Y$6,'STAF scores'!$F$10:$Y$10)),NA())</f>
        <v/>
      </c>
      <c r="G11" s="23">
        <f>IF(SUMPRODUCT('STAF scores'!$F$7:$Y$7,'STAF scores'!$F$10:$Y$10)&gt;0,SUMPRODUCT('STAF scores'!F21:Y21,'STAF scores'!$F$7:$Y$7,'STAF scores'!$F$10:$Y$10)/(15*SUMPRODUCT('STAF scores'!$F$7:$Y$7,'STAF scores'!$F$10:$Y$10)),NA())</f>
        <v/>
      </c>
      <c r="H11" s="24">
        <f>SUMPRODUCT('STAF scores'!$F$10:$Y$10*(1-ISNUMBER('STAF scores'!F21:Y21)))</f>
        <v/>
      </c>
      <c r="I11" s="23">
        <f>IF(H11&gt;0,NA(),(E11+F11+G11)/3)</f>
        <v/>
      </c>
      <c r="J11" s="10">
        <f>IF(ISNUMBER(I11),IF(ROUND(I11,2)&lt;=0.39,"Non-Functioning",IF(ROUND(I11,2)&lt;=0.69,"Functioning-at-Risk","Functioning")),"")</f>
        <v/>
      </c>
      <c r="K11" s="25">
        <f>IF(ISNUMBER('STAF scores'!E21),'STAF scores'!E21,NA())</f>
        <v/>
      </c>
      <c r="L11" s="25">
        <f>I11*K11</f>
        <v/>
      </c>
    </row>
    <row r="12">
      <c r="B12" s="10">
        <f>'STAF scores'!B22</f>
        <v/>
      </c>
      <c r="C12" s="10">
        <f>'STAF scores'!C22</f>
        <v/>
      </c>
      <c r="D12" s="20">
        <f>'STAF scores'!D22</f>
        <v/>
      </c>
      <c r="E12" s="23">
        <f>IF(SUMPRODUCT('STAF scores'!$F$5:$Y$5,'STAF scores'!$F$10:$Y$10)&gt;0,SUMPRODUCT('STAF scores'!F22:Y22,'STAF scores'!$F$5:$Y$5,'STAF scores'!$F$10:$Y$10)/(15*SUMPRODUCT('STAF scores'!$F$5:$Y$5,'STAF scores'!$F$10:$Y$10)),NA())</f>
        <v/>
      </c>
      <c r="F12" s="23">
        <f>IF(SUMPRODUCT('STAF scores'!$F$6:$Y$6,'STAF scores'!$F$10:$Y$10)&gt;0,SUMPRODUCT('STAF scores'!F22:Y22,'STAF scores'!$F$6:$Y$6,'STAF scores'!$F$10:$Y$10)/(15*SUMPRODUCT('STAF scores'!$F$6:$Y$6,'STAF scores'!$F$10:$Y$10)),NA())</f>
        <v/>
      </c>
      <c r="G12" s="23">
        <f>IF(SUMPRODUCT('STAF scores'!$F$7:$Y$7,'STAF scores'!$F$10:$Y$10)&gt;0,SUMPRODUCT('STAF scores'!F22:Y22,'STAF scores'!$F$7:$Y$7,'STAF scores'!$F$10:$Y$10)/(15*SUMPRODUCT('STAF scores'!$F$7:$Y$7,'STAF scores'!$F$10:$Y$10)),NA())</f>
        <v/>
      </c>
      <c r="H12" s="24">
        <f>SUMPRODUCT('STAF scores'!$F$10:$Y$10*(1-ISNUMBER('STAF scores'!F22:Y22)))</f>
        <v/>
      </c>
      <c r="I12" s="23">
        <f>IF(H12&gt;0,NA(),(E12+F12+G12)/3)</f>
        <v/>
      </c>
      <c r="J12" s="10">
        <f>IF(ISNUMBER(I12),IF(ROUND(I12,2)&lt;=0.39,"Non-Functioning",IF(ROUND(I12,2)&lt;=0.69,"Functioning-at-Risk","Functioning")),"")</f>
        <v/>
      </c>
      <c r="K12" s="25">
        <f>IF(ISNUMBER('STAF scores'!E22),'STAF scores'!E22,NA())</f>
        <v/>
      </c>
      <c r="L12" s="25">
        <f>I12*K12</f>
        <v/>
      </c>
    </row>
    <row r="13">
      <c r="B13" s="10">
        <f>'STAF scores'!B23</f>
        <v/>
      </c>
      <c r="C13" s="10">
        <f>'STAF scores'!C23</f>
        <v/>
      </c>
      <c r="D13" s="20">
        <f>'STAF scores'!D23</f>
        <v/>
      </c>
      <c r="E13" s="23">
        <f>IF(SUMPRODUCT('STAF scores'!$F$5:$Y$5,'STAF scores'!$F$10:$Y$10)&gt;0,SUMPRODUCT('STAF scores'!F23:Y23,'STAF scores'!$F$5:$Y$5,'STAF scores'!$F$10:$Y$10)/(15*SUMPRODUCT('STAF scores'!$F$5:$Y$5,'STAF scores'!$F$10:$Y$10)),NA())</f>
        <v/>
      </c>
      <c r="F13" s="23">
        <f>IF(SUMPRODUCT('STAF scores'!$F$6:$Y$6,'STAF scores'!$F$10:$Y$10)&gt;0,SUMPRODUCT('STAF scores'!F23:Y23,'STAF scores'!$F$6:$Y$6,'STAF scores'!$F$10:$Y$10)/(15*SUMPRODUCT('STAF scores'!$F$6:$Y$6,'STAF scores'!$F$10:$Y$10)),NA())</f>
        <v/>
      </c>
      <c r="G13" s="23">
        <f>IF(SUMPRODUCT('STAF scores'!$F$7:$Y$7,'STAF scores'!$F$10:$Y$10)&gt;0,SUMPRODUCT('STAF scores'!F23:Y23,'STAF scores'!$F$7:$Y$7,'STAF scores'!$F$10:$Y$10)/(15*SUMPRODUCT('STAF scores'!$F$7:$Y$7,'STAF scores'!$F$10:$Y$10)),NA())</f>
        <v/>
      </c>
      <c r="H13" s="24">
        <f>SUMPRODUCT('STAF scores'!$F$10:$Y$10*(1-ISNUMBER('STAF scores'!F23:Y23)))</f>
        <v/>
      </c>
      <c r="I13" s="23">
        <f>IF(H13&gt;0,NA(),(E13+F13+G13)/3)</f>
        <v/>
      </c>
      <c r="J13" s="10">
        <f>IF(ISNUMBER(I13),IF(ROUND(I13,2)&lt;=0.39,"Non-Functioning",IF(ROUND(I13,2)&lt;=0.69,"Functioning-at-Risk","Functioning")),"")</f>
        <v/>
      </c>
      <c r="K13" s="25">
        <f>IF(ISNUMBER('STAF scores'!E23),'STAF scores'!E23,NA())</f>
        <v/>
      </c>
      <c r="L13" s="25">
        <f>I13*K13</f>
        <v/>
      </c>
    </row>
    <row r="14">
      <c r="B14" s="10">
        <f>'STAF scores'!B24</f>
        <v/>
      </c>
      <c r="C14" s="10">
        <f>'STAF scores'!C24</f>
        <v/>
      </c>
      <c r="D14" s="20">
        <f>'STAF scores'!D24</f>
        <v/>
      </c>
      <c r="E14" s="23">
        <f>IF(SUMPRODUCT('STAF scores'!$F$5:$Y$5,'STAF scores'!$F$10:$Y$10)&gt;0,SUMPRODUCT('STAF scores'!F24:Y24,'STAF scores'!$F$5:$Y$5,'STAF scores'!$F$10:$Y$10)/(15*SUMPRODUCT('STAF scores'!$F$5:$Y$5,'STAF scores'!$F$10:$Y$10)),NA())</f>
        <v/>
      </c>
      <c r="F14" s="23">
        <f>IF(SUMPRODUCT('STAF scores'!$F$6:$Y$6,'STAF scores'!$F$10:$Y$10)&gt;0,SUMPRODUCT('STAF scores'!F24:Y24,'STAF scores'!$F$6:$Y$6,'STAF scores'!$F$10:$Y$10)/(15*SUMPRODUCT('STAF scores'!$F$6:$Y$6,'STAF scores'!$F$10:$Y$10)),NA())</f>
        <v/>
      </c>
      <c r="G14" s="23">
        <f>IF(SUMPRODUCT('STAF scores'!$F$7:$Y$7,'STAF scores'!$F$10:$Y$10)&gt;0,SUMPRODUCT('STAF scores'!F24:Y24,'STAF scores'!$F$7:$Y$7,'STAF scores'!$F$10:$Y$10)/(15*SUMPRODUCT('STAF scores'!$F$7:$Y$7,'STAF scores'!$F$10:$Y$10)),NA())</f>
        <v/>
      </c>
      <c r="H14" s="24">
        <f>SUMPRODUCT('STAF scores'!$F$10:$Y$10*(1-ISNUMBER('STAF scores'!F24:Y24)))</f>
        <v/>
      </c>
      <c r="I14" s="23">
        <f>IF(H14&gt;0,NA(),(E14+F14+G14)/3)</f>
        <v/>
      </c>
      <c r="J14" s="10">
        <f>IF(ISNUMBER(I14),IF(ROUND(I14,2)&lt;=0.39,"Non-Functioning",IF(ROUND(I14,2)&lt;=0.69,"Functioning-at-Risk","Functioning")),"")</f>
        <v/>
      </c>
      <c r="K14" s="25">
        <f>IF(ISNUMBER('STAF scores'!E24),'STAF scores'!E24,NA())</f>
        <v/>
      </c>
      <c r="L14" s="25">
        <f>I14*K14</f>
        <v/>
      </c>
    </row>
    <row r="15">
      <c r="B15" s="10">
        <f>'STAF scores'!B25</f>
        <v/>
      </c>
      <c r="C15" s="10">
        <f>'STAF scores'!C25</f>
        <v/>
      </c>
      <c r="D15" s="20">
        <f>'STAF scores'!D25</f>
        <v/>
      </c>
      <c r="E15" s="23">
        <f>IF(SUMPRODUCT('STAF scores'!$F$5:$Y$5,'STAF scores'!$F$10:$Y$10)&gt;0,SUMPRODUCT('STAF scores'!F25:Y25,'STAF scores'!$F$5:$Y$5,'STAF scores'!$F$10:$Y$10)/(15*SUMPRODUCT('STAF scores'!$F$5:$Y$5,'STAF scores'!$F$10:$Y$10)),NA())</f>
        <v/>
      </c>
      <c r="F15" s="23">
        <f>IF(SUMPRODUCT('STAF scores'!$F$6:$Y$6,'STAF scores'!$F$10:$Y$10)&gt;0,SUMPRODUCT('STAF scores'!F25:Y25,'STAF scores'!$F$6:$Y$6,'STAF scores'!$F$10:$Y$10)/(15*SUMPRODUCT('STAF scores'!$F$6:$Y$6,'STAF scores'!$F$10:$Y$10)),NA())</f>
        <v/>
      </c>
      <c r="G15" s="23">
        <f>IF(SUMPRODUCT('STAF scores'!$F$7:$Y$7,'STAF scores'!$F$10:$Y$10)&gt;0,SUMPRODUCT('STAF scores'!F25:Y25,'STAF scores'!$F$7:$Y$7,'STAF scores'!$F$10:$Y$10)/(15*SUMPRODUCT('STAF scores'!$F$7:$Y$7,'STAF scores'!$F$10:$Y$10)),NA())</f>
        <v/>
      </c>
      <c r="H15" s="24">
        <f>SUMPRODUCT('STAF scores'!$F$10:$Y$10*(1-ISNUMBER('STAF scores'!F25:Y25)))</f>
        <v/>
      </c>
      <c r="I15" s="23">
        <f>IF(H15&gt;0,NA(),(E15+F15+G15)/3)</f>
        <v/>
      </c>
      <c r="J15" s="10">
        <f>IF(ISNUMBER(I15),IF(ROUND(I15,2)&lt;=0.39,"Non-Functioning",IF(ROUND(I15,2)&lt;=0.69,"Functioning-at-Risk","Functioning")),"")</f>
        <v/>
      </c>
      <c r="K15" s="25">
        <f>IF(ISNUMBER('STAF scores'!E25),'STAF scores'!E25,NA())</f>
        <v/>
      </c>
      <c r="L15" s="25">
        <f>I15*K15</f>
        <v/>
      </c>
    </row>
    <row r="16">
      <c r="B16" s="10">
        <f>'STAF scores'!B26</f>
        <v/>
      </c>
      <c r="C16" s="10">
        <f>'STAF scores'!C26</f>
        <v/>
      </c>
      <c r="D16" s="20">
        <f>'STAF scores'!D26</f>
        <v/>
      </c>
      <c r="E16" s="23">
        <f>IF(SUMPRODUCT('STAF scores'!$F$5:$Y$5,'STAF scores'!$F$10:$Y$10)&gt;0,SUMPRODUCT('STAF scores'!F26:Y26,'STAF scores'!$F$5:$Y$5,'STAF scores'!$F$10:$Y$10)/(15*SUMPRODUCT('STAF scores'!$F$5:$Y$5,'STAF scores'!$F$10:$Y$10)),NA())</f>
        <v/>
      </c>
      <c r="F16" s="23">
        <f>IF(SUMPRODUCT('STAF scores'!$F$6:$Y$6,'STAF scores'!$F$10:$Y$10)&gt;0,SUMPRODUCT('STAF scores'!F26:Y26,'STAF scores'!$F$6:$Y$6,'STAF scores'!$F$10:$Y$10)/(15*SUMPRODUCT('STAF scores'!$F$6:$Y$6,'STAF scores'!$F$10:$Y$10)),NA())</f>
        <v/>
      </c>
      <c r="G16" s="23">
        <f>IF(SUMPRODUCT('STAF scores'!$F$7:$Y$7,'STAF scores'!$F$10:$Y$10)&gt;0,SUMPRODUCT('STAF scores'!F26:Y26,'STAF scores'!$F$7:$Y$7,'STAF scores'!$F$10:$Y$10)/(15*SUMPRODUCT('STAF scores'!$F$7:$Y$7,'STAF scores'!$F$10:$Y$10)),NA())</f>
        <v/>
      </c>
      <c r="H16" s="24">
        <f>SUMPRODUCT('STAF scores'!$F$10:$Y$10*(1-ISNUMBER('STAF scores'!F26:Y26)))</f>
        <v/>
      </c>
      <c r="I16" s="23">
        <f>IF(H16&gt;0,NA(),(E16+F16+G16)/3)</f>
        <v/>
      </c>
      <c r="J16" s="10">
        <f>IF(ISNUMBER(I16),IF(ROUND(I16,2)&lt;=0.39,"Non-Functioning",IF(ROUND(I16,2)&lt;=0.69,"Functioning-at-Risk","Functioning")),"")</f>
        <v/>
      </c>
      <c r="K16" s="25">
        <f>IF(ISNUMBER('STAF scores'!E26),'STAF scores'!E26,NA())</f>
        <v/>
      </c>
      <c r="L16" s="25">
        <f>I16*K16</f>
        <v/>
      </c>
    </row>
    <row r="17">
      <c r="B17" s="10">
        <f>'STAF scores'!B27</f>
        <v/>
      </c>
      <c r="C17" s="10">
        <f>'STAF scores'!C27</f>
        <v/>
      </c>
      <c r="D17" s="20">
        <f>'STAF scores'!D27</f>
        <v/>
      </c>
      <c r="E17" s="23">
        <f>IF(SUMPRODUCT('STAF scores'!$F$5:$Y$5,'STAF scores'!$F$10:$Y$10)&gt;0,SUMPRODUCT('STAF scores'!F27:Y27,'STAF scores'!$F$5:$Y$5,'STAF scores'!$F$10:$Y$10)/(15*SUMPRODUCT('STAF scores'!$F$5:$Y$5,'STAF scores'!$F$10:$Y$10)),NA())</f>
        <v/>
      </c>
      <c r="F17" s="23">
        <f>IF(SUMPRODUCT('STAF scores'!$F$6:$Y$6,'STAF scores'!$F$10:$Y$10)&gt;0,SUMPRODUCT('STAF scores'!F27:Y27,'STAF scores'!$F$6:$Y$6,'STAF scores'!$F$10:$Y$10)/(15*SUMPRODUCT('STAF scores'!$F$6:$Y$6,'STAF scores'!$F$10:$Y$10)),NA())</f>
        <v/>
      </c>
      <c r="G17" s="23">
        <f>IF(SUMPRODUCT('STAF scores'!$F$7:$Y$7,'STAF scores'!$F$10:$Y$10)&gt;0,SUMPRODUCT('STAF scores'!F27:Y27,'STAF scores'!$F$7:$Y$7,'STAF scores'!$F$10:$Y$10)/(15*SUMPRODUCT('STAF scores'!$F$7:$Y$7,'STAF scores'!$F$10:$Y$10)),NA())</f>
        <v/>
      </c>
      <c r="H17" s="24">
        <f>SUMPRODUCT('STAF scores'!$F$10:$Y$10*(1-ISNUMBER('STAF scores'!F27:Y27)))</f>
        <v/>
      </c>
      <c r="I17" s="23">
        <f>IF(H17&gt;0,NA(),(E17+F17+G17)/3)</f>
        <v/>
      </c>
      <c r="J17" s="10">
        <f>IF(ISNUMBER(I17),IF(ROUND(I17,2)&lt;=0.39,"Non-Functioning",IF(ROUND(I17,2)&lt;=0.69,"Functioning-at-Risk","Functioning")),"")</f>
        <v/>
      </c>
      <c r="K17" s="25">
        <f>IF(ISNUMBER('STAF scores'!E27),'STAF scores'!E27,NA())</f>
        <v/>
      </c>
      <c r="L17" s="25">
        <f>I17*K17</f>
        <v/>
      </c>
    </row>
    <row r="18">
      <c r="B18" s="10">
        <f>'STAF scores'!B28</f>
        <v/>
      </c>
      <c r="C18" s="10">
        <f>'STAF scores'!C28</f>
        <v/>
      </c>
      <c r="D18" s="20">
        <f>'STAF scores'!D28</f>
        <v/>
      </c>
      <c r="E18" s="23">
        <f>IF(SUMPRODUCT('STAF scores'!$F$5:$Y$5,'STAF scores'!$F$10:$Y$10)&gt;0,SUMPRODUCT('STAF scores'!F28:Y28,'STAF scores'!$F$5:$Y$5,'STAF scores'!$F$10:$Y$10)/(15*SUMPRODUCT('STAF scores'!$F$5:$Y$5,'STAF scores'!$F$10:$Y$10)),NA())</f>
        <v/>
      </c>
      <c r="F18" s="23">
        <f>IF(SUMPRODUCT('STAF scores'!$F$6:$Y$6,'STAF scores'!$F$10:$Y$10)&gt;0,SUMPRODUCT('STAF scores'!F28:Y28,'STAF scores'!$F$6:$Y$6,'STAF scores'!$F$10:$Y$10)/(15*SUMPRODUCT('STAF scores'!$F$6:$Y$6,'STAF scores'!$F$10:$Y$10)),NA())</f>
        <v/>
      </c>
      <c r="G18" s="23">
        <f>IF(SUMPRODUCT('STAF scores'!$F$7:$Y$7,'STAF scores'!$F$10:$Y$10)&gt;0,SUMPRODUCT('STAF scores'!F28:Y28,'STAF scores'!$F$7:$Y$7,'STAF scores'!$F$10:$Y$10)/(15*SUMPRODUCT('STAF scores'!$F$7:$Y$7,'STAF scores'!$F$10:$Y$10)),NA())</f>
        <v/>
      </c>
      <c r="H18" s="24">
        <f>SUMPRODUCT('STAF scores'!$F$10:$Y$10*(1-ISNUMBER('STAF scores'!F28:Y28)))</f>
        <v/>
      </c>
      <c r="I18" s="23">
        <f>IF(H18&gt;0,NA(),(E18+F18+G18)/3)</f>
        <v/>
      </c>
      <c r="J18" s="10">
        <f>IF(ISNUMBER(I18),IF(ROUND(I18,2)&lt;=0.39,"Non-Functioning",IF(ROUND(I18,2)&lt;=0.69,"Functioning-at-Risk","Functioning")),"")</f>
        <v/>
      </c>
      <c r="K18" s="25">
        <f>IF(ISNUMBER('STAF scores'!E28),'STAF scores'!E28,NA())</f>
        <v/>
      </c>
      <c r="L18" s="25">
        <f>I18*K18</f>
        <v/>
      </c>
    </row>
    <row r="19">
      <c r="B19" s="10">
        <f>'STAF scores'!B29</f>
        <v/>
      </c>
      <c r="C19" s="10">
        <f>'STAF scores'!C29</f>
        <v/>
      </c>
      <c r="D19" s="20">
        <f>'STAF scores'!D29</f>
        <v/>
      </c>
      <c r="E19" s="23">
        <f>IF(SUMPRODUCT('STAF scores'!$F$5:$Y$5,'STAF scores'!$F$10:$Y$10)&gt;0,SUMPRODUCT('STAF scores'!F29:Y29,'STAF scores'!$F$5:$Y$5,'STAF scores'!$F$10:$Y$10)/(15*SUMPRODUCT('STAF scores'!$F$5:$Y$5,'STAF scores'!$F$10:$Y$10)),NA())</f>
        <v/>
      </c>
      <c r="F19" s="23">
        <f>IF(SUMPRODUCT('STAF scores'!$F$6:$Y$6,'STAF scores'!$F$10:$Y$10)&gt;0,SUMPRODUCT('STAF scores'!F29:Y29,'STAF scores'!$F$6:$Y$6,'STAF scores'!$F$10:$Y$10)/(15*SUMPRODUCT('STAF scores'!$F$6:$Y$6,'STAF scores'!$F$10:$Y$10)),NA())</f>
        <v/>
      </c>
      <c r="G19" s="23">
        <f>IF(SUMPRODUCT('STAF scores'!$F$7:$Y$7,'STAF scores'!$F$10:$Y$10)&gt;0,SUMPRODUCT('STAF scores'!F29:Y29,'STAF scores'!$F$7:$Y$7,'STAF scores'!$F$10:$Y$10)/(15*SUMPRODUCT('STAF scores'!$F$7:$Y$7,'STAF scores'!$F$10:$Y$10)),NA())</f>
        <v/>
      </c>
      <c r="H19" s="24">
        <f>SUMPRODUCT('STAF scores'!$F$10:$Y$10*(1-ISNUMBER('STAF scores'!F29:Y29)))</f>
        <v/>
      </c>
      <c r="I19" s="23">
        <f>IF(H19&gt;0,NA(),(E19+F19+G19)/3)</f>
        <v/>
      </c>
      <c r="J19" s="10">
        <f>IF(ISNUMBER(I19),IF(ROUND(I19,2)&lt;=0.39,"Non-Functioning",IF(ROUND(I19,2)&lt;=0.69,"Functioning-at-Risk","Functioning")),"")</f>
        <v/>
      </c>
      <c r="K19" s="25">
        <f>IF(ISNUMBER('STAF scores'!E29),'STAF scores'!E29,NA())</f>
        <v/>
      </c>
      <c r="L19" s="25">
        <f>I19*K19</f>
        <v/>
      </c>
    </row>
    <row r="20">
      <c r="B20" s="10">
        <f>'STAF scores'!B30</f>
        <v/>
      </c>
      <c r="C20" s="10">
        <f>'STAF scores'!C30</f>
        <v/>
      </c>
      <c r="D20" s="20">
        <f>'STAF scores'!D30</f>
        <v/>
      </c>
      <c r="E20" s="23">
        <f>IF(SUMPRODUCT('STAF scores'!$F$5:$Y$5,'STAF scores'!$F$10:$Y$10)&gt;0,SUMPRODUCT('STAF scores'!F30:Y30,'STAF scores'!$F$5:$Y$5,'STAF scores'!$F$10:$Y$10)/(15*SUMPRODUCT('STAF scores'!$F$5:$Y$5,'STAF scores'!$F$10:$Y$10)),NA())</f>
        <v/>
      </c>
      <c r="F20" s="23">
        <f>IF(SUMPRODUCT('STAF scores'!$F$6:$Y$6,'STAF scores'!$F$10:$Y$10)&gt;0,SUMPRODUCT('STAF scores'!F30:Y30,'STAF scores'!$F$6:$Y$6,'STAF scores'!$F$10:$Y$10)/(15*SUMPRODUCT('STAF scores'!$F$6:$Y$6,'STAF scores'!$F$10:$Y$10)),NA())</f>
        <v/>
      </c>
      <c r="G20" s="23">
        <f>IF(SUMPRODUCT('STAF scores'!$F$7:$Y$7,'STAF scores'!$F$10:$Y$10)&gt;0,SUMPRODUCT('STAF scores'!F30:Y30,'STAF scores'!$F$7:$Y$7,'STAF scores'!$F$10:$Y$10)/(15*SUMPRODUCT('STAF scores'!$F$7:$Y$7,'STAF scores'!$F$10:$Y$10)),NA())</f>
        <v/>
      </c>
      <c r="H20" s="24">
        <f>SUMPRODUCT('STAF scores'!$F$10:$Y$10*(1-ISNUMBER('STAF scores'!F30:Y30)))</f>
        <v/>
      </c>
      <c r="I20" s="23">
        <f>IF(H20&gt;0,NA(),(E20+F20+G20)/3)</f>
        <v/>
      </c>
      <c r="J20" s="10">
        <f>IF(ISNUMBER(I20),IF(ROUND(I20,2)&lt;=0.39,"Non-Functioning",IF(ROUND(I20,2)&lt;=0.69,"Functioning-at-Risk","Functioning")),"")</f>
        <v/>
      </c>
      <c r="K20" s="25">
        <f>IF(ISNUMBER('STAF scores'!E30),'STAF scores'!E30,NA())</f>
        <v/>
      </c>
      <c r="L20" s="25">
        <f>I20*K20</f>
        <v/>
      </c>
    </row>
    <row r="21">
      <c r="B21" s="10">
        <f>'STAF scores'!B31</f>
        <v/>
      </c>
      <c r="C21" s="10">
        <f>'STAF scores'!C31</f>
        <v/>
      </c>
      <c r="D21" s="20">
        <f>'STAF scores'!D31</f>
        <v/>
      </c>
      <c r="E21" s="23">
        <f>IF(SUMPRODUCT('STAF scores'!$F$5:$Y$5,'STAF scores'!$F$10:$Y$10)&gt;0,SUMPRODUCT('STAF scores'!F31:Y31,'STAF scores'!$F$5:$Y$5,'STAF scores'!$F$10:$Y$10)/(15*SUMPRODUCT('STAF scores'!$F$5:$Y$5,'STAF scores'!$F$10:$Y$10)),NA())</f>
        <v/>
      </c>
      <c r="F21" s="23">
        <f>IF(SUMPRODUCT('STAF scores'!$F$6:$Y$6,'STAF scores'!$F$10:$Y$10)&gt;0,SUMPRODUCT('STAF scores'!F31:Y31,'STAF scores'!$F$6:$Y$6,'STAF scores'!$F$10:$Y$10)/(15*SUMPRODUCT('STAF scores'!$F$6:$Y$6,'STAF scores'!$F$10:$Y$10)),NA())</f>
        <v/>
      </c>
      <c r="G21" s="23">
        <f>IF(SUMPRODUCT('STAF scores'!$F$7:$Y$7,'STAF scores'!$F$10:$Y$10)&gt;0,SUMPRODUCT('STAF scores'!F31:Y31,'STAF scores'!$F$7:$Y$7,'STAF scores'!$F$10:$Y$10)/(15*SUMPRODUCT('STAF scores'!$F$7:$Y$7,'STAF scores'!$F$10:$Y$10)),NA())</f>
        <v/>
      </c>
      <c r="H21" s="24">
        <f>SUMPRODUCT('STAF scores'!$F$10:$Y$10*(1-ISNUMBER('STAF scores'!F31:Y31)))</f>
        <v/>
      </c>
      <c r="I21" s="23">
        <f>IF(H21&gt;0,NA(),(E21+F21+G21)/3)</f>
        <v/>
      </c>
      <c r="J21" s="10">
        <f>IF(ISNUMBER(I21),IF(ROUND(I21,2)&lt;=0.39,"Non-Functioning",IF(ROUND(I21,2)&lt;=0.69,"Functioning-at-Risk","Functioning")),"")</f>
        <v/>
      </c>
      <c r="K21" s="25">
        <f>IF(ISNUMBER('STAF scores'!E31),'STAF scores'!E31,NA())</f>
        <v/>
      </c>
      <c r="L21" s="25">
        <f>I21*K21</f>
        <v/>
      </c>
    </row>
    <row r="22">
      <c r="B22" s="10">
        <f>'STAF scores'!B32</f>
        <v/>
      </c>
      <c r="C22" s="10">
        <f>'STAF scores'!C32</f>
        <v/>
      </c>
      <c r="D22" s="20">
        <f>'STAF scores'!D32</f>
        <v/>
      </c>
      <c r="E22" s="23">
        <f>IF(SUMPRODUCT('STAF scores'!$F$5:$Y$5,'STAF scores'!$F$10:$Y$10)&gt;0,SUMPRODUCT('STAF scores'!F32:Y32,'STAF scores'!$F$5:$Y$5,'STAF scores'!$F$10:$Y$10)/(15*SUMPRODUCT('STAF scores'!$F$5:$Y$5,'STAF scores'!$F$10:$Y$10)),NA())</f>
        <v/>
      </c>
      <c r="F22" s="23">
        <f>IF(SUMPRODUCT('STAF scores'!$F$6:$Y$6,'STAF scores'!$F$10:$Y$10)&gt;0,SUMPRODUCT('STAF scores'!F32:Y32,'STAF scores'!$F$6:$Y$6,'STAF scores'!$F$10:$Y$10)/(15*SUMPRODUCT('STAF scores'!$F$6:$Y$6,'STAF scores'!$F$10:$Y$10)),NA())</f>
        <v/>
      </c>
      <c r="G22" s="23">
        <f>IF(SUMPRODUCT('STAF scores'!$F$7:$Y$7,'STAF scores'!$F$10:$Y$10)&gt;0,SUMPRODUCT('STAF scores'!F32:Y32,'STAF scores'!$F$7:$Y$7,'STAF scores'!$F$10:$Y$10)/(15*SUMPRODUCT('STAF scores'!$F$7:$Y$7,'STAF scores'!$F$10:$Y$10)),NA())</f>
        <v/>
      </c>
      <c r="H22" s="24">
        <f>SUMPRODUCT('STAF scores'!$F$10:$Y$10*(1-ISNUMBER('STAF scores'!F32:Y32)))</f>
        <v/>
      </c>
      <c r="I22" s="23">
        <f>IF(H22&gt;0,NA(),(E22+F22+G22)/3)</f>
        <v/>
      </c>
      <c r="J22" s="10">
        <f>IF(ISNUMBER(I22),IF(ROUND(I22,2)&lt;=0.39,"Non-Functioning",IF(ROUND(I22,2)&lt;=0.69,"Functioning-at-Risk","Functioning")),"")</f>
        <v/>
      </c>
      <c r="K22" s="25">
        <f>IF(ISNUMBER('STAF scores'!E32),'STAF scores'!E32,NA())</f>
        <v/>
      </c>
      <c r="L22" s="25">
        <f>I22*K22</f>
        <v/>
      </c>
    </row>
    <row r="23">
      <c r="B23" s="10">
        <f>'STAF scores'!B33</f>
        <v/>
      </c>
      <c r="C23" s="10">
        <f>'STAF scores'!C33</f>
        <v/>
      </c>
      <c r="D23" s="20">
        <f>'STAF scores'!D33</f>
        <v/>
      </c>
      <c r="E23" s="23">
        <f>IF(SUMPRODUCT('STAF scores'!$F$5:$Y$5,'STAF scores'!$F$10:$Y$10)&gt;0,SUMPRODUCT('STAF scores'!F33:Y33,'STAF scores'!$F$5:$Y$5,'STAF scores'!$F$10:$Y$10)/(15*SUMPRODUCT('STAF scores'!$F$5:$Y$5,'STAF scores'!$F$10:$Y$10)),NA())</f>
        <v/>
      </c>
      <c r="F23" s="23">
        <f>IF(SUMPRODUCT('STAF scores'!$F$6:$Y$6,'STAF scores'!$F$10:$Y$10)&gt;0,SUMPRODUCT('STAF scores'!F33:Y33,'STAF scores'!$F$6:$Y$6,'STAF scores'!$F$10:$Y$10)/(15*SUMPRODUCT('STAF scores'!$F$6:$Y$6,'STAF scores'!$F$10:$Y$10)),NA())</f>
        <v/>
      </c>
      <c r="G23" s="23">
        <f>IF(SUMPRODUCT('STAF scores'!$F$7:$Y$7,'STAF scores'!$F$10:$Y$10)&gt;0,SUMPRODUCT('STAF scores'!F33:Y33,'STAF scores'!$F$7:$Y$7,'STAF scores'!$F$10:$Y$10)/(15*SUMPRODUCT('STAF scores'!$F$7:$Y$7,'STAF scores'!$F$10:$Y$10)),NA())</f>
        <v/>
      </c>
      <c r="H23" s="24">
        <f>SUMPRODUCT('STAF scores'!$F$10:$Y$10*(1-ISNUMBER('STAF scores'!F33:Y33)))</f>
        <v/>
      </c>
      <c r="I23" s="23">
        <f>IF(H23&gt;0,NA(),(E23+F23+G23)/3)</f>
        <v/>
      </c>
      <c r="J23" s="10">
        <f>IF(ISNUMBER(I23),IF(ROUND(I23,2)&lt;=0.39,"Non-Functioning",IF(ROUND(I23,2)&lt;=0.69,"Functioning-at-Risk","Functioning")),"")</f>
        <v/>
      </c>
      <c r="K23" s="25">
        <f>IF(ISNUMBER('STAF scores'!E33),'STAF scores'!E33,NA())</f>
        <v/>
      </c>
      <c r="L23" s="25">
        <f>I23*K23</f>
        <v/>
      </c>
    </row>
    <row r="24">
      <c r="B24" s="10">
        <f>'STAF scores'!B34</f>
        <v/>
      </c>
      <c r="C24" s="10">
        <f>'STAF scores'!C34</f>
        <v/>
      </c>
      <c r="D24" s="20">
        <f>'STAF scores'!D34</f>
        <v/>
      </c>
      <c r="E24" s="23">
        <f>IF(SUMPRODUCT('STAF scores'!$F$5:$Y$5,'STAF scores'!$F$10:$Y$10)&gt;0,SUMPRODUCT('STAF scores'!F34:Y34,'STAF scores'!$F$5:$Y$5,'STAF scores'!$F$10:$Y$10)/(15*SUMPRODUCT('STAF scores'!$F$5:$Y$5,'STAF scores'!$F$10:$Y$10)),NA())</f>
        <v/>
      </c>
      <c r="F24" s="23">
        <f>IF(SUMPRODUCT('STAF scores'!$F$6:$Y$6,'STAF scores'!$F$10:$Y$10)&gt;0,SUMPRODUCT('STAF scores'!F34:Y34,'STAF scores'!$F$6:$Y$6,'STAF scores'!$F$10:$Y$10)/(15*SUMPRODUCT('STAF scores'!$F$6:$Y$6,'STAF scores'!$F$10:$Y$10)),NA())</f>
        <v/>
      </c>
      <c r="G24" s="23">
        <f>IF(SUMPRODUCT('STAF scores'!$F$7:$Y$7,'STAF scores'!$F$10:$Y$10)&gt;0,SUMPRODUCT('STAF scores'!F34:Y34,'STAF scores'!$F$7:$Y$7,'STAF scores'!$F$10:$Y$10)/(15*SUMPRODUCT('STAF scores'!$F$7:$Y$7,'STAF scores'!$F$10:$Y$10)),NA())</f>
        <v/>
      </c>
      <c r="H24" s="24">
        <f>SUMPRODUCT('STAF scores'!$F$10:$Y$10*(1-ISNUMBER('STAF scores'!F34:Y34)))</f>
        <v/>
      </c>
      <c r="I24" s="23">
        <f>IF(H24&gt;0,NA(),(E24+F24+G24)/3)</f>
        <v/>
      </c>
      <c r="J24" s="10">
        <f>IF(ISNUMBER(I24),IF(ROUND(I24,2)&lt;=0.39,"Non-Functioning",IF(ROUND(I24,2)&lt;=0.69,"Functioning-at-Risk","Functioning")),"")</f>
        <v/>
      </c>
      <c r="K24" s="25">
        <f>IF(ISNUMBER('STAF scores'!E34),'STAF scores'!E34,NA())</f>
        <v/>
      </c>
      <c r="L24" s="25">
        <f>I24*K24</f>
        <v/>
      </c>
    </row>
    <row r="25">
      <c r="B25" s="10">
        <f>'STAF scores'!B35</f>
        <v/>
      </c>
      <c r="C25" s="10">
        <f>'STAF scores'!C35</f>
        <v/>
      </c>
      <c r="D25" s="20">
        <f>'STAF scores'!D35</f>
        <v/>
      </c>
      <c r="E25" s="23">
        <f>IF(SUMPRODUCT('STAF scores'!$F$5:$Y$5,'STAF scores'!$F$10:$Y$10)&gt;0,SUMPRODUCT('STAF scores'!F35:Y35,'STAF scores'!$F$5:$Y$5,'STAF scores'!$F$10:$Y$10)/(15*SUMPRODUCT('STAF scores'!$F$5:$Y$5,'STAF scores'!$F$10:$Y$10)),NA())</f>
        <v/>
      </c>
      <c r="F25" s="23">
        <f>IF(SUMPRODUCT('STAF scores'!$F$6:$Y$6,'STAF scores'!$F$10:$Y$10)&gt;0,SUMPRODUCT('STAF scores'!F35:Y35,'STAF scores'!$F$6:$Y$6,'STAF scores'!$F$10:$Y$10)/(15*SUMPRODUCT('STAF scores'!$F$6:$Y$6,'STAF scores'!$F$10:$Y$10)),NA())</f>
        <v/>
      </c>
      <c r="G25" s="23">
        <f>IF(SUMPRODUCT('STAF scores'!$F$7:$Y$7,'STAF scores'!$F$10:$Y$10)&gt;0,SUMPRODUCT('STAF scores'!F35:Y35,'STAF scores'!$F$7:$Y$7,'STAF scores'!$F$10:$Y$10)/(15*SUMPRODUCT('STAF scores'!$F$7:$Y$7,'STAF scores'!$F$10:$Y$10)),NA())</f>
        <v/>
      </c>
      <c r="H25" s="24">
        <f>SUMPRODUCT('STAF scores'!$F$10:$Y$10*(1-ISNUMBER('STAF scores'!F35:Y35)))</f>
        <v/>
      </c>
      <c r="I25" s="23">
        <f>IF(H25&gt;0,NA(),(E25+F25+G25)/3)</f>
        <v/>
      </c>
      <c r="J25" s="10">
        <f>IF(ISNUMBER(I25),IF(ROUND(I25,2)&lt;=0.39,"Non-Functioning",IF(ROUND(I25,2)&lt;=0.69,"Functioning-at-Risk","Functioning")),"")</f>
        <v/>
      </c>
      <c r="K25" s="25">
        <f>IF(ISNUMBER('STAF scores'!E35),'STAF scores'!E35,NA())</f>
        <v/>
      </c>
      <c r="L25" s="25">
        <f>I25*K25</f>
        <v/>
      </c>
    </row>
    <row r="26">
      <c r="B26" s="10">
        <f>'STAF scores'!B36</f>
        <v/>
      </c>
      <c r="C26" s="10">
        <f>'STAF scores'!C36</f>
        <v/>
      </c>
      <c r="D26" s="20">
        <f>'STAF scores'!D36</f>
        <v/>
      </c>
      <c r="E26" s="23">
        <f>IF(SUMPRODUCT('STAF scores'!$F$5:$Y$5,'STAF scores'!$F$10:$Y$10)&gt;0,SUMPRODUCT('STAF scores'!F36:Y36,'STAF scores'!$F$5:$Y$5,'STAF scores'!$F$10:$Y$10)/(15*SUMPRODUCT('STAF scores'!$F$5:$Y$5,'STAF scores'!$F$10:$Y$10)),NA())</f>
        <v/>
      </c>
      <c r="F26" s="23">
        <f>IF(SUMPRODUCT('STAF scores'!$F$6:$Y$6,'STAF scores'!$F$10:$Y$10)&gt;0,SUMPRODUCT('STAF scores'!F36:Y36,'STAF scores'!$F$6:$Y$6,'STAF scores'!$F$10:$Y$10)/(15*SUMPRODUCT('STAF scores'!$F$6:$Y$6,'STAF scores'!$F$10:$Y$10)),NA())</f>
        <v/>
      </c>
      <c r="G26" s="23">
        <f>IF(SUMPRODUCT('STAF scores'!$F$7:$Y$7,'STAF scores'!$F$10:$Y$10)&gt;0,SUMPRODUCT('STAF scores'!F36:Y36,'STAF scores'!$F$7:$Y$7,'STAF scores'!$F$10:$Y$10)/(15*SUMPRODUCT('STAF scores'!$F$7:$Y$7,'STAF scores'!$F$10:$Y$10)),NA())</f>
        <v/>
      </c>
      <c r="H26" s="24">
        <f>SUMPRODUCT('STAF scores'!$F$10:$Y$10*(1-ISNUMBER('STAF scores'!F36:Y36)))</f>
        <v/>
      </c>
      <c r="I26" s="23">
        <f>IF(H26&gt;0,NA(),(E26+F26+G26)/3)</f>
        <v/>
      </c>
      <c r="J26" s="10">
        <f>IF(ISNUMBER(I26),IF(ROUND(I26,2)&lt;=0.39,"Non-Functioning",IF(ROUND(I26,2)&lt;=0.69,"Functioning-at-Risk","Functioning")),"")</f>
        <v/>
      </c>
      <c r="K26" s="25">
        <f>IF(ISNUMBER('STAF scores'!E36),'STAF scores'!E36,NA())</f>
        <v/>
      </c>
      <c r="L26" s="25">
        <f>I26*K26</f>
        <v/>
      </c>
    </row>
    <row r="27">
      <c r="B27" s="10">
        <f>'STAF scores'!B37</f>
        <v/>
      </c>
      <c r="C27" s="10">
        <f>'STAF scores'!C37</f>
        <v/>
      </c>
      <c r="D27" s="20">
        <f>'STAF scores'!D37</f>
        <v/>
      </c>
      <c r="E27" s="23">
        <f>IF(SUMPRODUCT('STAF scores'!$F$5:$Y$5,'STAF scores'!$F$10:$Y$10)&gt;0,SUMPRODUCT('STAF scores'!F37:Y37,'STAF scores'!$F$5:$Y$5,'STAF scores'!$F$10:$Y$10)/(15*SUMPRODUCT('STAF scores'!$F$5:$Y$5,'STAF scores'!$F$10:$Y$10)),NA())</f>
        <v/>
      </c>
      <c r="F27" s="23">
        <f>IF(SUMPRODUCT('STAF scores'!$F$6:$Y$6,'STAF scores'!$F$10:$Y$10)&gt;0,SUMPRODUCT('STAF scores'!F37:Y37,'STAF scores'!$F$6:$Y$6,'STAF scores'!$F$10:$Y$10)/(15*SUMPRODUCT('STAF scores'!$F$6:$Y$6,'STAF scores'!$F$10:$Y$10)),NA())</f>
        <v/>
      </c>
      <c r="G27" s="23">
        <f>IF(SUMPRODUCT('STAF scores'!$F$7:$Y$7,'STAF scores'!$F$10:$Y$10)&gt;0,SUMPRODUCT('STAF scores'!F37:Y37,'STAF scores'!$F$7:$Y$7,'STAF scores'!$F$10:$Y$10)/(15*SUMPRODUCT('STAF scores'!$F$7:$Y$7,'STAF scores'!$F$10:$Y$10)),NA())</f>
        <v/>
      </c>
      <c r="H27" s="24">
        <f>SUMPRODUCT('STAF scores'!$F$10:$Y$10*(1-ISNUMBER('STAF scores'!F37:Y37)))</f>
        <v/>
      </c>
      <c r="I27" s="23">
        <f>IF(H27&gt;0,NA(),(E27+F27+G27)/3)</f>
        <v/>
      </c>
      <c r="J27" s="10">
        <f>IF(ISNUMBER(I27),IF(ROUND(I27,2)&lt;=0.39,"Non-Functioning",IF(ROUND(I27,2)&lt;=0.69,"Functioning-at-Risk","Functioning")),"")</f>
        <v/>
      </c>
      <c r="K27" s="25">
        <f>IF(ISNUMBER('STAF scores'!E37),'STAF scores'!E37,NA())</f>
        <v/>
      </c>
      <c r="L27" s="25">
        <f>I27*K27</f>
        <v/>
      </c>
    </row>
    <row r="28">
      <c r="B28" s="10">
        <f>'STAF scores'!B38</f>
        <v/>
      </c>
      <c r="C28" s="10">
        <f>'STAF scores'!C38</f>
        <v/>
      </c>
      <c r="D28" s="20">
        <f>'STAF scores'!D38</f>
        <v/>
      </c>
      <c r="E28" s="23">
        <f>IF(SUMPRODUCT('STAF scores'!$F$5:$Y$5,'STAF scores'!$F$10:$Y$10)&gt;0,SUMPRODUCT('STAF scores'!F38:Y38,'STAF scores'!$F$5:$Y$5,'STAF scores'!$F$10:$Y$10)/(15*SUMPRODUCT('STAF scores'!$F$5:$Y$5,'STAF scores'!$F$10:$Y$10)),NA())</f>
        <v/>
      </c>
      <c r="F28" s="23">
        <f>IF(SUMPRODUCT('STAF scores'!$F$6:$Y$6,'STAF scores'!$F$10:$Y$10)&gt;0,SUMPRODUCT('STAF scores'!F38:Y38,'STAF scores'!$F$6:$Y$6,'STAF scores'!$F$10:$Y$10)/(15*SUMPRODUCT('STAF scores'!$F$6:$Y$6,'STAF scores'!$F$10:$Y$10)),NA())</f>
        <v/>
      </c>
      <c r="G28" s="23">
        <f>IF(SUMPRODUCT('STAF scores'!$F$7:$Y$7,'STAF scores'!$F$10:$Y$10)&gt;0,SUMPRODUCT('STAF scores'!F38:Y38,'STAF scores'!$F$7:$Y$7,'STAF scores'!$F$10:$Y$10)/(15*SUMPRODUCT('STAF scores'!$F$7:$Y$7,'STAF scores'!$F$10:$Y$10)),NA())</f>
        <v/>
      </c>
      <c r="H28" s="24">
        <f>SUMPRODUCT('STAF scores'!$F$10:$Y$10*(1-ISNUMBER('STAF scores'!F38:Y38)))</f>
        <v/>
      </c>
      <c r="I28" s="23">
        <f>IF(H28&gt;0,NA(),(E28+F28+G28)/3)</f>
        <v/>
      </c>
      <c r="J28" s="10">
        <f>IF(ISNUMBER(I28),IF(ROUND(I28,2)&lt;=0.39,"Non-Functioning",IF(ROUND(I28,2)&lt;=0.69,"Functioning-at-Risk","Functioning")),"")</f>
        <v/>
      </c>
      <c r="K28" s="25">
        <f>IF(ISNUMBER('STAF scores'!E38),'STAF scores'!E38,NA())</f>
        <v/>
      </c>
      <c r="L28" s="25">
        <f>I28*K28</f>
        <v/>
      </c>
    </row>
    <row r="29">
      <c r="B29" s="10">
        <f>'STAF scores'!B39</f>
        <v/>
      </c>
      <c r="C29" s="10">
        <f>'STAF scores'!C39</f>
        <v/>
      </c>
      <c r="D29" s="20">
        <f>'STAF scores'!D39</f>
        <v/>
      </c>
      <c r="E29" s="23">
        <f>IF(SUMPRODUCT('STAF scores'!$F$5:$Y$5,'STAF scores'!$F$11:$Y$11)&gt;0,SUMPRODUCT('STAF scores'!F39:Y39,'STAF scores'!$F$5:$Y$5,'STAF scores'!$F$11:$Y$11)/(15*SUMPRODUCT('STAF scores'!$F$5:$Y$5,'STAF scores'!$F$11:$Y$11)),NA())</f>
        <v/>
      </c>
      <c r="F29" s="23">
        <f>IF(SUMPRODUCT('STAF scores'!$F$6:$Y$6,'STAF scores'!$F$11:$Y$11)&gt;0,SUMPRODUCT('STAF scores'!F39:Y39,'STAF scores'!$F$6:$Y$6,'STAF scores'!$F$11:$Y$11)/(15*SUMPRODUCT('STAF scores'!$F$6:$Y$6,'STAF scores'!$F$11:$Y$11)),NA())</f>
        <v/>
      </c>
      <c r="G29" s="23">
        <f>IF(SUMPRODUCT('STAF scores'!$F$7:$Y$7,'STAF scores'!$F$11:$Y$11)&gt;0,SUMPRODUCT('STAF scores'!F39:Y39,'STAF scores'!$F$7:$Y$7,'STAF scores'!$F$11:$Y$11)/(15*SUMPRODUCT('STAF scores'!$F$7:$Y$7,'STAF scores'!$F$11:$Y$11)),NA())</f>
        <v/>
      </c>
      <c r="H29" s="24">
        <f>SUMPRODUCT('STAF scores'!$F$11:$Y$11*(1-ISNUMBER('STAF scores'!F39:Y39)))</f>
        <v/>
      </c>
      <c r="I29" s="23">
        <f>IF(H29&gt;0,NA(),(E29+F29+G29)/3)</f>
        <v/>
      </c>
      <c r="J29" s="10">
        <f>IF(ISNUMBER(I29),IF(ROUND(I29,2)&lt;=0.39,"Non-Functioning",IF(ROUND(I29,2)&lt;=0.69,"Functioning-at-Risk","Functioning")),"")</f>
        <v/>
      </c>
      <c r="K29" s="25">
        <f>IF(ISNUMBER('STAF scores'!E39),'STAF scores'!E39,NA())</f>
        <v/>
      </c>
      <c r="L29" s="25">
        <f>I29*K29</f>
        <v/>
      </c>
    </row>
    <row r="30">
      <c r="B30" s="10">
        <f>'STAF scores'!B40</f>
        <v/>
      </c>
      <c r="C30" s="10">
        <f>'STAF scores'!C40</f>
        <v/>
      </c>
      <c r="D30" s="20">
        <f>'STAF scores'!D40</f>
        <v/>
      </c>
      <c r="E30" s="23">
        <f>IF(SUMPRODUCT('STAF scores'!$F$5:$Y$5,'STAF scores'!$F$11:$Y$11)&gt;0,SUMPRODUCT('STAF scores'!F40:Y40,'STAF scores'!$F$5:$Y$5,'STAF scores'!$F$11:$Y$11)/(15*SUMPRODUCT('STAF scores'!$F$5:$Y$5,'STAF scores'!$F$11:$Y$11)),NA())</f>
        <v/>
      </c>
      <c r="F30" s="23">
        <f>IF(SUMPRODUCT('STAF scores'!$F$6:$Y$6,'STAF scores'!$F$11:$Y$11)&gt;0,SUMPRODUCT('STAF scores'!F40:Y40,'STAF scores'!$F$6:$Y$6,'STAF scores'!$F$11:$Y$11)/(15*SUMPRODUCT('STAF scores'!$F$6:$Y$6,'STAF scores'!$F$11:$Y$11)),NA())</f>
        <v/>
      </c>
      <c r="G30" s="23">
        <f>IF(SUMPRODUCT('STAF scores'!$F$7:$Y$7,'STAF scores'!$F$11:$Y$11)&gt;0,SUMPRODUCT('STAF scores'!F40:Y40,'STAF scores'!$F$7:$Y$7,'STAF scores'!$F$11:$Y$11)/(15*SUMPRODUCT('STAF scores'!$F$7:$Y$7,'STAF scores'!$F$11:$Y$11)),NA())</f>
        <v/>
      </c>
      <c r="H30" s="24">
        <f>SUMPRODUCT('STAF scores'!$F$11:$Y$11*(1-ISNUMBER('STAF scores'!F40:Y40)))</f>
        <v/>
      </c>
      <c r="I30" s="23">
        <f>IF(H30&gt;0,NA(),(E30+F30+G30)/3)</f>
        <v/>
      </c>
      <c r="J30" s="10">
        <f>IF(ISNUMBER(I30),IF(ROUND(I30,2)&lt;=0.39,"Non-Functioning",IF(ROUND(I30,2)&lt;=0.69,"Functioning-at-Risk","Functioning")),"")</f>
        <v/>
      </c>
      <c r="K30" s="25">
        <f>IF(ISNUMBER('STAF scores'!E40),'STAF scores'!E40,NA())</f>
        <v/>
      </c>
      <c r="L30" s="25">
        <f>I30*K30</f>
        <v/>
      </c>
    </row>
    <row r="31">
      <c r="B31" s="10">
        <f>'STAF scores'!B41</f>
        <v/>
      </c>
      <c r="C31" s="10">
        <f>'STAF scores'!C41</f>
        <v/>
      </c>
      <c r="D31" s="20">
        <f>'STAF scores'!D41</f>
        <v/>
      </c>
      <c r="E31" s="23">
        <f>IF(SUMPRODUCT('STAF scores'!$F$5:$Y$5,'STAF scores'!$F$11:$Y$11)&gt;0,SUMPRODUCT('STAF scores'!F41:Y41,'STAF scores'!$F$5:$Y$5,'STAF scores'!$F$11:$Y$11)/(15*SUMPRODUCT('STAF scores'!$F$5:$Y$5,'STAF scores'!$F$11:$Y$11)),NA())</f>
        <v/>
      </c>
      <c r="F31" s="23">
        <f>IF(SUMPRODUCT('STAF scores'!$F$6:$Y$6,'STAF scores'!$F$11:$Y$11)&gt;0,SUMPRODUCT('STAF scores'!F41:Y41,'STAF scores'!$F$6:$Y$6,'STAF scores'!$F$11:$Y$11)/(15*SUMPRODUCT('STAF scores'!$F$6:$Y$6,'STAF scores'!$F$11:$Y$11)),NA())</f>
        <v/>
      </c>
      <c r="G31" s="23">
        <f>IF(SUMPRODUCT('STAF scores'!$F$7:$Y$7,'STAF scores'!$F$11:$Y$11)&gt;0,SUMPRODUCT('STAF scores'!F41:Y41,'STAF scores'!$F$7:$Y$7,'STAF scores'!$F$11:$Y$11)/(15*SUMPRODUCT('STAF scores'!$F$7:$Y$7,'STAF scores'!$F$11:$Y$11)),NA())</f>
        <v/>
      </c>
      <c r="H31" s="24">
        <f>SUMPRODUCT('STAF scores'!$F$11:$Y$11*(1-ISNUMBER('STAF scores'!F41:Y41)))</f>
        <v/>
      </c>
      <c r="I31" s="23">
        <f>IF(H31&gt;0,NA(),(E31+F31+G31)/3)</f>
        <v/>
      </c>
      <c r="J31" s="10">
        <f>IF(ISNUMBER(I31),IF(ROUND(I31,2)&lt;=0.39,"Non-Functioning",IF(ROUND(I31,2)&lt;=0.69,"Functioning-at-Risk","Functioning")),"")</f>
        <v/>
      </c>
      <c r="K31" s="25">
        <f>IF(ISNUMBER('STAF scores'!E41),'STAF scores'!E41,NA())</f>
        <v/>
      </c>
      <c r="L31" s="25">
        <f>I31*K31</f>
        <v/>
      </c>
    </row>
    <row r="32">
      <c r="B32" s="10">
        <f>'STAF scores'!B42</f>
        <v/>
      </c>
      <c r="C32" s="10">
        <f>'STAF scores'!C42</f>
        <v/>
      </c>
      <c r="D32" s="20">
        <f>'STAF scores'!D42</f>
        <v/>
      </c>
      <c r="E32" s="23">
        <f>IF(SUMPRODUCT('STAF scores'!$F$5:$Y$5,'STAF scores'!$F$11:$Y$11)&gt;0,SUMPRODUCT('STAF scores'!F42:Y42,'STAF scores'!$F$5:$Y$5,'STAF scores'!$F$11:$Y$11)/(15*SUMPRODUCT('STAF scores'!$F$5:$Y$5,'STAF scores'!$F$11:$Y$11)),NA())</f>
        <v/>
      </c>
      <c r="F32" s="23">
        <f>IF(SUMPRODUCT('STAF scores'!$F$6:$Y$6,'STAF scores'!$F$11:$Y$11)&gt;0,SUMPRODUCT('STAF scores'!F42:Y42,'STAF scores'!$F$6:$Y$6,'STAF scores'!$F$11:$Y$11)/(15*SUMPRODUCT('STAF scores'!$F$6:$Y$6,'STAF scores'!$F$11:$Y$11)),NA())</f>
        <v/>
      </c>
      <c r="G32" s="23">
        <f>IF(SUMPRODUCT('STAF scores'!$F$7:$Y$7,'STAF scores'!$F$11:$Y$11)&gt;0,SUMPRODUCT('STAF scores'!F42:Y42,'STAF scores'!$F$7:$Y$7,'STAF scores'!$F$11:$Y$11)/(15*SUMPRODUCT('STAF scores'!$F$7:$Y$7,'STAF scores'!$F$11:$Y$11)),NA())</f>
        <v/>
      </c>
      <c r="H32" s="24">
        <f>SUMPRODUCT('STAF scores'!$F$11:$Y$11*(1-ISNUMBER('STAF scores'!F42:Y42)))</f>
        <v/>
      </c>
      <c r="I32" s="23">
        <f>IF(H32&gt;0,NA(),(E32+F32+G32)/3)</f>
        <v/>
      </c>
      <c r="J32" s="10">
        <f>IF(ISNUMBER(I32),IF(ROUND(I32,2)&lt;=0.39,"Non-Functioning",IF(ROUND(I32,2)&lt;=0.69,"Functioning-at-Risk","Functioning")),"")</f>
        <v/>
      </c>
      <c r="K32" s="25">
        <f>IF(ISNUMBER('STAF scores'!E42),'STAF scores'!E42,NA())</f>
        <v/>
      </c>
      <c r="L32" s="25">
        <f>I32*K32</f>
        <v/>
      </c>
    </row>
    <row r="33">
      <c r="B33" s="10">
        <f>'STAF scores'!B43</f>
        <v/>
      </c>
      <c r="C33" s="10">
        <f>'STAF scores'!C43</f>
        <v/>
      </c>
      <c r="D33" s="20">
        <f>'STAF scores'!D43</f>
        <v/>
      </c>
      <c r="E33" s="23">
        <f>IF(SUMPRODUCT('STAF scores'!$F$5:$Y$5,'STAF scores'!$F$11:$Y$11)&gt;0,SUMPRODUCT('STAF scores'!F43:Y43,'STAF scores'!$F$5:$Y$5,'STAF scores'!$F$11:$Y$11)/(15*SUMPRODUCT('STAF scores'!$F$5:$Y$5,'STAF scores'!$F$11:$Y$11)),NA())</f>
        <v/>
      </c>
      <c r="F33" s="23">
        <f>IF(SUMPRODUCT('STAF scores'!$F$6:$Y$6,'STAF scores'!$F$11:$Y$11)&gt;0,SUMPRODUCT('STAF scores'!F43:Y43,'STAF scores'!$F$6:$Y$6,'STAF scores'!$F$11:$Y$11)/(15*SUMPRODUCT('STAF scores'!$F$6:$Y$6,'STAF scores'!$F$11:$Y$11)),NA())</f>
        <v/>
      </c>
      <c r="G33" s="23">
        <f>IF(SUMPRODUCT('STAF scores'!$F$7:$Y$7,'STAF scores'!$F$11:$Y$11)&gt;0,SUMPRODUCT('STAF scores'!F43:Y43,'STAF scores'!$F$7:$Y$7,'STAF scores'!$F$11:$Y$11)/(15*SUMPRODUCT('STAF scores'!$F$7:$Y$7,'STAF scores'!$F$11:$Y$11)),NA())</f>
        <v/>
      </c>
      <c r="H33" s="24">
        <f>SUMPRODUCT('STAF scores'!$F$11:$Y$11*(1-ISNUMBER('STAF scores'!F43:Y43)))</f>
        <v/>
      </c>
      <c r="I33" s="23">
        <f>IF(H33&gt;0,NA(),(E33+F33+G33)/3)</f>
        <v/>
      </c>
      <c r="J33" s="10">
        <f>IF(ISNUMBER(I33),IF(ROUND(I33,2)&lt;=0.39,"Non-Functioning",IF(ROUND(I33,2)&lt;=0.69,"Functioning-at-Risk","Functioning")),"")</f>
        <v/>
      </c>
      <c r="K33" s="25">
        <f>IF(ISNUMBER('STAF scores'!E43),'STAF scores'!E43,NA())</f>
        <v/>
      </c>
      <c r="L33" s="25">
        <f>I33*K33</f>
        <v/>
      </c>
    </row>
    <row r="34">
      <c r="B34" s="10">
        <f>'STAF scores'!B44</f>
        <v/>
      </c>
      <c r="C34" s="10">
        <f>'STAF scores'!C44</f>
        <v/>
      </c>
      <c r="D34" s="20">
        <f>'STAF scores'!D44</f>
        <v/>
      </c>
      <c r="E34" s="23">
        <f>IF(SUMPRODUCT('STAF scores'!$F$5:$Y$5,'STAF scores'!$F$11:$Y$11)&gt;0,SUMPRODUCT('STAF scores'!F44:Y44,'STAF scores'!$F$5:$Y$5,'STAF scores'!$F$11:$Y$11)/(15*SUMPRODUCT('STAF scores'!$F$5:$Y$5,'STAF scores'!$F$11:$Y$11)),NA())</f>
        <v/>
      </c>
      <c r="F34" s="23">
        <f>IF(SUMPRODUCT('STAF scores'!$F$6:$Y$6,'STAF scores'!$F$11:$Y$11)&gt;0,SUMPRODUCT('STAF scores'!F44:Y44,'STAF scores'!$F$6:$Y$6,'STAF scores'!$F$11:$Y$11)/(15*SUMPRODUCT('STAF scores'!$F$6:$Y$6,'STAF scores'!$F$11:$Y$11)),NA())</f>
        <v/>
      </c>
      <c r="G34" s="23">
        <f>IF(SUMPRODUCT('STAF scores'!$F$7:$Y$7,'STAF scores'!$F$11:$Y$11)&gt;0,SUMPRODUCT('STAF scores'!F44:Y44,'STAF scores'!$F$7:$Y$7,'STAF scores'!$F$11:$Y$11)/(15*SUMPRODUCT('STAF scores'!$F$7:$Y$7,'STAF scores'!$F$11:$Y$11)),NA())</f>
        <v/>
      </c>
      <c r="H34" s="24">
        <f>SUMPRODUCT('STAF scores'!$F$11:$Y$11*(1-ISNUMBER('STAF scores'!F44:Y44)))</f>
        <v/>
      </c>
      <c r="I34" s="23">
        <f>IF(H34&gt;0,NA(),(E34+F34+G34)/3)</f>
        <v/>
      </c>
      <c r="J34" s="10">
        <f>IF(ISNUMBER(I34),IF(ROUND(I34,2)&lt;=0.39,"Non-Functioning",IF(ROUND(I34,2)&lt;=0.69,"Functioning-at-Risk","Functioning")),"")</f>
        <v/>
      </c>
      <c r="K34" s="25">
        <f>IF(ISNUMBER('STAF scores'!E44),'STAF scores'!E44,NA())</f>
        <v/>
      </c>
      <c r="L34" s="25">
        <f>I34*K34</f>
        <v/>
      </c>
    </row>
    <row r="35">
      <c r="B35" s="10">
        <f>'STAF scores'!B45</f>
        <v/>
      </c>
      <c r="C35" s="10">
        <f>'STAF scores'!C45</f>
        <v/>
      </c>
      <c r="D35" s="20">
        <f>'STAF scores'!D45</f>
        <v/>
      </c>
      <c r="E35" s="23">
        <f>IF(SUMPRODUCT('STAF scores'!$F$5:$Y$5,'STAF scores'!$F$11:$Y$11)&gt;0,SUMPRODUCT('STAF scores'!F45:Y45,'STAF scores'!$F$5:$Y$5,'STAF scores'!$F$11:$Y$11)/(15*SUMPRODUCT('STAF scores'!$F$5:$Y$5,'STAF scores'!$F$11:$Y$11)),NA())</f>
        <v/>
      </c>
      <c r="F35" s="23">
        <f>IF(SUMPRODUCT('STAF scores'!$F$6:$Y$6,'STAF scores'!$F$11:$Y$11)&gt;0,SUMPRODUCT('STAF scores'!F45:Y45,'STAF scores'!$F$6:$Y$6,'STAF scores'!$F$11:$Y$11)/(15*SUMPRODUCT('STAF scores'!$F$6:$Y$6,'STAF scores'!$F$11:$Y$11)),NA())</f>
        <v/>
      </c>
      <c r="G35" s="23">
        <f>IF(SUMPRODUCT('STAF scores'!$F$7:$Y$7,'STAF scores'!$F$11:$Y$11)&gt;0,SUMPRODUCT('STAF scores'!F45:Y45,'STAF scores'!$F$7:$Y$7,'STAF scores'!$F$11:$Y$11)/(15*SUMPRODUCT('STAF scores'!$F$7:$Y$7,'STAF scores'!$F$11:$Y$11)),NA())</f>
        <v/>
      </c>
      <c r="H35" s="24">
        <f>SUMPRODUCT('STAF scores'!$F$11:$Y$11*(1-ISNUMBER('STAF scores'!F45:Y45)))</f>
        <v/>
      </c>
      <c r="I35" s="23">
        <f>IF(H35&gt;0,NA(),(E35+F35+G35)/3)</f>
        <v/>
      </c>
      <c r="J35" s="10">
        <f>IF(ISNUMBER(I35),IF(ROUND(I35,2)&lt;=0.39,"Non-Functioning",IF(ROUND(I35,2)&lt;=0.69,"Functioning-at-Risk","Functioning")),"")</f>
        <v/>
      </c>
      <c r="K35" s="25">
        <f>IF(ISNUMBER('STAF scores'!E45),'STAF scores'!E45,NA())</f>
        <v/>
      </c>
      <c r="L35" s="25">
        <f>I35*K35</f>
        <v/>
      </c>
    </row>
    <row r="36">
      <c r="B36" s="10">
        <f>'STAF scores'!B46</f>
        <v/>
      </c>
      <c r="C36" s="10">
        <f>'STAF scores'!C46</f>
        <v/>
      </c>
      <c r="D36" s="20">
        <f>'STAF scores'!D46</f>
        <v/>
      </c>
      <c r="E36" s="23">
        <f>IF(SUMPRODUCT('STAF scores'!$F$5:$Y$5,'STAF scores'!$F$11:$Y$11)&gt;0,SUMPRODUCT('STAF scores'!F46:Y46,'STAF scores'!$F$5:$Y$5,'STAF scores'!$F$11:$Y$11)/(15*SUMPRODUCT('STAF scores'!$F$5:$Y$5,'STAF scores'!$F$11:$Y$11)),NA())</f>
        <v/>
      </c>
      <c r="F36" s="23">
        <f>IF(SUMPRODUCT('STAF scores'!$F$6:$Y$6,'STAF scores'!$F$11:$Y$11)&gt;0,SUMPRODUCT('STAF scores'!F46:Y46,'STAF scores'!$F$6:$Y$6,'STAF scores'!$F$11:$Y$11)/(15*SUMPRODUCT('STAF scores'!$F$6:$Y$6,'STAF scores'!$F$11:$Y$11)),NA())</f>
        <v/>
      </c>
      <c r="G36" s="23">
        <f>IF(SUMPRODUCT('STAF scores'!$F$7:$Y$7,'STAF scores'!$F$11:$Y$11)&gt;0,SUMPRODUCT('STAF scores'!F46:Y46,'STAF scores'!$F$7:$Y$7,'STAF scores'!$F$11:$Y$11)/(15*SUMPRODUCT('STAF scores'!$F$7:$Y$7,'STAF scores'!$F$11:$Y$11)),NA())</f>
        <v/>
      </c>
      <c r="H36" s="24">
        <f>SUMPRODUCT('STAF scores'!$F$11:$Y$11*(1-ISNUMBER('STAF scores'!F46:Y46)))</f>
        <v/>
      </c>
      <c r="I36" s="23">
        <f>IF(H36&gt;0,NA(),(E36+F36+G36)/3)</f>
        <v/>
      </c>
      <c r="J36" s="10">
        <f>IF(ISNUMBER(I36),IF(ROUND(I36,2)&lt;=0.39,"Non-Functioning",IF(ROUND(I36,2)&lt;=0.69,"Functioning-at-Risk","Functioning")),"")</f>
        <v/>
      </c>
      <c r="K36" s="25">
        <f>IF(ISNUMBER('STAF scores'!E46),'STAF scores'!E46,NA())</f>
        <v/>
      </c>
      <c r="L36" s="25">
        <f>I36*K36</f>
        <v/>
      </c>
    </row>
    <row r="37">
      <c r="B37" s="10">
        <f>'STAF scores'!B47</f>
        <v/>
      </c>
      <c r="C37" s="10">
        <f>'STAF scores'!C47</f>
        <v/>
      </c>
      <c r="D37" s="20">
        <f>'STAF scores'!D47</f>
        <v/>
      </c>
      <c r="E37" s="23">
        <f>IF(SUMPRODUCT('STAF scores'!$F$5:$Y$5,'STAF scores'!$F$11:$Y$11)&gt;0,SUMPRODUCT('STAF scores'!F47:Y47,'STAF scores'!$F$5:$Y$5,'STAF scores'!$F$11:$Y$11)/(15*SUMPRODUCT('STAF scores'!$F$5:$Y$5,'STAF scores'!$F$11:$Y$11)),NA())</f>
        <v/>
      </c>
      <c r="F37" s="23">
        <f>IF(SUMPRODUCT('STAF scores'!$F$6:$Y$6,'STAF scores'!$F$11:$Y$11)&gt;0,SUMPRODUCT('STAF scores'!F47:Y47,'STAF scores'!$F$6:$Y$6,'STAF scores'!$F$11:$Y$11)/(15*SUMPRODUCT('STAF scores'!$F$6:$Y$6,'STAF scores'!$F$11:$Y$11)),NA())</f>
        <v/>
      </c>
      <c r="G37" s="23">
        <f>IF(SUMPRODUCT('STAF scores'!$F$7:$Y$7,'STAF scores'!$F$11:$Y$11)&gt;0,SUMPRODUCT('STAF scores'!F47:Y47,'STAF scores'!$F$7:$Y$7,'STAF scores'!$F$11:$Y$11)/(15*SUMPRODUCT('STAF scores'!$F$7:$Y$7,'STAF scores'!$F$11:$Y$11)),NA())</f>
        <v/>
      </c>
      <c r="H37" s="24">
        <f>SUMPRODUCT('STAF scores'!$F$11:$Y$11*(1-ISNUMBER('STAF scores'!F47:Y47)))</f>
        <v/>
      </c>
      <c r="I37" s="23">
        <f>IF(H37&gt;0,NA(),(E37+F37+G37)/3)</f>
        <v/>
      </c>
      <c r="J37" s="10">
        <f>IF(ISNUMBER(I37),IF(ROUND(I37,2)&lt;=0.39,"Non-Functioning",IF(ROUND(I37,2)&lt;=0.69,"Functioning-at-Risk","Functioning")),"")</f>
        <v/>
      </c>
      <c r="K37" s="25">
        <f>IF(ISNUMBER('STAF scores'!E47),'STAF scores'!E47,NA())</f>
        <v/>
      </c>
      <c r="L37" s="25">
        <f>I37*K37</f>
        <v/>
      </c>
    </row>
    <row r="38">
      <c r="B38" s="10">
        <f>'STAF scores'!B48</f>
        <v/>
      </c>
      <c r="C38" s="10">
        <f>'STAF scores'!C48</f>
        <v/>
      </c>
      <c r="D38" s="20">
        <f>'STAF scores'!D48</f>
        <v/>
      </c>
      <c r="E38" s="23">
        <f>IF(SUMPRODUCT('STAF scores'!$F$5:$Y$5,'STAF scores'!$F$11:$Y$11)&gt;0,SUMPRODUCT('STAF scores'!F48:Y48,'STAF scores'!$F$5:$Y$5,'STAF scores'!$F$11:$Y$11)/(15*SUMPRODUCT('STAF scores'!$F$5:$Y$5,'STAF scores'!$F$11:$Y$11)),NA())</f>
        <v/>
      </c>
      <c r="F38" s="23">
        <f>IF(SUMPRODUCT('STAF scores'!$F$6:$Y$6,'STAF scores'!$F$11:$Y$11)&gt;0,SUMPRODUCT('STAF scores'!F48:Y48,'STAF scores'!$F$6:$Y$6,'STAF scores'!$F$11:$Y$11)/(15*SUMPRODUCT('STAF scores'!$F$6:$Y$6,'STAF scores'!$F$11:$Y$11)),NA())</f>
        <v/>
      </c>
      <c r="G38" s="23">
        <f>IF(SUMPRODUCT('STAF scores'!$F$7:$Y$7,'STAF scores'!$F$11:$Y$11)&gt;0,SUMPRODUCT('STAF scores'!F48:Y48,'STAF scores'!$F$7:$Y$7,'STAF scores'!$F$11:$Y$11)/(15*SUMPRODUCT('STAF scores'!$F$7:$Y$7,'STAF scores'!$F$11:$Y$11)),NA())</f>
        <v/>
      </c>
      <c r="H38" s="24">
        <f>SUMPRODUCT('STAF scores'!$F$11:$Y$11*(1-ISNUMBER('STAF scores'!F48:Y48)))</f>
        <v/>
      </c>
      <c r="I38" s="23">
        <f>IF(H38&gt;0,NA(),(E38+F38+G38)/3)</f>
        <v/>
      </c>
      <c r="J38" s="10">
        <f>IF(ISNUMBER(I38),IF(ROUND(I38,2)&lt;=0.39,"Non-Functioning",IF(ROUND(I38,2)&lt;=0.69,"Functioning-at-Risk","Functioning")),"")</f>
        <v/>
      </c>
      <c r="K38" s="25">
        <f>IF(ISNUMBER('STAF scores'!E48),'STAF scores'!E48,NA())</f>
        <v/>
      </c>
      <c r="L38" s="25">
        <f>I38*K38</f>
        <v/>
      </c>
    </row>
    <row r="39">
      <c r="B39" s="10">
        <f>'STAF scores'!B49</f>
        <v/>
      </c>
      <c r="C39" s="10">
        <f>'STAF scores'!C49</f>
        <v/>
      </c>
      <c r="D39" s="20">
        <f>'STAF scores'!D49</f>
        <v/>
      </c>
      <c r="E39" s="23">
        <f>IF(SUMPRODUCT('STAF scores'!$F$5:$Y$5,'STAF scores'!$F$11:$Y$11)&gt;0,SUMPRODUCT('STAF scores'!F49:Y49,'STAF scores'!$F$5:$Y$5,'STAF scores'!$F$11:$Y$11)/(15*SUMPRODUCT('STAF scores'!$F$5:$Y$5,'STAF scores'!$F$11:$Y$11)),NA())</f>
        <v/>
      </c>
      <c r="F39" s="23">
        <f>IF(SUMPRODUCT('STAF scores'!$F$6:$Y$6,'STAF scores'!$F$11:$Y$11)&gt;0,SUMPRODUCT('STAF scores'!F49:Y49,'STAF scores'!$F$6:$Y$6,'STAF scores'!$F$11:$Y$11)/(15*SUMPRODUCT('STAF scores'!$F$6:$Y$6,'STAF scores'!$F$11:$Y$11)),NA())</f>
        <v/>
      </c>
      <c r="G39" s="23">
        <f>IF(SUMPRODUCT('STAF scores'!$F$7:$Y$7,'STAF scores'!$F$11:$Y$11)&gt;0,SUMPRODUCT('STAF scores'!F49:Y49,'STAF scores'!$F$7:$Y$7,'STAF scores'!$F$11:$Y$11)/(15*SUMPRODUCT('STAF scores'!$F$7:$Y$7,'STAF scores'!$F$11:$Y$11)),NA())</f>
        <v/>
      </c>
      <c r="H39" s="24">
        <f>SUMPRODUCT('STAF scores'!$F$11:$Y$11*(1-ISNUMBER('STAF scores'!F49:Y49)))</f>
        <v/>
      </c>
      <c r="I39" s="23">
        <f>IF(H39&gt;0,NA(),(E39+F39+G39)/3)</f>
        <v/>
      </c>
      <c r="J39" s="10">
        <f>IF(ISNUMBER(I39),IF(ROUND(I39,2)&lt;=0.39,"Non-Functioning",IF(ROUND(I39,2)&lt;=0.69,"Functioning-at-Risk","Functioning")),"")</f>
        <v/>
      </c>
      <c r="K39" s="25">
        <f>IF(ISNUMBER('STAF scores'!E49),'STAF scores'!E49,NA())</f>
        <v/>
      </c>
      <c r="L39" s="25">
        <f>I39*K39</f>
        <v/>
      </c>
    </row>
    <row r="40">
      <c r="B40" s="10">
        <f>'STAF scores'!B50</f>
        <v/>
      </c>
      <c r="C40" s="10">
        <f>'STAF scores'!C50</f>
        <v/>
      </c>
      <c r="D40" s="20">
        <f>'STAF scores'!D50</f>
        <v/>
      </c>
      <c r="E40" s="23">
        <f>IF(SUMPRODUCT('STAF scores'!$F$5:$Y$5,'STAF scores'!$F$11:$Y$11)&gt;0,SUMPRODUCT('STAF scores'!F50:Y50,'STAF scores'!$F$5:$Y$5,'STAF scores'!$F$11:$Y$11)/(15*SUMPRODUCT('STAF scores'!$F$5:$Y$5,'STAF scores'!$F$11:$Y$11)),NA())</f>
        <v/>
      </c>
      <c r="F40" s="23">
        <f>IF(SUMPRODUCT('STAF scores'!$F$6:$Y$6,'STAF scores'!$F$11:$Y$11)&gt;0,SUMPRODUCT('STAF scores'!F50:Y50,'STAF scores'!$F$6:$Y$6,'STAF scores'!$F$11:$Y$11)/(15*SUMPRODUCT('STAF scores'!$F$6:$Y$6,'STAF scores'!$F$11:$Y$11)),NA())</f>
        <v/>
      </c>
      <c r="G40" s="23">
        <f>IF(SUMPRODUCT('STAF scores'!$F$7:$Y$7,'STAF scores'!$F$11:$Y$11)&gt;0,SUMPRODUCT('STAF scores'!F50:Y50,'STAF scores'!$F$7:$Y$7,'STAF scores'!$F$11:$Y$11)/(15*SUMPRODUCT('STAF scores'!$F$7:$Y$7,'STAF scores'!$F$11:$Y$11)),NA())</f>
        <v/>
      </c>
      <c r="H40" s="24">
        <f>SUMPRODUCT('STAF scores'!$F$11:$Y$11*(1-ISNUMBER('STAF scores'!F50:Y50)))</f>
        <v/>
      </c>
      <c r="I40" s="23">
        <f>IF(H40&gt;0,NA(),(E40+F40+G40)/3)</f>
        <v/>
      </c>
      <c r="J40" s="10">
        <f>IF(ISNUMBER(I40),IF(ROUND(I40,2)&lt;=0.39,"Non-Functioning",IF(ROUND(I40,2)&lt;=0.69,"Functioning-at-Risk","Functioning")),"")</f>
        <v/>
      </c>
      <c r="K40" s="25">
        <f>IF(ISNUMBER('STAF scores'!E50),'STAF scores'!E50,NA())</f>
        <v/>
      </c>
      <c r="L40" s="25">
        <f>I40*K40</f>
        <v/>
      </c>
    </row>
    <row r="41">
      <c r="B41" s="10">
        <f>'STAF scores'!B51</f>
        <v/>
      </c>
      <c r="C41" s="10">
        <f>'STAF scores'!C51</f>
        <v/>
      </c>
      <c r="D41" s="20">
        <f>'STAF scores'!D51</f>
        <v/>
      </c>
      <c r="E41" s="23">
        <f>IF(SUMPRODUCT('STAF scores'!$F$5:$Y$5,'STAF scores'!$F$11:$Y$11)&gt;0,SUMPRODUCT('STAF scores'!F51:Y51,'STAF scores'!$F$5:$Y$5,'STAF scores'!$F$11:$Y$11)/(15*SUMPRODUCT('STAF scores'!$F$5:$Y$5,'STAF scores'!$F$11:$Y$11)),NA())</f>
        <v/>
      </c>
      <c r="F41" s="23">
        <f>IF(SUMPRODUCT('STAF scores'!$F$6:$Y$6,'STAF scores'!$F$11:$Y$11)&gt;0,SUMPRODUCT('STAF scores'!F51:Y51,'STAF scores'!$F$6:$Y$6,'STAF scores'!$F$11:$Y$11)/(15*SUMPRODUCT('STAF scores'!$F$6:$Y$6,'STAF scores'!$F$11:$Y$11)),NA())</f>
        <v/>
      </c>
      <c r="G41" s="23">
        <f>IF(SUMPRODUCT('STAF scores'!$F$7:$Y$7,'STAF scores'!$F$11:$Y$11)&gt;0,SUMPRODUCT('STAF scores'!F51:Y51,'STAF scores'!$F$7:$Y$7,'STAF scores'!$F$11:$Y$11)/(15*SUMPRODUCT('STAF scores'!$F$7:$Y$7,'STAF scores'!$F$11:$Y$11)),NA())</f>
        <v/>
      </c>
      <c r="H41" s="24">
        <f>SUMPRODUCT('STAF scores'!$F$11:$Y$11*(1-ISNUMBER('STAF scores'!F51:Y51)))</f>
        <v/>
      </c>
      <c r="I41" s="23">
        <f>IF(H41&gt;0,NA(),(E41+F41+G41)/3)</f>
        <v/>
      </c>
      <c r="J41" s="10">
        <f>IF(ISNUMBER(I41),IF(ROUND(I41,2)&lt;=0.39,"Non-Functioning",IF(ROUND(I41,2)&lt;=0.69,"Functioning-at-Risk","Functioning")),"")</f>
        <v/>
      </c>
      <c r="K41" s="25">
        <f>IF(ISNUMBER('STAF scores'!E51),'STAF scores'!E51,NA())</f>
        <v/>
      </c>
      <c r="L41" s="25">
        <f>I41*K41</f>
        <v/>
      </c>
    </row>
    <row r="42">
      <c r="B42" s="10">
        <f>'STAF scores'!B52</f>
        <v/>
      </c>
      <c r="C42" s="10">
        <f>'STAF scores'!C52</f>
        <v/>
      </c>
      <c r="D42" s="20">
        <f>'STAF scores'!D52</f>
        <v/>
      </c>
      <c r="E42" s="23">
        <f>IF(SUMPRODUCT('STAF scores'!$F$5:$Y$5,'STAF scores'!$F$11:$Y$11)&gt;0,SUMPRODUCT('STAF scores'!F52:Y52,'STAF scores'!$F$5:$Y$5,'STAF scores'!$F$11:$Y$11)/(15*SUMPRODUCT('STAF scores'!$F$5:$Y$5,'STAF scores'!$F$11:$Y$11)),NA())</f>
        <v/>
      </c>
      <c r="F42" s="23">
        <f>IF(SUMPRODUCT('STAF scores'!$F$6:$Y$6,'STAF scores'!$F$11:$Y$11)&gt;0,SUMPRODUCT('STAF scores'!F52:Y52,'STAF scores'!$F$6:$Y$6,'STAF scores'!$F$11:$Y$11)/(15*SUMPRODUCT('STAF scores'!$F$6:$Y$6,'STAF scores'!$F$11:$Y$11)),NA())</f>
        <v/>
      </c>
      <c r="G42" s="23">
        <f>IF(SUMPRODUCT('STAF scores'!$F$7:$Y$7,'STAF scores'!$F$11:$Y$11)&gt;0,SUMPRODUCT('STAF scores'!F52:Y52,'STAF scores'!$F$7:$Y$7,'STAF scores'!$F$11:$Y$11)/(15*SUMPRODUCT('STAF scores'!$F$7:$Y$7,'STAF scores'!$F$11:$Y$11)),NA())</f>
        <v/>
      </c>
      <c r="H42" s="24">
        <f>SUMPRODUCT('STAF scores'!$F$11:$Y$11*(1-ISNUMBER('STAF scores'!F52:Y52)))</f>
        <v/>
      </c>
      <c r="I42" s="23">
        <f>IF(H42&gt;0,NA(),(E42+F42+G42)/3)</f>
        <v/>
      </c>
      <c r="J42" s="10">
        <f>IF(ISNUMBER(I42),IF(ROUND(I42,2)&lt;=0.39,"Non-Functioning",IF(ROUND(I42,2)&lt;=0.69,"Functioning-at-Risk","Functioning")),"")</f>
        <v/>
      </c>
      <c r="K42" s="25">
        <f>IF(ISNUMBER('STAF scores'!E52),'STAF scores'!E52,NA())</f>
        <v/>
      </c>
      <c r="L42" s="25">
        <f>I42*K42</f>
        <v/>
      </c>
    </row>
    <row r="43">
      <c r="B43" s="10">
        <f>'STAF scores'!B53</f>
        <v/>
      </c>
      <c r="C43" s="10">
        <f>'STAF scores'!C53</f>
        <v/>
      </c>
      <c r="D43" s="20">
        <f>'STAF scores'!D53</f>
        <v/>
      </c>
      <c r="E43" s="23">
        <f>IF(SUMPRODUCT('STAF scores'!$F$5:$Y$5,'STAF scores'!$F$11:$Y$11)&gt;0,SUMPRODUCT('STAF scores'!F53:Y53,'STAF scores'!$F$5:$Y$5,'STAF scores'!$F$11:$Y$11)/(15*SUMPRODUCT('STAF scores'!$F$5:$Y$5,'STAF scores'!$F$11:$Y$11)),NA())</f>
        <v/>
      </c>
      <c r="F43" s="23">
        <f>IF(SUMPRODUCT('STAF scores'!$F$6:$Y$6,'STAF scores'!$F$11:$Y$11)&gt;0,SUMPRODUCT('STAF scores'!F53:Y53,'STAF scores'!$F$6:$Y$6,'STAF scores'!$F$11:$Y$11)/(15*SUMPRODUCT('STAF scores'!$F$6:$Y$6,'STAF scores'!$F$11:$Y$11)),NA())</f>
        <v/>
      </c>
      <c r="G43" s="23">
        <f>IF(SUMPRODUCT('STAF scores'!$F$7:$Y$7,'STAF scores'!$F$11:$Y$11)&gt;0,SUMPRODUCT('STAF scores'!F53:Y53,'STAF scores'!$F$7:$Y$7,'STAF scores'!$F$11:$Y$11)/(15*SUMPRODUCT('STAF scores'!$F$7:$Y$7,'STAF scores'!$F$11:$Y$11)),NA())</f>
        <v/>
      </c>
      <c r="H43" s="24">
        <f>SUMPRODUCT('STAF scores'!$F$11:$Y$11*(1-ISNUMBER('STAF scores'!F53:Y53)))</f>
        <v/>
      </c>
      <c r="I43" s="23">
        <f>IF(H43&gt;0,NA(),(E43+F43+G43)/3)</f>
        <v/>
      </c>
      <c r="J43" s="10">
        <f>IF(ISNUMBER(I43),IF(ROUND(I43,2)&lt;=0.39,"Non-Functioning",IF(ROUND(I43,2)&lt;=0.69,"Functioning-at-Risk","Functioning")),"")</f>
        <v/>
      </c>
      <c r="K43" s="25">
        <f>IF(ISNUMBER('STAF scores'!E53),'STAF scores'!E53,NA())</f>
        <v/>
      </c>
      <c r="L43" s="25">
        <f>I43*K43</f>
        <v/>
      </c>
    </row>
    <row r="44">
      <c r="B44" s="10">
        <f>'STAF scores'!B54</f>
        <v/>
      </c>
      <c r="C44" s="10">
        <f>'STAF scores'!C54</f>
        <v/>
      </c>
      <c r="D44" s="20">
        <f>'STAF scores'!D54</f>
        <v/>
      </c>
      <c r="E44" s="23">
        <f>IF(SUMPRODUCT('STAF scores'!$F$5:$Y$5,'STAF scores'!$F$11:$Y$11)&gt;0,SUMPRODUCT('STAF scores'!F54:Y54,'STAF scores'!$F$5:$Y$5,'STAF scores'!$F$11:$Y$11)/(15*SUMPRODUCT('STAF scores'!$F$5:$Y$5,'STAF scores'!$F$11:$Y$11)),NA())</f>
        <v/>
      </c>
      <c r="F44" s="23">
        <f>IF(SUMPRODUCT('STAF scores'!$F$6:$Y$6,'STAF scores'!$F$11:$Y$11)&gt;0,SUMPRODUCT('STAF scores'!F54:Y54,'STAF scores'!$F$6:$Y$6,'STAF scores'!$F$11:$Y$11)/(15*SUMPRODUCT('STAF scores'!$F$6:$Y$6,'STAF scores'!$F$11:$Y$11)),NA())</f>
        <v/>
      </c>
      <c r="G44" s="23">
        <f>IF(SUMPRODUCT('STAF scores'!$F$7:$Y$7,'STAF scores'!$F$11:$Y$11)&gt;0,SUMPRODUCT('STAF scores'!F54:Y54,'STAF scores'!$F$7:$Y$7,'STAF scores'!$F$11:$Y$11)/(15*SUMPRODUCT('STAF scores'!$F$7:$Y$7,'STAF scores'!$F$11:$Y$11)),NA())</f>
        <v/>
      </c>
      <c r="H44" s="24">
        <f>SUMPRODUCT('STAF scores'!$F$11:$Y$11*(1-ISNUMBER('STAF scores'!F54:Y54)))</f>
        <v/>
      </c>
      <c r="I44" s="23">
        <f>IF(H44&gt;0,NA(),(E44+F44+G44)/3)</f>
        <v/>
      </c>
      <c r="J44" s="10">
        <f>IF(ISNUMBER(I44),IF(ROUND(I44,2)&lt;=0.39,"Non-Functioning",IF(ROUND(I44,2)&lt;=0.69,"Functioning-at-Risk","Functioning")),"")</f>
        <v/>
      </c>
      <c r="K44" s="25">
        <f>IF(ISNUMBER('STAF scores'!E54),'STAF scores'!E54,NA())</f>
        <v/>
      </c>
      <c r="L44" s="25">
        <f>I44*K44</f>
        <v/>
      </c>
    </row>
    <row r="45">
      <c r="B45" s="10">
        <f>'STAF scores'!B55</f>
        <v/>
      </c>
      <c r="C45" s="10">
        <f>'STAF scores'!C55</f>
        <v/>
      </c>
      <c r="D45" s="20">
        <f>'STAF scores'!D55</f>
        <v/>
      </c>
      <c r="E45" s="23">
        <f>IF(SUMPRODUCT('STAF scores'!$F$5:$Y$5,'STAF scores'!$F$11:$Y$11)&gt;0,SUMPRODUCT('STAF scores'!F55:Y55,'STAF scores'!$F$5:$Y$5,'STAF scores'!$F$11:$Y$11)/(15*SUMPRODUCT('STAF scores'!$F$5:$Y$5,'STAF scores'!$F$11:$Y$11)),NA())</f>
        <v/>
      </c>
      <c r="F45" s="23">
        <f>IF(SUMPRODUCT('STAF scores'!$F$6:$Y$6,'STAF scores'!$F$11:$Y$11)&gt;0,SUMPRODUCT('STAF scores'!F55:Y55,'STAF scores'!$F$6:$Y$6,'STAF scores'!$F$11:$Y$11)/(15*SUMPRODUCT('STAF scores'!$F$6:$Y$6,'STAF scores'!$F$11:$Y$11)),NA())</f>
        <v/>
      </c>
      <c r="G45" s="23">
        <f>IF(SUMPRODUCT('STAF scores'!$F$7:$Y$7,'STAF scores'!$F$11:$Y$11)&gt;0,SUMPRODUCT('STAF scores'!F55:Y55,'STAF scores'!$F$7:$Y$7,'STAF scores'!$F$11:$Y$11)/(15*SUMPRODUCT('STAF scores'!$F$7:$Y$7,'STAF scores'!$F$11:$Y$11)),NA())</f>
        <v/>
      </c>
      <c r="H45" s="24">
        <f>SUMPRODUCT('STAF scores'!$F$11:$Y$11*(1-ISNUMBER('STAF scores'!F55:Y55)))</f>
        <v/>
      </c>
      <c r="I45" s="23">
        <f>IF(H45&gt;0,NA(),(E45+F45+G45)/3)</f>
        <v/>
      </c>
      <c r="J45" s="10">
        <f>IF(ISNUMBER(I45),IF(ROUND(I45,2)&lt;=0.39,"Non-Functioning",IF(ROUND(I45,2)&lt;=0.69,"Functioning-at-Risk","Functioning")),"")</f>
        <v/>
      </c>
      <c r="K45" s="25">
        <f>IF(ISNUMBER('STAF scores'!E55),'STAF scores'!E55,NA())</f>
        <v/>
      </c>
      <c r="L45" s="25">
        <f>I45*K45</f>
        <v/>
      </c>
    </row>
    <row r="46">
      <c r="B46" s="10">
        <f>'STAF scores'!B56</f>
        <v/>
      </c>
      <c r="C46" s="10">
        <f>'STAF scores'!C56</f>
        <v/>
      </c>
      <c r="D46" s="20">
        <f>'STAF scores'!D56</f>
        <v/>
      </c>
      <c r="E46" s="23">
        <f>IF(SUMPRODUCT('STAF scores'!$F$5:$Y$5,'STAF scores'!$F$11:$Y$11)&gt;0,SUMPRODUCT('STAF scores'!F56:Y56,'STAF scores'!$F$5:$Y$5,'STAF scores'!$F$11:$Y$11)/(15*SUMPRODUCT('STAF scores'!$F$5:$Y$5,'STAF scores'!$F$11:$Y$11)),NA())</f>
        <v/>
      </c>
      <c r="F46" s="23">
        <f>IF(SUMPRODUCT('STAF scores'!$F$6:$Y$6,'STAF scores'!$F$11:$Y$11)&gt;0,SUMPRODUCT('STAF scores'!F56:Y56,'STAF scores'!$F$6:$Y$6,'STAF scores'!$F$11:$Y$11)/(15*SUMPRODUCT('STAF scores'!$F$6:$Y$6,'STAF scores'!$F$11:$Y$11)),NA())</f>
        <v/>
      </c>
      <c r="G46" s="23">
        <f>IF(SUMPRODUCT('STAF scores'!$F$7:$Y$7,'STAF scores'!$F$11:$Y$11)&gt;0,SUMPRODUCT('STAF scores'!F56:Y56,'STAF scores'!$F$7:$Y$7,'STAF scores'!$F$11:$Y$11)/(15*SUMPRODUCT('STAF scores'!$F$7:$Y$7,'STAF scores'!$F$11:$Y$11)),NA())</f>
        <v/>
      </c>
      <c r="H46" s="24">
        <f>SUMPRODUCT('STAF scores'!$F$11:$Y$11*(1-ISNUMBER('STAF scores'!F56:Y56)))</f>
        <v/>
      </c>
      <c r="I46" s="23">
        <f>IF(H46&gt;0,NA(),(E46+F46+G46)/3)</f>
        <v/>
      </c>
      <c r="J46" s="10">
        <f>IF(ISNUMBER(I46),IF(ROUND(I46,2)&lt;=0.39,"Non-Functioning",IF(ROUND(I46,2)&lt;=0.69,"Functioning-at-Risk","Functioning")),"")</f>
        <v/>
      </c>
      <c r="K46" s="25">
        <f>IF(ISNUMBER('STAF scores'!E56),'STAF scores'!E56,NA())</f>
        <v/>
      </c>
      <c r="L46" s="25">
        <f>I46*K46</f>
        <v/>
      </c>
    </row>
    <row r="47">
      <c r="B47" s="10">
        <f>'STAF scores'!B57</f>
        <v/>
      </c>
      <c r="C47" s="10">
        <f>'STAF scores'!C57</f>
        <v/>
      </c>
      <c r="D47" s="20">
        <f>'STAF scores'!D57</f>
        <v/>
      </c>
      <c r="E47" s="23">
        <f>IF(SUMPRODUCT('STAF scores'!$F$5:$Y$5,'STAF scores'!$F$12:$Y$12)&gt;0,SUMPRODUCT('STAF scores'!F57:Y57,'STAF scores'!$F$5:$Y$5,'STAF scores'!$F$12:$Y$12)/(15*SUMPRODUCT('STAF scores'!$F$5:$Y$5,'STAF scores'!$F$12:$Y$12)),NA())</f>
        <v/>
      </c>
      <c r="F47" s="23">
        <f>IF(SUMPRODUCT('STAF scores'!$F$6:$Y$6,'STAF scores'!$F$12:$Y$12)&gt;0,SUMPRODUCT('STAF scores'!F57:Y57,'STAF scores'!$F$6:$Y$6,'STAF scores'!$F$12:$Y$12)/(15*SUMPRODUCT('STAF scores'!$F$6:$Y$6,'STAF scores'!$F$12:$Y$12)),NA())</f>
        <v/>
      </c>
      <c r="G47" s="23">
        <f>IF(SUMPRODUCT('STAF scores'!$F$7:$Y$7,'STAF scores'!$F$12:$Y$12)&gt;0,SUMPRODUCT('STAF scores'!F57:Y57,'STAF scores'!$F$7:$Y$7,'STAF scores'!$F$12:$Y$12)/(15*SUMPRODUCT('STAF scores'!$F$7:$Y$7,'STAF scores'!$F$12:$Y$12)),NA())</f>
        <v/>
      </c>
      <c r="H47" s="24">
        <f>SUMPRODUCT('STAF scores'!$F$12:$Y$12*(1-ISNUMBER('STAF scores'!F57:Y57)))</f>
        <v/>
      </c>
      <c r="I47" s="23">
        <f>IF(H47&gt;0,NA(),(E47+F47+G47)/3)</f>
        <v/>
      </c>
      <c r="J47" s="10">
        <f>IF(ISNUMBER(I47),IF(ROUND(I47,2)&lt;=0.39,"Non-Functioning",IF(ROUND(I47,2)&lt;=0.69,"Functioning-at-Risk","Functioning")),"")</f>
        <v/>
      </c>
      <c r="K47" s="25">
        <f>IF(ISNUMBER('STAF scores'!E57),'STAF scores'!E57,NA())</f>
        <v/>
      </c>
      <c r="L47" s="25">
        <f>I47*K47</f>
        <v/>
      </c>
    </row>
    <row r="48">
      <c r="B48" s="10">
        <f>'STAF scores'!B58</f>
        <v/>
      </c>
      <c r="C48" s="10">
        <f>'STAF scores'!C58</f>
        <v/>
      </c>
      <c r="D48" s="20">
        <f>'STAF scores'!D58</f>
        <v/>
      </c>
      <c r="E48" s="23">
        <f>IF(SUMPRODUCT('STAF scores'!$F$5:$Y$5,'STAF scores'!$F$12:$Y$12)&gt;0,SUMPRODUCT('STAF scores'!F58:Y58,'STAF scores'!$F$5:$Y$5,'STAF scores'!$F$12:$Y$12)/(15*SUMPRODUCT('STAF scores'!$F$5:$Y$5,'STAF scores'!$F$12:$Y$12)),NA())</f>
        <v/>
      </c>
      <c r="F48" s="23">
        <f>IF(SUMPRODUCT('STAF scores'!$F$6:$Y$6,'STAF scores'!$F$12:$Y$12)&gt;0,SUMPRODUCT('STAF scores'!F58:Y58,'STAF scores'!$F$6:$Y$6,'STAF scores'!$F$12:$Y$12)/(15*SUMPRODUCT('STAF scores'!$F$6:$Y$6,'STAF scores'!$F$12:$Y$12)),NA())</f>
        <v/>
      </c>
      <c r="G48" s="23">
        <f>IF(SUMPRODUCT('STAF scores'!$F$7:$Y$7,'STAF scores'!$F$12:$Y$12)&gt;0,SUMPRODUCT('STAF scores'!F58:Y58,'STAF scores'!$F$7:$Y$7,'STAF scores'!$F$12:$Y$12)/(15*SUMPRODUCT('STAF scores'!$F$7:$Y$7,'STAF scores'!$F$12:$Y$12)),NA())</f>
        <v/>
      </c>
      <c r="H48" s="24">
        <f>SUMPRODUCT('STAF scores'!$F$12:$Y$12*(1-ISNUMBER('STAF scores'!F58:Y58)))</f>
        <v/>
      </c>
      <c r="I48" s="23">
        <f>IF(H48&gt;0,NA(),(E48+F48+G48)/3)</f>
        <v/>
      </c>
      <c r="J48" s="10">
        <f>IF(ISNUMBER(I48),IF(ROUND(I48,2)&lt;=0.39,"Non-Functioning",IF(ROUND(I48,2)&lt;=0.69,"Functioning-at-Risk","Functioning")),"")</f>
        <v/>
      </c>
      <c r="K48" s="25">
        <f>IF(ISNUMBER('STAF scores'!E58),'STAF scores'!E58,NA())</f>
        <v/>
      </c>
      <c r="L48" s="25">
        <f>I48*K48</f>
        <v/>
      </c>
    </row>
    <row r="49">
      <c r="B49" s="10">
        <f>'STAF scores'!B59</f>
        <v/>
      </c>
      <c r="C49" s="10">
        <f>'STAF scores'!C59</f>
        <v/>
      </c>
      <c r="D49" s="20">
        <f>'STAF scores'!D59</f>
        <v/>
      </c>
      <c r="E49" s="23">
        <f>IF(SUMPRODUCT('STAF scores'!$F$5:$Y$5,'STAF scores'!$F$12:$Y$12)&gt;0,SUMPRODUCT('STAF scores'!F59:Y59,'STAF scores'!$F$5:$Y$5,'STAF scores'!$F$12:$Y$12)/(15*SUMPRODUCT('STAF scores'!$F$5:$Y$5,'STAF scores'!$F$12:$Y$12)),NA())</f>
        <v/>
      </c>
      <c r="F49" s="23">
        <f>IF(SUMPRODUCT('STAF scores'!$F$6:$Y$6,'STAF scores'!$F$12:$Y$12)&gt;0,SUMPRODUCT('STAF scores'!F59:Y59,'STAF scores'!$F$6:$Y$6,'STAF scores'!$F$12:$Y$12)/(15*SUMPRODUCT('STAF scores'!$F$6:$Y$6,'STAF scores'!$F$12:$Y$12)),NA())</f>
        <v/>
      </c>
      <c r="G49" s="23">
        <f>IF(SUMPRODUCT('STAF scores'!$F$7:$Y$7,'STAF scores'!$F$12:$Y$12)&gt;0,SUMPRODUCT('STAF scores'!F59:Y59,'STAF scores'!$F$7:$Y$7,'STAF scores'!$F$12:$Y$12)/(15*SUMPRODUCT('STAF scores'!$F$7:$Y$7,'STAF scores'!$F$12:$Y$12)),NA())</f>
        <v/>
      </c>
      <c r="H49" s="24">
        <f>SUMPRODUCT('STAF scores'!$F$12:$Y$12*(1-ISNUMBER('STAF scores'!F59:Y59)))</f>
        <v/>
      </c>
      <c r="I49" s="23">
        <f>IF(H49&gt;0,NA(),(E49+F49+G49)/3)</f>
        <v/>
      </c>
      <c r="J49" s="10">
        <f>IF(ISNUMBER(I49),IF(ROUND(I49,2)&lt;=0.39,"Non-Functioning",IF(ROUND(I49,2)&lt;=0.69,"Functioning-at-Risk","Functioning")),"")</f>
        <v/>
      </c>
      <c r="K49" s="25">
        <f>IF(ISNUMBER('STAF scores'!E59),'STAF scores'!E59,NA())</f>
        <v/>
      </c>
      <c r="L49" s="25">
        <f>I49*K49</f>
        <v/>
      </c>
    </row>
    <row r="50">
      <c r="B50" s="10">
        <f>'STAF scores'!B60</f>
        <v/>
      </c>
      <c r="C50" s="10">
        <f>'STAF scores'!C60</f>
        <v/>
      </c>
      <c r="D50" s="20">
        <f>'STAF scores'!D60</f>
        <v/>
      </c>
      <c r="E50" s="23">
        <f>IF(SUMPRODUCT('STAF scores'!$F$5:$Y$5,'STAF scores'!$F$12:$Y$12)&gt;0,SUMPRODUCT('STAF scores'!F60:Y60,'STAF scores'!$F$5:$Y$5,'STAF scores'!$F$12:$Y$12)/(15*SUMPRODUCT('STAF scores'!$F$5:$Y$5,'STAF scores'!$F$12:$Y$12)),NA())</f>
        <v/>
      </c>
      <c r="F50" s="23">
        <f>IF(SUMPRODUCT('STAF scores'!$F$6:$Y$6,'STAF scores'!$F$12:$Y$12)&gt;0,SUMPRODUCT('STAF scores'!F60:Y60,'STAF scores'!$F$6:$Y$6,'STAF scores'!$F$12:$Y$12)/(15*SUMPRODUCT('STAF scores'!$F$6:$Y$6,'STAF scores'!$F$12:$Y$12)),NA())</f>
        <v/>
      </c>
      <c r="G50" s="23">
        <f>IF(SUMPRODUCT('STAF scores'!$F$7:$Y$7,'STAF scores'!$F$12:$Y$12)&gt;0,SUMPRODUCT('STAF scores'!F60:Y60,'STAF scores'!$F$7:$Y$7,'STAF scores'!$F$12:$Y$12)/(15*SUMPRODUCT('STAF scores'!$F$7:$Y$7,'STAF scores'!$F$12:$Y$12)),NA())</f>
        <v/>
      </c>
      <c r="H50" s="24">
        <f>SUMPRODUCT('STAF scores'!$F$12:$Y$12*(1-ISNUMBER('STAF scores'!F60:Y60)))</f>
        <v/>
      </c>
      <c r="I50" s="23">
        <f>IF(H50&gt;0,NA(),(E50+F50+G50)/3)</f>
        <v/>
      </c>
      <c r="J50" s="10">
        <f>IF(ISNUMBER(I50),IF(ROUND(I50,2)&lt;=0.39,"Non-Functioning",IF(ROUND(I50,2)&lt;=0.69,"Functioning-at-Risk","Functioning")),"")</f>
        <v/>
      </c>
      <c r="K50" s="25">
        <f>IF(ISNUMBER('STAF scores'!E60),'STAF scores'!E60,NA())</f>
        <v/>
      </c>
      <c r="L50" s="25">
        <f>I50*K50</f>
        <v/>
      </c>
    </row>
    <row r="51">
      <c r="B51" s="10">
        <f>'STAF scores'!B61</f>
        <v/>
      </c>
      <c r="C51" s="10">
        <f>'STAF scores'!C61</f>
        <v/>
      </c>
      <c r="D51" s="20">
        <f>'STAF scores'!D61</f>
        <v/>
      </c>
      <c r="E51" s="23">
        <f>IF(SUMPRODUCT('STAF scores'!$F$5:$Y$5,'STAF scores'!$F$12:$Y$12)&gt;0,SUMPRODUCT('STAF scores'!F61:Y61,'STAF scores'!$F$5:$Y$5,'STAF scores'!$F$12:$Y$12)/(15*SUMPRODUCT('STAF scores'!$F$5:$Y$5,'STAF scores'!$F$12:$Y$12)),NA())</f>
        <v/>
      </c>
      <c r="F51" s="23">
        <f>IF(SUMPRODUCT('STAF scores'!$F$6:$Y$6,'STAF scores'!$F$12:$Y$12)&gt;0,SUMPRODUCT('STAF scores'!F61:Y61,'STAF scores'!$F$6:$Y$6,'STAF scores'!$F$12:$Y$12)/(15*SUMPRODUCT('STAF scores'!$F$6:$Y$6,'STAF scores'!$F$12:$Y$12)),NA())</f>
        <v/>
      </c>
      <c r="G51" s="23">
        <f>IF(SUMPRODUCT('STAF scores'!$F$7:$Y$7,'STAF scores'!$F$12:$Y$12)&gt;0,SUMPRODUCT('STAF scores'!F61:Y61,'STAF scores'!$F$7:$Y$7,'STAF scores'!$F$12:$Y$12)/(15*SUMPRODUCT('STAF scores'!$F$7:$Y$7,'STAF scores'!$F$12:$Y$12)),NA())</f>
        <v/>
      </c>
      <c r="H51" s="24">
        <f>SUMPRODUCT('STAF scores'!$F$12:$Y$12*(1-ISNUMBER('STAF scores'!F61:Y61)))</f>
        <v/>
      </c>
      <c r="I51" s="23">
        <f>IF(H51&gt;0,NA(),(E51+F51+G51)/3)</f>
        <v/>
      </c>
      <c r="J51" s="10">
        <f>IF(ISNUMBER(I51),IF(ROUND(I51,2)&lt;=0.39,"Non-Functioning",IF(ROUND(I51,2)&lt;=0.69,"Functioning-at-Risk","Functioning")),"")</f>
        <v/>
      </c>
      <c r="K51" s="25">
        <f>IF(ISNUMBER('STAF scores'!E61),'STAF scores'!E61,NA())</f>
        <v/>
      </c>
      <c r="L51" s="25">
        <f>I51*K51</f>
        <v/>
      </c>
    </row>
    <row r="52">
      <c r="B52" s="10">
        <f>'STAF scores'!B62</f>
        <v/>
      </c>
      <c r="C52" s="10">
        <f>'STAF scores'!C62</f>
        <v/>
      </c>
      <c r="D52" s="20">
        <f>'STAF scores'!D62</f>
        <v/>
      </c>
      <c r="E52" s="23">
        <f>IF(SUMPRODUCT('STAF scores'!$F$5:$Y$5,'STAF scores'!$F$12:$Y$12)&gt;0,SUMPRODUCT('STAF scores'!F62:Y62,'STAF scores'!$F$5:$Y$5,'STAF scores'!$F$12:$Y$12)/(15*SUMPRODUCT('STAF scores'!$F$5:$Y$5,'STAF scores'!$F$12:$Y$12)),NA())</f>
        <v/>
      </c>
      <c r="F52" s="23">
        <f>IF(SUMPRODUCT('STAF scores'!$F$6:$Y$6,'STAF scores'!$F$12:$Y$12)&gt;0,SUMPRODUCT('STAF scores'!F62:Y62,'STAF scores'!$F$6:$Y$6,'STAF scores'!$F$12:$Y$12)/(15*SUMPRODUCT('STAF scores'!$F$6:$Y$6,'STAF scores'!$F$12:$Y$12)),NA())</f>
        <v/>
      </c>
      <c r="G52" s="23">
        <f>IF(SUMPRODUCT('STAF scores'!$F$7:$Y$7,'STAF scores'!$F$12:$Y$12)&gt;0,SUMPRODUCT('STAF scores'!F62:Y62,'STAF scores'!$F$7:$Y$7,'STAF scores'!$F$12:$Y$12)/(15*SUMPRODUCT('STAF scores'!$F$7:$Y$7,'STAF scores'!$F$12:$Y$12)),NA())</f>
        <v/>
      </c>
      <c r="H52" s="24">
        <f>SUMPRODUCT('STAF scores'!$F$12:$Y$12*(1-ISNUMBER('STAF scores'!F62:Y62)))</f>
        <v/>
      </c>
      <c r="I52" s="23">
        <f>IF(H52&gt;0,NA(),(E52+F52+G52)/3)</f>
        <v/>
      </c>
      <c r="J52" s="10">
        <f>IF(ISNUMBER(I52),IF(ROUND(I52,2)&lt;=0.39,"Non-Functioning",IF(ROUND(I52,2)&lt;=0.69,"Functioning-at-Risk","Functioning")),"")</f>
        <v/>
      </c>
      <c r="K52" s="25">
        <f>IF(ISNUMBER('STAF scores'!E62),'STAF scores'!E62,NA())</f>
        <v/>
      </c>
      <c r="L52" s="25">
        <f>I52*K52</f>
        <v/>
      </c>
    </row>
    <row r="53">
      <c r="B53" s="10">
        <f>'STAF scores'!B63</f>
        <v/>
      </c>
      <c r="C53" s="10">
        <f>'STAF scores'!C63</f>
        <v/>
      </c>
      <c r="D53" s="20">
        <f>'STAF scores'!D63</f>
        <v/>
      </c>
      <c r="E53" s="23">
        <f>IF(SUMPRODUCT('STAF scores'!$F$5:$Y$5,'STAF scores'!$F$12:$Y$12)&gt;0,SUMPRODUCT('STAF scores'!F63:Y63,'STAF scores'!$F$5:$Y$5,'STAF scores'!$F$12:$Y$12)/(15*SUMPRODUCT('STAF scores'!$F$5:$Y$5,'STAF scores'!$F$12:$Y$12)),NA())</f>
        <v/>
      </c>
      <c r="F53" s="23">
        <f>IF(SUMPRODUCT('STAF scores'!$F$6:$Y$6,'STAF scores'!$F$12:$Y$12)&gt;0,SUMPRODUCT('STAF scores'!F63:Y63,'STAF scores'!$F$6:$Y$6,'STAF scores'!$F$12:$Y$12)/(15*SUMPRODUCT('STAF scores'!$F$6:$Y$6,'STAF scores'!$F$12:$Y$12)),NA())</f>
        <v/>
      </c>
      <c r="G53" s="23">
        <f>IF(SUMPRODUCT('STAF scores'!$F$7:$Y$7,'STAF scores'!$F$12:$Y$12)&gt;0,SUMPRODUCT('STAF scores'!F63:Y63,'STAF scores'!$F$7:$Y$7,'STAF scores'!$F$12:$Y$12)/(15*SUMPRODUCT('STAF scores'!$F$7:$Y$7,'STAF scores'!$F$12:$Y$12)),NA())</f>
        <v/>
      </c>
      <c r="H53" s="24">
        <f>SUMPRODUCT('STAF scores'!$F$12:$Y$12*(1-ISNUMBER('STAF scores'!F63:Y63)))</f>
        <v/>
      </c>
      <c r="I53" s="23">
        <f>IF(H53&gt;0,NA(),(E53+F53+G53)/3)</f>
        <v/>
      </c>
      <c r="J53" s="10">
        <f>IF(ISNUMBER(I53),IF(ROUND(I53,2)&lt;=0.39,"Non-Functioning",IF(ROUND(I53,2)&lt;=0.69,"Functioning-at-Risk","Functioning")),"")</f>
        <v/>
      </c>
      <c r="K53" s="25">
        <f>IF(ISNUMBER('STAF scores'!E63),'STAF scores'!E63,NA())</f>
        <v/>
      </c>
      <c r="L53" s="25">
        <f>I53*K53</f>
        <v/>
      </c>
    </row>
    <row r="54">
      <c r="B54" s="10">
        <f>'STAF scores'!B64</f>
        <v/>
      </c>
      <c r="C54" s="10">
        <f>'STAF scores'!C64</f>
        <v/>
      </c>
      <c r="D54" s="20">
        <f>'STAF scores'!D64</f>
        <v/>
      </c>
      <c r="E54" s="23">
        <f>IF(SUMPRODUCT('STAF scores'!$F$5:$Y$5,'STAF scores'!$F$12:$Y$12)&gt;0,SUMPRODUCT('STAF scores'!F64:Y64,'STAF scores'!$F$5:$Y$5,'STAF scores'!$F$12:$Y$12)/(15*SUMPRODUCT('STAF scores'!$F$5:$Y$5,'STAF scores'!$F$12:$Y$12)),NA())</f>
        <v/>
      </c>
      <c r="F54" s="23">
        <f>IF(SUMPRODUCT('STAF scores'!$F$6:$Y$6,'STAF scores'!$F$12:$Y$12)&gt;0,SUMPRODUCT('STAF scores'!F64:Y64,'STAF scores'!$F$6:$Y$6,'STAF scores'!$F$12:$Y$12)/(15*SUMPRODUCT('STAF scores'!$F$6:$Y$6,'STAF scores'!$F$12:$Y$12)),NA())</f>
        <v/>
      </c>
      <c r="G54" s="23">
        <f>IF(SUMPRODUCT('STAF scores'!$F$7:$Y$7,'STAF scores'!$F$12:$Y$12)&gt;0,SUMPRODUCT('STAF scores'!F64:Y64,'STAF scores'!$F$7:$Y$7,'STAF scores'!$F$12:$Y$12)/(15*SUMPRODUCT('STAF scores'!$F$7:$Y$7,'STAF scores'!$F$12:$Y$12)),NA())</f>
        <v/>
      </c>
      <c r="H54" s="24">
        <f>SUMPRODUCT('STAF scores'!$F$12:$Y$12*(1-ISNUMBER('STAF scores'!F64:Y64)))</f>
        <v/>
      </c>
      <c r="I54" s="23">
        <f>IF(H54&gt;0,NA(),(E54+F54+G54)/3)</f>
        <v/>
      </c>
      <c r="J54" s="10">
        <f>IF(ISNUMBER(I54),IF(ROUND(I54,2)&lt;=0.39,"Non-Functioning",IF(ROUND(I54,2)&lt;=0.69,"Functioning-at-Risk","Functioning")),"")</f>
        <v/>
      </c>
      <c r="K54" s="25">
        <f>IF(ISNUMBER('STAF scores'!E64),'STAF scores'!E64,NA())</f>
        <v/>
      </c>
      <c r="L54" s="25">
        <f>I54*K54</f>
        <v/>
      </c>
    </row>
    <row r="55">
      <c r="B55" s="10">
        <f>'STAF scores'!B65</f>
        <v/>
      </c>
      <c r="C55" s="10">
        <f>'STAF scores'!C65</f>
        <v/>
      </c>
      <c r="D55" s="20">
        <f>'STAF scores'!D65</f>
        <v/>
      </c>
      <c r="E55" s="23">
        <f>IF(SUMPRODUCT('STAF scores'!$F$5:$Y$5,'STAF scores'!$F$12:$Y$12)&gt;0,SUMPRODUCT('STAF scores'!F65:Y65,'STAF scores'!$F$5:$Y$5,'STAF scores'!$F$12:$Y$12)/(15*SUMPRODUCT('STAF scores'!$F$5:$Y$5,'STAF scores'!$F$12:$Y$12)),NA())</f>
        <v/>
      </c>
      <c r="F55" s="23">
        <f>IF(SUMPRODUCT('STAF scores'!$F$6:$Y$6,'STAF scores'!$F$12:$Y$12)&gt;0,SUMPRODUCT('STAF scores'!F65:Y65,'STAF scores'!$F$6:$Y$6,'STAF scores'!$F$12:$Y$12)/(15*SUMPRODUCT('STAF scores'!$F$6:$Y$6,'STAF scores'!$F$12:$Y$12)),NA())</f>
        <v/>
      </c>
      <c r="G55" s="23">
        <f>IF(SUMPRODUCT('STAF scores'!$F$7:$Y$7,'STAF scores'!$F$12:$Y$12)&gt;0,SUMPRODUCT('STAF scores'!F65:Y65,'STAF scores'!$F$7:$Y$7,'STAF scores'!$F$12:$Y$12)/(15*SUMPRODUCT('STAF scores'!$F$7:$Y$7,'STAF scores'!$F$12:$Y$12)),NA())</f>
        <v/>
      </c>
      <c r="H55" s="24">
        <f>SUMPRODUCT('STAF scores'!$F$12:$Y$12*(1-ISNUMBER('STAF scores'!F65:Y65)))</f>
        <v/>
      </c>
      <c r="I55" s="23">
        <f>IF(H55&gt;0,NA(),(E55+F55+G55)/3)</f>
        <v/>
      </c>
      <c r="J55" s="10">
        <f>IF(ISNUMBER(I55),IF(ROUND(I55,2)&lt;=0.39,"Non-Functioning",IF(ROUND(I55,2)&lt;=0.69,"Functioning-at-Risk","Functioning")),"")</f>
        <v/>
      </c>
      <c r="K55" s="25">
        <f>IF(ISNUMBER('STAF scores'!E65),'STAF scores'!E65,NA())</f>
        <v/>
      </c>
      <c r="L55" s="25">
        <f>I55*K55</f>
        <v/>
      </c>
    </row>
    <row r="56">
      <c r="B56" s="10">
        <f>'STAF scores'!B66</f>
        <v/>
      </c>
      <c r="C56" s="10">
        <f>'STAF scores'!C66</f>
        <v/>
      </c>
      <c r="D56" s="20">
        <f>'STAF scores'!D66</f>
        <v/>
      </c>
      <c r="E56" s="23">
        <f>IF(SUMPRODUCT('STAF scores'!$F$5:$Y$5,'STAF scores'!$F$12:$Y$12)&gt;0,SUMPRODUCT('STAF scores'!F66:Y66,'STAF scores'!$F$5:$Y$5,'STAF scores'!$F$12:$Y$12)/(15*SUMPRODUCT('STAF scores'!$F$5:$Y$5,'STAF scores'!$F$12:$Y$12)),NA())</f>
        <v/>
      </c>
      <c r="F56" s="23">
        <f>IF(SUMPRODUCT('STAF scores'!$F$6:$Y$6,'STAF scores'!$F$12:$Y$12)&gt;0,SUMPRODUCT('STAF scores'!F66:Y66,'STAF scores'!$F$6:$Y$6,'STAF scores'!$F$12:$Y$12)/(15*SUMPRODUCT('STAF scores'!$F$6:$Y$6,'STAF scores'!$F$12:$Y$12)),NA())</f>
        <v/>
      </c>
      <c r="G56" s="23">
        <f>IF(SUMPRODUCT('STAF scores'!$F$7:$Y$7,'STAF scores'!$F$12:$Y$12)&gt;0,SUMPRODUCT('STAF scores'!F66:Y66,'STAF scores'!$F$7:$Y$7,'STAF scores'!$F$12:$Y$12)/(15*SUMPRODUCT('STAF scores'!$F$7:$Y$7,'STAF scores'!$F$12:$Y$12)),NA())</f>
        <v/>
      </c>
      <c r="H56" s="24">
        <f>SUMPRODUCT('STAF scores'!$F$12:$Y$12*(1-ISNUMBER('STAF scores'!F66:Y66)))</f>
        <v/>
      </c>
      <c r="I56" s="23">
        <f>IF(H56&gt;0,NA(),(E56+F56+G56)/3)</f>
        <v/>
      </c>
      <c r="J56" s="10">
        <f>IF(ISNUMBER(I56),IF(ROUND(I56,2)&lt;=0.39,"Non-Functioning",IF(ROUND(I56,2)&lt;=0.69,"Functioning-at-Risk","Functioning")),"")</f>
        <v/>
      </c>
      <c r="K56" s="25">
        <f>IF(ISNUMBER('STAF scores'!E66),'STAF scores'!E66,NA())</f>
        <v/>
      </c>
      <c r="L56" s="25">
        <f>I56*K56</f>
        <v/>
      </c>
    </row>
    <row r="57">
      <c r="B57" s="10">
        <f>'STAF scores'!B67</f>
        <v/>
      </c>
      <c r="C57" s="10">
        <f>'STAF scores'!C67</f>
        <v/>
      </c>
      <c r="D57" s="20">
        <f>'STAF scores'!D67</f>
        <v/>
      </c>
      <c r="E57" s="23">
        <f>IF(SUMPRODUCT('STAF scores'!$F$5:$Y$5,'STAF scores'!$F$12:$Y$12)&gt;0,SUMPRODUCT('STAF scores'!F67:Y67,'STAF scores'!$F$5:$Y$5,'STAF scores'!$F$12:$Y$12)/(15*SUMPRODUCT('STAF scores'!$F$5:$Y$5,'STAF scores'!$F$12:$Y$12)),NA())</f>
        <v/>
      </c>
      <c r="F57" s="23">
        <f>IF(SUMPRODUCT('STAF scores'!$F$6:$Y$6,'STAF scores'!$F$12:$Y$12)&gt;0,SUMPRODUCT('STAF scores'!F67:Y67,'STAF scores'!$F$6:$Y$6,'STAF scores'!$F$12:$Y$12)/(15*SUMPRODUCT('STAF scores'!$F$6:$Y$6,'STAF scores'!$F$12:$Y$12)),NA())</f>
        <v/>
      </c>
      <c r="G57" s="23">
        <f>IF(SUMPRODUCT('STAF scores'!$F$7:$Y$7,'STAF scores'!$F$12:$Y$12)&gt;0,SUMPRODUCT('STAF scores'!F67:Y67,'STAF scores'!$F$7:$Y$7,'STAF scores'!$F$12:$Y$12)/(15*SUMPRODUCT('STAF scores'!$F$7:$Y$7,'STAF scores'!$F$12:$Y$12)),NA())</f>
        <v/>
      </c>
      <c r="H57" s="24">
        <f>SUMPRODUCT('STAF scores'!$F$12:$Y$12*(1-ISNUMBER('STAF scores'!F67:Y67)))</f>
        <v/>
      </c>
      <c r="I57" s="23">
        <f>IF(H57&gt;0,NA(),(E57+F57+G57)/3)</f>
        <v/>
      </c>
      <c r="J57" s="10">
        <f>IF(ISNUMBER(I57),IF(ROUND(I57,2)&lt;=0.39,"Non-Functioning",IF(ROUND(I57,2)&lt;=0.69,"Functioning-at-Risk","Functioning")),"")</f>
        <v/>
      </c>
      <c r="K57" s="25">
        <f>IF(ISNUMBER('STAF scores'!E67),'STAF scores'!E67,NA())</f>
        <v/>
      </c>
      <c r="L57" s="25">
        <f>I57*K57</f>
        <v/>
      </c>
    </row>
    <row r="58">
      <c r="B58" s="10">
        <f>'STAF scores'!B68</f>
        <v/>
      </c>
      <c r="C58" s="10">
        <f>'STAF scores'!C68</f>
        <v/>
      </c>
      <c r="D58" s="20">
        <f>'STAF scores'!D68</f>
        <v/>
      </c>
      <c r="E58" s="23">
        <f>IF(SUMPRODUCT('STAF scores'!$F$5:$Y$5,'STAF scores'!$F$12:$Y$12)&gt;0,SUMPRODUCT('STAF scores'!F68:Y68,'STAF scores'!$F$5:$Y$5,'STAF scores'!$F$12:$Y$12)/(15*SUMPRODUCT('STAF scores'!$F$5:$Y$5,'STAF scores'!$F$12:$Y$12)),NA())</f>
        <v/>
      </c>
      <c r="F58" s="23">
        <f>IF(SUMPRODUCT('STAF scores'!$F$6:$Y$6,'STAF scores'!$F$12:$Y$12)&gt;0,SUMPRODUCT('STAF scores'!F68:Y68,'STAF scores'!$F$6:$Y$6,'STAF scores'!$F$12:$Y$12)/(15*SUMPRODUCT('STAF scores'!$F$6:$Y$6,'STAF scores'!$F$12:$Y$12)),NA())</f>
        <v/>
      </c>
      <c r="G58" s="23">
        <f>IF(SUMPRODUCT('STAF scores'!$F$7:$Y$7,'STAF scores'!$F$12:$Y$12)&gt;0,SUMPRODUCT('STAF scores'!F68:Y68,'STAF scores'!$F$7:$Y$7,'STAF scores'!$F$12:$Y$12)/(15*SUMPRODUCT('STAF scores'!$F$7:$Y$7,'STAF scores'!$F$12:$Y$12)),NA())</f>
        <v/>
      </c>
      <c r="H58" s="24">
        <f>SUMPRODUCT('STAF scores'!$F$12:$Y$12*(1-ISNUMBER('STAF scores'!F68:Y68)))</f>
        <v/>
      </c>
      <c r="I58" s="23">
        <f>IF(H58&gt;0,NA(),(E58+F58+G58)/3)</f>
        <v/>
      </c>
      <c r="J58" s="10">
        <f>IF(ISNUMBER(I58),IF(ROUND(I58,2)&lt;=0.39,"Non-Functioning",IF(ROUND(I58,2)&lt;=0.69,"Functioning-at-Risk","Functioning")),"")</f>
        <v/>
      </c>
      <c r="K58" s="25">
        <f>IF(ISNUMBER('STAF scores'!E68),'STAF scores'!E68,NA())</f>
        <v/>
      </c>
      <c r="L58" s="25">
        <f>I58*K58</f>
        <v/>
      </c>
    </row>
    <row r="59">
      <c r="B59" s="10">
        <f>'STAF scores'!B69</f>
        <v/>
      </c>
      <c r="C59" s="10">
        <f>'STAF scores'!C69</f>
        <v/>
      </c>
      <c r="D59" s="20">
        <f>'STAF scores'!D69</f>
        <v/>
      </c>
      <c r="E59" s="23">
        <f>IF(SUMPRODUCT('STAF scores'!$F$5:$Y$5,'STAF scores'!$F$12:$Y$12)&gt;0,SUMPRODUCT('STAF scores'!F69:Y69,'STAF scores'!$F$5:$Y$5,'STAF scores'!$F$12:$Y$12)/(15*SUMPRODUCT('STAF scores'!$F$5:$Y$5,'STAF scores'!$F$12:$Y$12)),NA())</f>
        <v/>
      </c>
      <c r="F59" s="23">
        <f>IF(SUMPRODUCT('STAF scores'!$F$6:$Y$6,'STAF scores'!$F$12:$Y$12)&gt;0,SUMPRODUCT('STAF scores'!F69:Y69,'STAF scores'!$F$6:$Y$6,'STAF scores'!$F$12:$Y$12)/(15*SUMPRODUCT('STAF scores'!$F$6:$Y$6,'STAF scores'!$F$12:$Y$12)),NA())</f>
        <v/>
      </c>
      <c r="G59" s="23">
        <f>IF(SUMPRODUCT('STAF scores'!$F$7:$Y$7,'STAF scores'!$F$12:$Y$12)&gt;0,SUMPRODUCT('STAF scores'!F69:Y69,'STAF scores'!$F$7:$Y$7,'STAF scores'!$F$12:$Y$12)/(15*SUMPRODUCT('STAF scores'!$F$7:$Y$7,'STAF scores'!$F$12:$Y$12)),NA())</f>
        <v/>
      </c>
      <c r="H59" s="24">
        <f>SUMPRODUCT('STAF scores'!$F$12:$Y$12*(1-ISNUMBER('STAF scores'!F69:Y69)))</f>
        <v/>
      </c>
      <c r="I59" s="23">
        <f>IF(H59&gt;0,NA(),(E59+F59+G59)/3)</f>
        <v/>
      </c>
      <c r="J59" s="10">
        <f>IF(ISNUMBER(I59),IF(ROUND(I59,2)&lt;=0.39,"Non-Functioning",IF(ROUND(I59,2)&lt;=0.69,"Functioning-at-Risk","Functioning")),"")</f>
        <v/>
      </c>
      <c r="K59" s="25">
        <f>IF(ISNUMBER('STAF scores'!E69),'STAF scores'!E69,NA())</f>
        <v/>
      </c>
      <c r="L59" s="25">
        <f>I59*K59</f>
        <v/>
      </c>
    </row>
    <row r="60">
      <c r="B60" s="10">
        <f>'STAF scores'!B70</f>
        <v/>
      </c>
      <c r="C60" s="10">
        <f>'STAF scores'!C70</f>
        <v/>
      </c>
      <c r="D60" s="20">
        <f>'STAF scores'!D70</f>
        <v/>
      </c>
      <c r="E60" s="23">
        <f>IF(SUMPRODUCT('STAF scores'!$F$5:$Y$5,'STAF scores'!$F$12:$Y$12)&gt;0,SUMPRODUCT('STAF scores'!F70:Y70,'STAF scores'!$F$5:$Y$5,'STAF scores'!$F$12:$Y$12)/(15*SUMPRODUCT('STAF scores'!$F$5:$Y$5,'STAF scores'!$F$12:$Y$12)),NA())</f>
        <v/>
      </c>
      <c r="F60" s="23">
        <f>IF(SUMPRODUCT('STAF scores'!$F$6:$Y$6,'STAF scores'!$F$12:$Y$12)&gt;0,SUMPRODUCT('STAF scores'!F70:Y70,'STAF scores'!$F$6:$Y$6,'STAF scores'!$F$12:$Y$12)/(15*SUMPRODUCT('STAF scores'!$F$6:$Y$6,'STAF scores'!$F$12:$Y$12)),NA())</f>
        <v/>
      </c>
      <c r="G60" s="23">
        <f>IF(SUMPRODUCT('STAF scores'!$F$7:$Y$7,'STAF scores'!$F$12:$Y$12)&gt;0,SUMPRODUCT('STAF scores'!F70:Y70,'STAF scores'!$F$7:$Y$7,'STAF scores'!$F$12:$Y$12)/(15*SUMPRODUCT('STAF scores'!$F$7:$Y$7,'STAF scores'!$F$12:$Y$12)),NA())</f>
        <v/>
      </c>
      <c r="H60" s="24">
        <f>SUMPRODUCT('STAF scores'!$F$12:$Y$12*(1-ISNUMBER('STAF scores'!F70:Y70)))</f>
        <v/>
      </c>
      <c r="I60" s="23">
        <f>IF(H60&gt;0,NA(),(E60+F60+G60)/3)</f>
        <v/>
      </c>
      <c r="J60" s="10">
        <f>IF(ISNUMBER(I60),IF(ROUND(I60,2)&lt;=0.39,"Non-Functioning",IF(ROUND(I60,2)&lt;=0.69,"Functioning-at-Risk","Functioning")),"")</f>
        <v/>
      </c>
      <c r="K60" s="25">
        <f>IF(ISNUMBER('STAF scores'!E70),'STAF scores'!E70,NA())</f>
        <v/>
      </c>
      <c r="L60" s="25">
        <f>I60*K60</f>
        <v/>
      </c>
    </row>
    <row r="61">
      <c r="B61" s="10">
        <f>'STAF scores'!B71</f>
        <v/>
      </c>
      <c r="C61" s="10">
        <f>'STAF scores'!C71</f>
        <v/>
      </c>
      <c r="D61" s="20">
        <f>'STAF scores'!D71</f>
        <v/>
      </c>
      <c r="E61" s="23">
        <f>IF(SUMPRODUCT('STAF scores'!$F$5:$Y$5,'STAF scores'!$F$12:$Y$12)&gt;0,SUMPRODUCT('STAF scores'!F71:Y71,'STAF scores'!$F$5:$Y$5,'STAF scores'!$F$12:$Y$12)/(15*SUMPRODUCT('STAF scores'!$F$5:$Y$5,'STAF scores'!$F$12:$Y$12)),NA())</f>
        <v/>
      </c>
      <c r="F61" s="23">
        <f>IF(SUMPRODUCT('STAF scores'!$F$6:$Y$6,'STAF scores'!$F$12:$Y$12)&gt;0,SUMPRODUCT('STAF scores'!F71:Y71,'STAF scores'!$F$6:$Y$6,'STAF scores'!$F$12:$Y$12)/(15*SUMPRODUCT('STAF scores'!$F$6:$Y$6,'STAF scores'!$F$12:$Y$12)),NA())</f>
        <v/>
      </c>
      <c r="G61" s="23">
        <f>IF(SUMPRODUCT('STAF scores'!$F$7:$Y$7,'STAF scores'!$F$12:$Y$12)&gt;0,SUMPRODUCT('STAF scores'!F71:Y71,'STAF scores'!$F$7:$Y$7,'STAF scores'!$F$12:$Y$12)/(15*SUMPRODUCT('STAF scores'!$F$7:$Y$7,'STAF scores'!$F$12:$Y$12)),NA())</f>
        <v/>
      </c>
      <c r="H61" s="24">
        <f>SUMPRODUCT('STAF scores'!$F$12:$Y$12*(1-ISNUMBER('STAF scores'!F71:Y71)))</f>
        <v/>
      </c>
      <c r="I61" s="23">
        <f>IF(H61&gt;0,NA(),(E61+F61+G61)/3)</f>
        <v/>
      </c>
      <c r="J61" s="10">
        <f>IF(ISNUMBER(I61),IF(ROUND(I61,2)&lt;=0.39,"Non-Functioning",IF(ROUND(I61,2)&lt;=0.69,"Functioning-at-Risk","Functioning")),"")</f>
        <v/>
      </c>
      <c r="K61" s="25">
        <f>IF(ISNUMBER('STAF scores'!E71),'STAF scores'!E71,NA())</f>
        <v/>
      </c>
      <c r="L61" s="25">
        <f>I61*K61</f>
        <v/>
      </c>
    </row>
    <row r="62">
      <c r="B62" s="10">
        <f>'STAF scores'!B72</f>
        <v/>
      </c>
      <c r="C62" s="10">
        <f>'STAF scores'!C72</f>
        <v/>
      </c>
      <c r="D62" s="20">
        <f>'STAF scores'!D72</f>
        <v/>
      </c>
      <c r="E62" s="23">
        <f>IF(SUMPRODUCT('STAF scores'!$F$5:$Y$5,'STAF scores'!$F$12:$Y$12)&gt;0,SUMPRODUCT('STAF scores'!F72:Y72,'STAF scores'!$F$5:$Y$5,'STAF scores'!$F$12:$Y$12)/(15*SUMPRODUCT('STAF scores'!$F$5:$Y$5,'STAF scores'!$F$12:$Y$12)),NA())</f>
        <v/>
      </c>
      <c r="F62" s="23">
        <f>IF(SUMPRODUCT('STAF scores'!$F$6:$Y$6,'STAF scores'!$F$12:$Y$12)&gt;0,SUMPRODUCT('STAF scores'!F72:Y72,'STAF scores'!$F$6:$Y$6,'STAF scores'!$F$12:$Y$12)/(15*SUMPRODUCT('STAF scores'!$F$6:$Y$6,'STAF scores'!$F$12:$Y$12)),NA())</f>
        <v/>
      </c>
      <c r="G62" s="23">
        <f>IF(SUMPRODUCT('STAF scores'!$F$7:$Y$7,'STAF scores'!$F$12:$Y$12)&gt;0,SUMPRODUCT('STAF scores'!F72:Y72,'STAF scores'!$F$7:$Y$7,'STAF scores'!$F$12:$Y$12)/(15*SUMPRODUCT('STAF scores'!$F$7:$Y$7,'STAF scores'!$F$12:$Y$12)),NA())</f>
        <v/>
      </c>
      <c r="H62" s="24">
        <f>SUMPRODUCT('STAF scores'!$F$12:$Y$12*(1-ISNUMBER('STAF scores'!F72:Y72)))</f>
        <v/>
      </c>
      <c r="I62" s="23">
        <f>IF(H62&gt;0,NA(),(E62+F62+G62)/3)</f>
        <v/>
      </c>
      <c r="J62" s="10">
        <f>IF(ISNUMBER(I62),IF(ROUND(I62,2)&lt;=0.39,"Non-Functioning",IF(ROUND(I62,2)&lt;=0.69,"Functioning-at-Risk","Functioning")),"")</f>
        <v/>
      </c>
      <c r="K62" s="25">
        <f>IF(ISNUMBER('STAF scores'!E72),'STAF scores'!E72,NA())</f>
        <v/>
      </c>
      <c r="L62" s="25">
        <f>I62*K62</f>
        <v/>
      </c>
    </row>
    <row r="63">
      <c r="B63" s="10">
        <f>'STAF scores'!B73</f>
        <v/>
      </c>
      <c r="C63" s="10">
        <f>'STAF scores'!C73</f>
        <v/>
      </c>
      <c r="D63" s="20">
        <f>'STAF scores'!D73</f>
        <v/>
      </c>
      <c r="E63" s="23">
        <f>IF(SUMPRODUCT('STAF scores'!$F$5:$Y$5,'STAF scores'!$F$12:$Y$12)&gt;0,SUMPRODUCT('STAF scores'!F73:Y73,'STAF scores'!$F$5:$Y$5,'STAF scores'!$F$12:$Y$12)/(15*SUMPRODUCT('STAF scores'!$F$5:$Y$5,'STAF scores'!$F$12:$Y$12)),NA())</f>
        <v/>
      </c>
      <c r="F63" s="23">
        <f>IF(SUMPRODUCT('STAF scores'!$F$6:$Y$6,'STAF scores'!$F$12:$Y$12)&gt;0,SUMPRODUCT('STAF scores'!F73:Y73,'STAF scores'!$F$6:$Y$6,'STAF scores'!$F$12:$Y$12)/(15*SUMPRODUCT('STAF scores'!$F$6:$Y$6,'STAF scores'!$F$12:$Y$12)),NA())</f>
        <v/>
      </c>
      <c r="G63" s="23">
        <f>IF(SUMPRODUCT('STAF scores'!$F$7:$Y$7,'STAF scores'!$F$12:$Y$12)&gt;0,SUMPRODUCT('STAF scores'!F73:Y73,'STAF scores'!$F$7:$Y$7,'STAF scores'!$F$12:$Y$12)/(15*SUMPRODUCT('STAF scores'!$F$7:$Y$7,'STAF scores'!$F$12:$Y$12)),NA())</f>
        <v/>
      </c>
      <c r="H63" s="24">
        <f>SUMPRODUCT('STAF scores'!$F$12:$Y$12*(1-ISNUMBER('STAF scores'!F73:Y73)))</f>
        <v/>
      </c>
      <c r="I63" s="23">
        <f>IF(H63&gt;0,NA(),(E63+F63+G63)/3)</f>
        <v/>
      </c>
      <c r="J63" s="10">
        <f>IF(ISNUMBER(I63),IF(ROUND(I63,2)&lt;=0.39,"Non-Functioning",IF(ROUND(I63,2)&lt;=0.69,"Functioning-at-Risk","Functioning")),"")</f>
        <v/>
      </c>
      <c r="K63" s="25">
        <f>IF(ISNUMBER('STAF scores'!E73),'STAF scores'!E73,NA())</f>
        <v/>
      </c>
      <c r="L63" s="25">
        <f>I63*K63</f>
        <v/>
      </c>
    </row>
    <row r="64">
      <c r="B64" s="10">
        <f>'STAF scores'!B74</f>
        <v/>
      </c>
      <c r="C64" s="10">
        <f>'STAF scores'!C74</f>
        <v/>
      </c>
      <c r="D64" s="20">
        <f>'STAF scores'!D74</f>
        <v/>
      </c>
      <c r="E64" s="23">
        <f>IF(SUMPRODUCT('STAF scores'!$F$5:$Y$5,'STAF scores'!$F$12:$Y$12)&gt;0,SUMPRODUCT('STAF scores'!F74:Y74,'STAF scores'!$F$5:$Y$5,'STAF scores'!$F$12:$Y$12)/(15*SUMPRODUCT('STAF scores'!$F$5:$Y$5,'STAF scores'!$F$12:$Y$12)),NA())</f>
        <v/>
      </c>
      <c r="F64" s="23">
        <f>IF(SUMPRODUCT('STAF scores'!$F$6:$Y$6,'STAF scores'!$F$12:$Y$12)&gt;0,SUMPRODUCT('STAF scores'!F74:Y74,'STAF scores'!$F$6:$Y$6,'STAF scores'!$F$12:$Y$12)/(15*SUMPRODUCT('STAF scores'!$F$6:$Y$6,'STAF scores'!$F$12:$Y$12)),NA())</f>
        <v/>
      </c>
      <c r="G64" s="23">
        <f>IF(SUMPRODUCT('STAF scores'!$F$7:$Y$7,'STAF scores'!$F$12:$Y$12)&gt;0,SUMPRODUCT('STAF scores'!F74:Y74,'STAF scores'!$F$7:$Y$7,'STAF scores'!$F$12:$Y$12)/(15*SUMPRODUCT('STAF scores'!$F$7:$Y$7,'STAF scores'!$F$12:$Y$12)),NA())</f>
        <v/>
      </c>
      <c r="H64" s="24">
        <f>SUMPRODUCT('STAF scores'!$F$12:$Y$12*(1-ISNUMBER('STAF scores'!F74:Y74)))</f>
        <v/>
      </c>
      <c r="I64" s="23">
        <f>IF(H64&gt;0,NA(),(E64+F64+G64)/3)</f>
        <v/>
      </c>
      <c r="J64" s="10">
        <f>IF(ISNUMBER(I64),IF(ROUND(I64,2)&lt;=0.39,"Non-Functioning",IF(ROUND(I64,2)&lt;=0.69,"Functioning-at-Risk","Functioning")),"")</f>
        <v/>
      </c>
      <c r="K64" s="25">
        <f>IF(ISNUMBER('STAF scores'!E74),'STAF scores'!E74,NA())</f>
        <v/>
      </c>
      <c r="L64" s="25">
        <f>I64*K64</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showGridLines="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0" customWidth="1" style="8" min="4" max="4"/>
    <col width="11" customWidth="1" style="8" min="5" max="5"/>
    <col width="11" customWidth="1" style="8" min="6" max="6"/>
    <col width="11" customWidth="1" style="8" min="7" max="7"/>
    <col width="11" customWidth="1" style="8" min="8" max="8"/>
    <col width="11" customWidth="1" style="8" min="9" max="9"/>
    <col width="11" customWidth="1" style="8" min="10" max="10"/>
    <col width="14" customWidth="1" style="8" min="11" max="11"/>
  </cols>
  <sheetData>
    <row r="1">
      <c r="A1" s="1" t="inlineStr">
        <is>
          <t>Benefits: condition units at each target year</t>
        </is>
      </c>
    </row>
    <row r="2">
      <c r="A2" s="2" t="inlineStr">
        <is>
          <t>STAF mode: condition units (ECI x quantity) at each target year, from the STAF roll-up sheet.</t>
        </is>
      </c>
    </row>
    <row r="4">
      <c r="A4" s="12" t="inlineStr">
        <is>
          <t>Key</t>
        </is>
      </c>
      <c r="B4" s="12" t="inlineStr">
        <is>
          <t>Site</t>
        </is>
      </c>
      <c r="C4" s="12" t="inlineStr">
        <is>
          <t>Alternative</t>
        </is>
      </c>
      <c r="D4" s="12" t="inlineStr">
        <is>
          <t>Component</t>
        </is>
      </c>
      <c r="E4" s="12" t="inlineStr">
        <is>
          <t>Condition units (CU)</t>
        </is>
      </c>
      <c r="F4" s="37" t="n"/>
      <c r="G4" s="37" t="n"/>
      <c r="H4" s="37" t="n"/>
      <c r="I4" s="37" t="n"/>
      <c r="J4" s="38" t="n"/>
      <c r="K4" s="12" t="inlineStr">
        <is>
          <t>Average (AACU)</t>
        </is>
      </c>
    </row>
    <row r="5">
      <c r="A5" s="12" t="inlineStr"/>
      <c r="B5" s="12" t="inlineStr"/>
      <c r="C5" s="12" t="inlineStr"/>
      <c r="D5" s="12" t="inlineStr"/>
      <c r="E5" s="26">
        <f>Parameters!$B$14</f>
        <v/>
      </c>
      <c r="F5" s="26">
        <f>Parameters!$C$14</f>
        <v/>
      </c>
      <c r="G5" s="26">
        <f>Parameters!$D$14</f>
        <v/>
      </c>
      <c r="H5" s="26">
        <f>Parameters!$E$14</f>
        <v/>
      </c>
      <c r="I5" s="26">
        <f>Parameters!$F$14</f>
        <v/>
      </c>
      <c r="J5" s="26">
        <f>Parameters!$G$14</f>
        <v/>
      </c>
      <c r="K5" s="12" t="inlineStr"/>
    </row>
    <row r="6">
      <c r="A6" s="10">
        <f>B6&amp;"|"&amp;C6</f>
        <v/>
      </c>
      <c r="B6" s="4" t="inlineStr">
        <is>
          <t>R1</t>
        </is>
      </c>
      <c r="C6" s="4" t="inlineStr">
        <is>
          <t>FWOP</t>
        </is>
      </c>
      <c r="D6" s="4" t="inlineStr">
        <is>
          <t>Condition units</t>
        </is>
      </c>
      <c r="E6" s="25">
        <f>'STAF roll-up'!L5</f>
        <v/>
      </c>
      <c r="F6" s="25">
        <f>'STAF roll-up'!L6</f>
        <v/>
      </c>
      <c r="G6" s="25">
        <f>'STAF roll-up'!L7</f>
        <v/>
      </c>
      <c r="H6" s="25">
        <f>'STAF roll-up'!L8</f>
        <v/>
      </c>
      <c r="I6" s="25">
        <f>'STAF roll-up'!L9</f>
        <v/>
      </c>
      <c r="J6" s="25">
        <f>'STAF roll-up'!L10</f>
        <v/>
      </c>
      <c r="K6" s="25">
        <f>SUMPRODUCT($F$5:$J$5-$E$5:$I$5,(F6:J6+E6:I6)/2)/($J$5-$E$5)</f>
        <v/>
      </c>
    </row>
    <row r="7">
      <c r="A7" s="10">
        <f>B7&amp;"|"&amp;C7</f>
        <v/>
      </c>
      <c r="B7" s="4" t="inlineStr">
        <is>
          <t>R1</t>
        </is>
      </c>
      <c r="C7" s="4" t="inlineStr">
        <is>
          <t>A1</t>
        </is>
      </c>
      <c r="D7" s="4" t="inlineStr">
        <is>
          <t>Condition units</t>
        </is>
      </c>
      <c r="E7" s="25">
        <f>'STAF roll-up'!L11</f>
        <v/>
      </c>
      <c r="F7" s="25">
        <f>'STAF roll-up'!L12</f>
        <v/>
      </c>
      <c r="G7" s="25">
        <f>'STAF roll-up'!L13</f>
        <v/>
      </c>
      <c r="H7" s="25">
        <f>'STAF roll-up'!L14</f>
        <v/>
      </c>
      <c r="I7" s="25">
        <f>'STAF roll-up'!L15</f>
        <v/>
      </c>
      <c r="J7" s="25">
        <f>'STAF roll-up'!L16</f>
        <v/>
      </c>
      <c r="K7" s="25">
        <f>SUMPRODUCT($F$5:$J$5-$E$5:$I$5,(F7:J7+E7:I7)/2)/($J$5-$E$5)</f>
        <v/>
      </c>
    </row>
    <row r="8">
      <c r="A8" s="10">
        <f>B8&amp;"|"&amp;C8</f>
        <v/>
      </c>
      <c r="B8" s="4" t="inlineStr">
        <is>
          <t>R1</t>
        </is>
      </c>
      <c r="C8" s="4" t="inlineStr">
        <is>
          <t>A2</t>
        </is>
      </c>
      <c r="D8" s="4" t="inlineStr">
        <is>
          <t>Condition units</t>
        </is>
      </c>
      <c r="E8" s="25">
        <f>'STAF roll-up'!L17</f>
        <v/>
      </c>
      <c r="F8" s="25">
        <f>'STAF roll-up'!L18</f>
        <v/>
      </c>
      <c r="G8" s="25">
        <f>'STAF roll-up'!L19</f>
        <v/>
      </c>
      <c r="H8" s="25">
        <f>'STAF roll-up'!L20</f>
        <v/>
      </c>
      <c r="I8" s="25">
        <f>'STAF roll-up'!L21</f>
        <v/>
      </c>
      <c r="J8" s="25">
        <f>'STAF roll-up'!L22</f>
        <v/>
      </c>
      <c r="K8" s="25">
        <f>SUMPRODUCT($F$5:$J$5-$E$5:$I$5,(F8:J8+E8:I8)/2)/($J$5-$E$5)</f>
        <v/>
      </c>
    </row>
    <row r="9">
      <c r="A9" s="10">
        <f>B9&amp;"|"&amp;C9</f>
        <v/>
      </c>
      <c r="B9" s="4" t="inlineStr">
        <is>
          <t>R1</t>
        </is>
      </c>
      <c r="C9" s="4" t="inlineStr">
        <is>
          <t>A3</t>
        </is>
      </c>
      <c r="D9" s="4" t="inlineStr">
        <is>
          <t>Condition units</t>
        </is>
      </c>
      <c r="E9" s="25">
        <f>'STAF roll-up'!L23</f>
        <v/>
      </c>
      <c r="F9" s="25">
        <f>'STAF roll-up'!L24</f>
        <v/>
      </c>
      <c r="G9" s="25">
        <f>'STAF roll-up'!L25</f>
        <v/>
      </c>
      <c r="H9" s="25">
        <f>'STAF roll-up'!L26</f>
        <v/>
      </c>
      <c r="I9" s="25">
        <f>'STAF roll-up'!L27</f>
        <v/>
      </c>
      <c r="J9" s="25">
        <f>'STAF roll-up'!L28</f>
        <v/>
      </c>
      <c r="K9" s="25">
        <f>SUMPRODUCT($F$5:$J$5-$E$5:$I$5,(F9:J9+E9:I9)/2)/($J$5-$E$5)</f>
        <v/>
      </c>
    </row>
    <row r="10">
      <c r="A10" s="10">
        <f>B10&amp;"|"&amp;C10</f>
        <v/>
      </c>
      <c r="B10" s="4" t="inlineStr">
        <is>
          <t>R2</t>
        </is>
      </c>
      <c r="C10" s="4" t="inlineStr">
        <is>
          <t>FWOP</t>
        </is>
      </c>
      <c r="D10" s="4" t="inlineStr">
        <is>
          <t>Condition units</t>
        </is>
      </c>
      <c r="E10" s="25">
        <f>'STAF roll-up'!L29</f>
        <v/>
      </c>
      <c r="F10" s="25">
        <f>'STAF roll-up'!L30</f>
        <v/>
      </c>
      <c r="G10" s="25">
        <f>'STAF roll-up'!L31</f>
        <v/>
      </c>
      <c r="H10" s="25">
        <f>'STAF roll-up'!L32</f>
        <v/>
      </c>
      <c r="I10" s="25">
        <f>'STAF roll-up'!L33</f>
        <v/>
      </c>
      <c r="J10" s="25">
        <f>'STAF roll-up'!L34</f>
        <v/>
      </c>
      <c r="K10" s="25">
        <f>SUMPRODUCT($F$5:$J$5-$E$5:$I$5,(F10:J10+E10:I10)/2)/($J$5-$E$5)</f>
        <v/>
      </c>
    </row>
    <row r="11">
      <c r="A11" s="10">
        <f>B11&amp;"|"&amp;C11</f>
        <v/>
      </c>
      <c r="B11" s="4" t="inlineStr">
        <is>
          <t>R2</t>
        </is>
      </c>
      <c r="C11" s="4" t="inlineStr">
        <is>
          <t>A1</t>
        </is>
      </c>
      <c r="D11" s="4" t="inlineStr">
        <is>
          <t>Condition units</t>
        </is>
      </c>
      <c r="E11" s="25">
        <f>'STAF roll-up'!L35</f>
        <v/>
      </c>
      <c r="F11" s="25">
        <f>'STAF roll-up'!L36</f>
        <v/>
      </c>
      <c r="G11" s="25">
        <f>'STAF roll-up'!L37</f>
        <v/>
      </c>
      <c r="H11" s="25">
        <f>'STAF roll-up'!L38</f>
        <v/>
      </c>
      <c r="I11" s="25">
        <f>'STAF roll-up'!L39</f>
        <v/>
      </c>
      <c r="J11" s="25">
        <f>'STAF roll-up'!L40</f>
        <v/>
      </c>
      <c r="K11" s="25">
        <f>SUMPRODUCT($F$5:$J$5-$E$5:$I$5,(F11:J11+E11:I11)/2)/($J$5-$E$5)</f>
        <v/>
      </c>
    </row>
    <row r="12">
      <c r="A12" s="10">
        <f>B12&amp;"|"&amp;C12</f>
        <v/>
      </c>
      <c r="B12" s="4" t="inlineStr">
        <is>
          <t>R2</t>
        </is>
      </c>
      <c r="C12" s="4" t="inlineStr">
        <is>
          <t>A2</t>
        </is>
      </c>
      <c r="D12" s="4" t="inlineStr">
        <is>
          <t>Condition units</t>
        </is>
      </c>
      <c r="E12" s="25">
        <f>'STAF roll-up'!L41</f>
        <v/>
      </c>
      <c r="F12" s="25">
        <f>'STAF roll-up'!L42</f>
        <v/>
      </c>
      <c r="G12" s="25">
        <f>'STAF roll-up'!L43</f>
        <v/>
      </c>
      <c r="H12" s="25">
        <f>'STAF roll-up'!L44</f>
        <v/>
      </c>
      <c r="I12" s="25">
        <f>'STAF roll-up'!L45</f>
        <v/>
      </c>
      <c r="J12" s="25">
        <f>'STAF roll-up'!L46</f>
        <v/>
      </c>
      <c r="K12" s="25">
        <f>SUMPRODUCT($F$5:$J$5-$E$5:$I$5,(F12:J12+E12:I12)/2)/($J$5-$E$5)</f>
        <v/>
      </c>
    </row>
    <row r="13">
      <c r="A13" s="10">
        <f>B13&amp;"|"&amp;C13</f>
        <v/>
      </c>
      <c r="B13" s="4" t="inlineStr">
        <is>
          <t>R3</t>
        </is>
      </c>
      <c r="C13" s="4" t="inlineStr">
        <is>
          <t>FWOP</t>
        </is>
      </c>
      <c r="D13" s="4" t="inlineStr">
        <is>
          <t>Condition units</t>
        </is>
      </c>
      <c r="E13" s="25">
        <f>'STAF roll-up'!L47</f>
        <v/>
      </c>
      <c r="F13" s="25">
        <f>'STAF roll-up'!L48</f>
        <v/>
      </c>
      <c r="G13" s="25">
        <f>'STAF roll-up'!L49</f>
        <v/>
      </c>
      <c r="H13" s="25">
        <f>'STAF roll-up'!L50</f>
        <v/>
      </c>
      <c r="I13" s="25">
        <f>'STAF roll-up'!L51</f>
        <v/>
      </c>
      <c r="J13" s="25">
        <f>'STAF roll-up'!L52</f>
        <v/>
      </c>
      <c r="K13" s="25">
        <f>SUMPRODUCT($F$5:$J$5-$E$5:$I$5,(F13:J13+E13:I13)/2)/($J$5-$E$5)</f>
        <v/>
      </c>
    </row>
    <row r="14">
      <c r="A14" s="10">
        <f>B14&amp;"|"&amp;C14</f>
        <v/>
      </c>
      <c r="B14" s="4" t="inlineStr">
        <is>
          <t>R3</t>
        </is>
      </c>
      <c r="C14" s="4" t="inlineStr">
        <is>
          <t>A1</t>
        </is>
      </c>
      <c r="D14" s="4" t="inlineStr">
        <is>
          <t>Condition units</t>
        </is>
      </c>
      <c r="E14" s="25">
        <f>'STAF roll-up'!L53</f>
        <v/>
      </c>
      <c r="F14" s="25">
        <f>'STAF roll-up'!L54</f>
        <v/>
      </c>
      <c r="G14" s="25">
        <f>'STAF roll-up'!L55</f>
        <v/>
      </c>
      <c r="H14" s="25">
        <f>'STAF roll-up'!L56</f>
        <v/>
      </c>
      <c r="I14" s="25">
        <f>'STAF roll-up'!L57</f>
        <v/>
      </c>
      <c r="J14" s="25">
        <f>'STAF roll-up'!L58</f>
        <v/>
      </c>
      <c r="K14" s="25">
        <f>SUMPRODUCT($F$5:$J$5-$E$5:$I$5,(F14:J14+E14:I14)/2)/($J$5-$E$5)</f>
        <v/>
      </c>
    </row>
    <row r="15">
      <c r="A15" s="10">
        <f>B15&amp;"|"&amp;C15</f>
        <v/>
      </c>
      <c r="B15" s="4" t="inlineStr">
        <is>
          <t>R3</t>
        </is>
      </c>
      <c r="C15" s="4" t="inlineStr">
        <is>
          <t>A2</t>
        </is>
      </c>
      <c r="D15" s="4" t="inlineStr">
        <is>
          <t>Condition units</t>
        </is>
      </c>
      <c r="E15" s="25">
        <f>'STAF roll-up'!L59</f>
        <v/>
      </c>
      <c r="F15" s="25">
        <f>'STAF roll-up'!L60</f>
        <v/>
      </c>
      <c r="G15" s="25">
        <f>'STAF roll-up'!L61</f>
        <v/>
      </c>
      <c r="H15" s="25">
        <f>'STAF roll-up'!L62</f>
        <v/>
      </c>
      <c r="I15" s="25">
        <f>'STAF roll-up'!L63</f>
        <v/>
      </c>
      <c r="J15" s="25">
        <f>'STAF roll-up'!L64</f>
        <v/>
      </c>
      <c r="K15" s="25">
        <f>SUMPRODUCT($F$5:$J$5-$E$5:$I$5,(F15:J15+E15:I15)/2)/($J$5-$E$5)</f>
        <v/>
      </c>
    </row>
  </sheetData>
  <sheetProtection selectLockedCells="0" selectUnlockedCells="0" sheet="1" objects="0" insertRows="1" insertHyperlinks="1" autoFilter="0" scenarios="0" formatColumns="0" deleteColumns="1" insertColumns="1" pivotTables="1" deleteRows="1" formatCells="1" formatRows="0" sort="0" password="C644"/>
  <mergeCells count="1">
    <mergeCell ref="E4:J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14" customWidth="1" style="8" min="4" max="4"/>
    <col width="14" customWidth="1" style="8" min="5" max="5"/>
    <col width="14" customWidth="1" style="8" min="6" max="6"/>
    <col width="12" customWidth="1" style="8" min="7" max="7"/>
    <col width="14" customWidth="1" style="8" min="8" max="8"/>
    <col width="15" customWidth="1" style="8" min="9" max="9"/>
    <col width="15" customWidth="1" style="8" min="10" max="10"/>
    <col width="15" customWidth="1" style="8" min="11" max="11"/>
    <col width="15" customWidth="1" style="8" min="12" max="12"/>
    <col width="15" customWidth="1" style="8" min="13" max="13"/>
    <col width="13" customWidth="1" style="8" min="14" max="14"/>
    <col width="13" customWidth="1" style="8" min="15" max="15"/>
    <col width="13" customWidth="1" style="8" min="16" max="16"/>
    <col width="13" customWidth="1" style="8" min="17" max="17"/>
    <col width="13" customWidth="1" style="8" min="18" max="18"/>
  </cols>
  <sheetData>
    <row r="1">
      <c r="A1" s="1" t="inlineStr">
        <is>
          <t>Costs: first costs, interest during construction and OMRRR</t>
        </is>
      </c>
    </row>
    <row r="2">
      <c r="A2" s="2" t="inlineStr">
        <is>
          <t>First costs are base-year lump sums. Interest during construction accrues on the categories marked *, spent evenly over the construction months.</t>
        </is>
      </c>
    </row>
    <row r="3">
      <c r="N3" s="12" t="inlineStr">
        <is>
          <t>Average annual cost by part</t>
        </is>
      </c>
      <c r="O3" s="37" t="n"/>
      <c r="P3" s="37" t="n"/>
      <c r="Q3" s="37" t="n"/>
      <c r="R3" s="38" t="n"/>
    </row>
    <row r="4">
      <c r="A4" s="12" t="inlineStr">
        <is>
          <t>Key</t>
        </is>
      </c>
      <c r="B4" s="12" t="inlineStr">
        <is>
          <t>Site</t>
        </is>
      </c>
      <c r="C4" s="12" t="inlineStr">
        <is>
          <t>Alternative</t>
        </is>
      </c>
      <c r="D4" s="12" t="inlineStr">
        <is>
          <t>Construction *</t>
        </is>
      </c>
      <c r="E4" s="12" t="inlineStr">
        <is>
          <t>Monitoring</t>
        </is>
      </c>
      <c r="F4" s="12" t="inlineStr">
        <is>
          <t>Adaptive management</t>
        </is>
      </c>
      <c r="G4" s="12" t="inlineStr">
        <is>
          <t>Construction months</t>
        </is>
      </c>
      <c r="H4" s="12" t="inlineStr">
        <is>
          <t>IDC base</t>
        </is>
      </c>
      <c r="I4" s="12" t="inlineStr">
        <is>
          <t>Interest during construction</t>
        </is>
      </c>
      <c r="J4" s="12" t="inlineStr">
        <is>
          <t>OMRRR present value</t>
        </is>
      </c>
      <c r="K4" s="12" t="inlineStr">
        <is>
          <t>Total present value</t>
        </is>
      </c>
      <c r="L4" s="12" t="inlineStr">
        <is>
          <t>Average annual cost entered</t>
        </is>
      </c>
      <c r="M4" s="12" t="inlineStr">
        <is>
          <t>Average annual cost</t>
        </is>
      </c>
      <c r="N4" s="12" t="inlineStr">
        <is>
          <t>Construction</t>
        </is>
      </c>
      <c r="O4" s="12" t="inlineStr">
        <is>
          <t>Monitoring</t>
        </is>
      </c>
      <c r="P4" s="12" t="inlineStr">
        <is>
          <t>Adaptive management</t>
        </is>
      </c>
      <c r="Q4" s="12" t="inlineStr">
        <is>
          <t>Interest during construction</t>
        </is>
      </c>
      <c r="R4" s="12" t="inlineStr">
        <is>
          <t>OMRRR</t>
        </is>
      </c>
    </row>
    <row r="5">
      <c r="D5" s="27" t="inlineStr">
        <is>
          <t>construction</t>
        </is>
      </c>
      <c r="E5" s="27" t="inlineStr">
        <is>
          <t>monitoring</t>
        </is>
      </c>
      <c r="F5" s="27" t="inlineStr">
        <is>
          <t>adaptive_management</t>
        </is>
      </c>
      <c r="G5" s="28" t="inlineStr"/>
      <c r="H5" s="28" t="inlineStr"/>
      <c r="I5" s="28" t="inlineStr"/>
      <c r="J5" s="28" t="inlineStr"/>
      <c r="K5" s="28" t="inlineStr"/>
      <c r="L5" s="28" t="inlineStr"/>
      <c r="M5" s="28" t="inlineStr"/>
    </row>
    <row r="6">
      <c r="A6" s="10">
        <f>B6&amp;"|"&amp;C6</f>
        <v/>
      </c>
      <c r="B6" s="4" t="inlineStr">
        <is>
          <t>R1</t>
        </is>
      </c>
      <c r="C6" s="4" t="inlineStr">
        <is>
          <t>FWOP</t>
        </is>
      </c>
      <c r="D6" s="29" t="n"/>
      <c r="E6" s="29" t="n"/>
      <c r="F6" s="29" t="n"/>
      <c r="G6" s="17" t="n">
        <v>0</v>
      </c>
      <c r="H6" s="30">
        <f>D6</f>
        <v/>
      </c>
      <c r="I6" s="31">
        <f>IF(OR(G6=0,in_rate=0,H6=0),0,H6/G6*(IF(in_idc_method="START",1+((1+in_rate)^(1/in_ppy)-1),IF(in_idc_method="MIDDLE",1+((1+in_rate)^(1/in_ppy)-1)/2,1))*((1+in_rate)^(G6/in_ppy)-1)/((1+in_rate)^(1/in_ppy)-1)-G6))</f>
        <v/>
      </c>
      <c r="J6" s="31">
        <f>SUMIFS(OMRRR!$S$5:$S$19,OMRRR!$A$5:$A$19,A6)</f>
        <v/>
      </c>
      <c r="K6" s="31">
        <f>SUM(D6:F6)+I6+J6</f>
        <v/>
      </c>
      <c r="L6" s="32" t="n"/>
      <c r="M6" s="31">
        <f>IF(ISNUMBER(L6),L6,calc_crf*K6)</f>
        <v/>
      </c>
      <c r="N6" s="31">
        <f>calc_crf*D6</f>
        <v/>
      </c>
      <c r="O6" s="31">
        <f>calc_crf*E6</f>
        <v/>
      </c>
      <c r="P6" s="31">
        <f>calc_crf*F6</f>
        <v/>
      </c>
      <c r="Q6" s="31">
        <f>calc_crf*I6</f>
        <v/>
      </c>
      <c r="R6" s="31">
        <f>calc_crf*J6</f>
        <v/>
      </c>
    </row>
    <row r="7">
      <c r="A7" s="10">
        <f>B7&amp;"|"&amp;C7</f>
        <v/>
      </c>
      <c r="B7" s="4" t="inlineStr">
        <is>
          <t>R1</t>
        </is>
      </c>
      <c r="C7" s="4" t="inlineStr">
        <is>
          <t>A1</t>
        </is>
      </c>
      <c r="D7" s="29" t="n">
        <v>180000</v>
      </c>
      <c r="E7" s="29" t="n">
        <v>25000</v>
      </c>
      <c r="F7" s="29" t="n">
        <v>15000</v>
      </c>
      <c r="G7" s="17" t="n">
        <v>4</v>
      </c>
      <c r="H7" s="30">
        <f>D7</f>
        <v/>
      </c>
      <c r="I7" s="31">
        <f>IF(OR(G7=0,in_rate=0,H7=0),0,H7/G7*(IF(in_idc_method="START",1+((1+in_rate)^(1/in_ppy)-1),IF(in_idc_method="MIDDLE",1+((1+in_rate)^(1/in_ppy)-1)/2,1))*((1+in_rate)^(G7/in_ppy)-1)/((1+in_rate)^(1/in_ppy)-1)-G7))</f>
        <v/>
      </c>
      <c r="J7" s="31">
        <f>SUMIFS(OMRRR!$S$5:$S$19,OMRRR!$A$5:$A$19,A7)</f>
        <v/>
      </c>
      <c r="K7" s="31">
        <f>SUM(D7:F7)+I7+J7</f>
        <v/>
      </c>
      <c r="L7" s="32" t="n"/>
      <c r="M7" s="31">
        <f>IF(ISNUMBER(L7),L7,calc_crf*K7)</f>
        <v/>
      </c>
      <c r="N7" s="31">
        <f>calc_crf*D7</f>
        <v/>
      </c>
      <c r="O7" s="31">
        <f>calc_crf*E7</f>
        <v/>
      </c>
      <c r="P7" s="31">
        <f>calc_crf*F7</f>
        <v/>
      </c>
      <c r="Q7" s="31">
        <f>calc_crf*I7</f>
        <v/>
      </c>
      <c r="R7" s="31">
        <f>calc_crf*J7</f>
        <v/>
      </c>
    </row>
    <row r="8">
      <c r="A8" s="10">
        <f>B8&amp;"|"&amp;C8</f>
        <v/>
      </c>
      <c r="B8" s="4" t="inlineStr">
        <is>
          <t>R1</t>
        </is>
      </c>
      <c r="C8" s="4" t="inlineStr">
        <is>
          <t>A2</t>
        </is>
      </c>
      <c r="D8" s="29" t="n">
        <v>620000</v>
      </c>
      <c r="E8" s="29" t="n">
        <v>40000</v>
      </c>
      <c r="F8" s="29" t="n">
        <v>60000</v>
      </c>
      <c r="G8" s="17" t="n">
        <v>8</v>
      </c>
      <c r="H8" s="30">
        <f>D8</f>
        <v/>
      </c>
      <c r="I8" s="31">
        <f>IF(OR(G8=0,in_rate=0,H8=0),0,H8/G8*(IF(in_idc_method="START",1+((1+in_rate)^(1/in_ppy)-1),IF(in_idc_method="MIDDLE",1+((1+in_rate)^(1/in_ppy)-1)/2,1))*((1+in_rate)^(G8/in_ppy)-1)/((1+in_rate)^(1/in_ppy)-1)-G8))</f>
        <v/>
      </c>
      <c r="J8" s="31">
        <f>SUMIFS(OMRRR!$S$5:$S$19,OMRRR!$A$5:$A$19,A8)</f>
        <v/>
      </c>
      <c r="K8" s="31">
        <f>SUM(D8:F8)+I8+J8</f>
        <v/>
      </c>
      <c r="L8" s="32" t="n"/>
      <c r="M8" s="31">
        <f>IF(ISNUMBER(L8),L8,calc_crf*K8)</f>
        <v/>
      </c>
      <c r="N8" s="31">
        <f>calc_crf*D8</f>
        <v/>
      </c>
      <c r="O8" s="31">
        <f>calc_crf*E8</f>
        <v/>
      </c>
      <c r="P8" s="31">
        <f>calc_crf*F8</f>
        <v/>
      </c>
      <c r="Q8" s="31">
        <f>calc_crf*I8</f>
        <v/>
      </c>
      <c r="R8" s="31">
        <f>calc_crf*J8</f>
        <v/>
      </c>
    </row>
    <row r="9">
      <c r="A9" s="10">
        <f>B9&amp;"|"&amp;C9</f>
        <v/>
      </c>
      <c r="B9" s="4" t="inlineStr">
        <is>
          <t>R1</t>
        </is>
      </c>
      <c r="C9" s="4" t="inlineStr">
        <is>
          <t>A3</t>
        </is>
      </c>
      <c r="D9" s="29" t="n">
        <v>910000</v>
      </c>
      <c r="E9" s="29" t="n">
        <v>50000</v>
      </c>
      <c r="F9" s="29" t="n">
        <v>90000</v>
      </c>
      <c r="G9" s="17" t="n">
        <v>10</v>
      </c>
      <c r="H9" s="30">
        <f>D9</f>
        <v/>
      </c>
      <c r="I9" s="31">
        <f>IF(OR(G9=0,in_rate=0,H9=0),0,H9/G9*(IF(in_idc_method="START",1+((1+in_rate)^(1/in_ppy)-1),IF(in_idc_method="MIDDLE",1+((1+in_rate)^(1/in_ppy)-1)/2,1))*((1+in_rate)^(G9/in_ppy)-1)/((1+in_rate)^(1/in_ppy)-1)-G9))</f>
        <v/>
      </c>
      <c r="J9" s="31">
        <f>SUMIFS(OMRRR!$S$5:$S$19,OMRRR!$A$5:$A$19,A9)</f>
        <v/>
      </c>
      <c r="K9" s="31">
        <f>SUM(D9:F9)+I9+J9</f>
        <v/>
      </c>
      <c r="L9" s="32" t="n"/>
      <c r="M9" s="31">
        <f>IF(ISNUMBER(L9),L9,calc_crf*K9)</f>
        <v/>
      </c>
      <c r="N9" s="31">
        <f>calc_crf*D9</f>
        <v/>
      </c>
      <c r="O9" s="31">
        <f>calc_crf*E9</f>
        <v/>
      </c>
      <c r="P9" s="31">
        <f>calc_crf*F9</f>
        <v/>
      </c>
      <c r="Q9" s="31">
        <f>calc_crf*I9</f>
        <v/>
      </c>
      <c r="R9" s="31">
        <f>calc_crf*J9</f>
        <v/>
      </c>
    </row>
    <row r="10">
      <c r="A10" s="10">
        <f>B10&amp;"|"&amp;C10</f>
        <v/>
      </c>
      <c r="B10" s="4" t="inlineStr">
        <is>
          <t>R2</t>
        </is>
      </c>
      <c r="C10" s="4" t="inlineStr">
        <is>
          <t>FWOP</t>
        </is>
      </c>
      <c r="D10" s="29" t="n"/>
      <c r="E10" s="29" t="n"/>
      <c r="F10" s="29" t="n"/>
      <c r="G10" s="17" t="n">
        <v>0</v>
      </c>
      <c r="H10" s="30">
        <f>D10</f>
        <v/>
      </c>
      <c r="I10" s="31">
        <f>IF(OR(G10=0,in_rate=0,H10=0),0,H10/G10*(IF(in_idc_method="START",1+((1+in_rate)^(1/in_ppy)-1),IF(in_idc_method="MIDDLE",1+((1+in_rate)^(1/in_ppy)-1)/2,1))*((1+in_rate)^(G10/in_ppy)-1)/((1+in_rate)^(1/in_ppy)-1)-G10))</f>
        <v/>
      </c>
      <c r="J10" s="31">
        <f>SUMIFS(OMRRR!$S$5:$S$19,OMRRR!$A$5:$A$19,A10)</f>
        <v/>
      </c>
      <c r="K10" s="31">
        <f>SUM(D10:F10)+I10+J10</f>
        <v/>
      </c>
      <c r="L10" s="32" t="n"/>
      <c r="M10" s="31">
        <f>IF(ISNUMBER(L10),L10,calc_crf*K10)</f>
        <v/>
      </c>
      <c r="N10" s="31">
        <f>calc_crf*D10</f>
        <v/>
      </c>
      <c r="O10" s="31">
        <f>calc_crf*E10</f>
        <v/>
      </c>
      <c r="P10" s="31">
        <f>calc_crf*F10</f>
        <v/>
      </c>
      <c r="Q10" s="31">
        <f>calc_crf*I10</f>
        <v/>
      </c>
      <c r="R10" s="31">
        <f>calc_crf*J10</f>
        <v/>
      </c>
    </row>
    <row r="11">
      <c r="A11" s="10">
        <f>B11&amp;"|"&amp;C11</f>
        <v/>
      </c>
      <c r="B11" s="4" t="inlineStr">
        <is>
          <t>R2</t>
        </is>
      </c>
      <c r="C11" s="4" t="inlineStr">
        <is>
          <t>A1</t>
        </is>
      </c>
      <c r="D11" s="29" t="n">
        <v>850000</v>
      </c>
      <c r="E11" s="29" t="n">
        <v>45000</v>
      </c>
      <c r="F11" s="29" t="n">
        <v>85000</v>
      </c>
      <c r="G11" s="17" t="n">
        <v>9</v>
      </c>
      <c r="H11" s="30">
        <f>D11</f>
        <v/>
      </c>
      <c r="I11" s="31">
        <f>IF(OR(G11=0,in_rate=0,H11=0),0,H11/G11*(IF(in_idc_method="START",1+((1+in_rate)^(1/in_ppy)-1),IF(in_idc_method="MIDDLE",1+((1+in_rate)^(1/in_ppy)-1)/2,1))*((1+in_rate)^(G11/in_ppy)-1)/((1+in_rate)^(1/in_ppy)-1)-G11))</f>
        <v/>
      </c>
      <c r="J11" s="31">
        <f>SUMIFS(OMRRR!$S$5:$S$19,OMRRR!$A$5:$A$19,A11)</f>
        <v/>
      </c>
      <c r="K11" s="31">
        <f>SUM(D11:F11)+I11+J11</f>
        <v/>
      </c>
      <c r="L11" s="32" t="n"/>
      <c r="M11" s="31">
        <f>IF(ISNUMBER(L11),L11,calc_crf*K11)</f>
        <v/>
      </c>
      <c r="N11" s="31">
        <f>calc_crf*D11</f>
        <v/>
      </c>
      <c r="O11" s="31">
        <f>calc_crf*E11</f>
        <v/>
      </c>
      <c r="P11" s="31">
        <f>calc_crf*F11</f>
        <v/>
      </c>
      <c r="Q11" s="31">
        <f>calc_crf*I11</f>
        <v/>
      </c>
      <c r="R11" s="31">
        <f>calc_crf*J11</f>
        <v/>
      </c>
    </row>
    <row r="12">
      <c r="A12" s="10">
        <f>B12&amp;"|"&amp;C12</f>
        <v/>
      </c>
      <c r="B12" s="4" t="inlineStr">
        <is>
          <t>R2</t>
        </is>
      </c>
      <c r="C12" s="4" t="inlineStr">
        <is>
          <t>A2</t>
        </is>
      </c>
      <c r="D12" s="29" t="n">
        <v>3400000</v>
      </c>
      <c r="E12" s="29" t="n">
        <v>90000</v>
      </c>
      <c r="F12" s="29" t="n">
        <v>340000</v>
      </c>
      <c r="G12" s="17" t="n">
        <v>18</v>
      </c>
      <c r="H12" s="30">
        <f>D12</f>
        <v/>
      </c>
      <c r="I12" s="31">
        <f>IF(OR(G12=0,in_rate=0,H12=0),0,H12/G12*(IF(in_idc_method="START",1+((1+in_rate)^(1/in_ppy)-1),IF(in_idc_method="MIDDLE",1+((1+in_rate)^(1/in_ppy)-1)/2,1))*((1+in_rate)^(G12/in_ppy)-1)/((1+in_rate)^(1/in_ppy)-1)-G12))</f>
        <v/>
      </c>
      <c r="J12" s="31">
        <f>SUMIFS(OMRRR!$S$5:$S$19,OMRRR!$A$5:$A$19,A12)</f>
        <v/>
      </c>
      <c r="K12" s="31">
        <f>SUM(D12:F12)+I12+J12</f>
        <v/>
      </c>
      <c r="L12" s="32" t="n"/>
      <c r="M12" s="31">
        <f>IF(ISNUMBER(L12),L12,calc_crf*K12)</f>
        <v/>
      </c>
      <c r="N12" s="31">
        <f>calc_crf*D12</f>
        <v/>
      </c>
      <c r="O12" s="31">
        <f>calc_crf*E12</f>
        <v/>
      </c>
      <c r="P12" s="31">
        <f>calc_crf*F12</f>
        <v/>
      </c>
      <c r="Q12" s="31">
        <f>calc_crf*I12</f>
        <v/>
      </c>
      <c r="R12" s="31">
        <f>calc_crf*J12</f>
        <v/>
      </c>
    </row>
    <row r="13">
      <c r="A13" s="10">
        <f>B13&amp;"|"&amp;C13</f>
        <v/>
      </c>
      <c r="B13" s="4" t="inlineStr">
        <is>
          <t>R3</t>
        </is>
      </c>
      <c r="C13" s="4" t="inlineStr">
        <is>
          <t>FWOP</t>
        </is>
      </c>
      <c r="D13" s="29" t="n"/>
      <c r="E13" s="29" t="n"/>
      <c r="F13" s="29" t="n"/>
      <c r="G13" s="17" t="n">
        <v>0</v>
      </c>
      <c r="H13" s="30">
        <f>D13</f>
        <v/>
      </c>
      <c r="I13" s="31">
        <f>IF(OR(G13=0,in_rate=0,H13=0),0,H13/G13*(IF(in_idc_method="START",1+((1+in_rate)^(1/in_ppy)-1),IF(in_idc_method="MIDDLE",1+((1+in_rate)^(1/in_ppy)-1)/2,1))*((1+in_rate)^(G13/in_ppy)-1)/((1+in_rate)^(1/in_ppy)-1)-G13))</f>
        <v/>
      </c>
      <c r="J13" s="31">
        <f>SUMIFS(OMRRR!$S$5:$S$19,OMRRR!$A$5:$A$19,A13)</f>
        <v/>
      </c>
      <c r="K13" s="31">
        <f>SUM(D13:F13)+I13+J13</f>
        <v/>
      </c>
      <c r="L13" s="32" t="n"/>
      <c r="M13" s="31">
        <f>IF(ISNUMBER(L13),L13,calc_crf*K13)</f>
        <v/>
      </c>
      <c r="N13" s="31">
        <f>calc_crf*D13</f>
        <v/>
      </c>
      <c r="O13" s="31">
        <f>calc_crf*E13</f>
        <v/>
      </c>
      <c r="P13" s="31">
        <f>calc_crf*F13</f>
        <v/>
      </c>
      <c r="Q13" s="31">
        <f>calc_crf*I13</f>
        <v/>
      </c>
      <c r="R13" s="31">
        <f>calc_crf*J13</f>
        <v/>
      </c>
    </row>
    <row r="14">
      <c r="A14" s="10">
        <f>B14&amp;"|"&amp;C14</f>
        <v/>
      </c>
      <c r="B14" s="4" t="inlineStr">
        <is>
          <t>R3</t>
        </is>
      </c>
      <c r="C14" s="4" t="inlineStr">
        <is>
          <t>A1</t>
        </is>
      </c>
      <c r="D14" s="29" t="n">
        <v>140000</v>
      </c>
      <c r="E14" s="29" t="n">
        <v>20000</v>
      </c>
      <c r="F14" s="29" t="n">
        <v>10000</v>
      </c>
      <c r="G14" s="17" t="n">
        <v>3</v>
      </c>
      <c r="H14" s="30">
        <f>D14</f>
        <v/>
      </c>
      <c r="I14" s="31">
        <f>IF(OR(G14=0,in_rate=0,H14=0),0,H14/G14*(IF(in_idc_method="START",1+((1+in_rate)^(1/in_ppy)-1),IF(in_idc_method="MIDDLE",1+((1+in_rate)^(1/in_ppy)-1)/2,1))*((1+in_rate)^(G14/in_ppy)-1)/((1+in_rate)^(1/in_ppy)-1)-G14))</f>
        <v/>
      </c>
      <c r="J14" s="31">
        <f>SUMIFS(OMRRR!$S$5:$S$19,OMRRR!$A$5:$A$19,A14)</f>
        <v/>
      </c>
      <c r="K14" s="31">
        <f>SUM(D14:F14)+I14+J14</f>
        <v/>
      </c>
      <c r="L14" s="32" t="n"/>
      <c r="M14" s="31">
        <f>IF(ISNUMBER(L14),L14,calc_crf*K14)</f>
        <v/>
      </c>
      <c r="N14" s="31">
        <f>calc_crf*D14</f>
        <v/>
      </c>
      <c r="O14" s="31">
        <f>calc_crf*E14</f>
        <v/>
      </c>
      <c r="P14" s="31">
        <f>calc_crf*F14</f>
        <v/>
      </c>
      <c r="Q14" s="31">
        <f>calc_crf*I14</f>
        <v/>
      </c>
      <c r="R14" s="31">
        <f>calc_crf*J14</f>
        <v/>
      </c>
    </row>
    <row r="15">
      <c r="A15" s="10">
        <f>B15&amp;"|"&amp;C15</f>
        <v/>
      </c>
      <c r="B15" s="4" t="inlineStr">
        <is>
          <t>R3</t>
        </is>
      </c>
      <c r="C15" s="4" t="inlineStr">
        <is>
          <t>A2</t>
        </is>
      </c>
      <c r="D15" s="29" t="n">
        <v>520000</v>
      </c>
      <c r="E15" s="29" t="n">
        <v>30000</v>
      </c>
      <c r="F15" s="29" t="n">
        <v>40000</v>
      </c>
      <c r="G15" s="17" t="n">
        <v>6</v>
      </c>
      <c r="H15" s="30">
        <f>D15</f>
        <v/>
      </c>
      <c r="I15" s="31">
        <f>IF(OR(G15=0,in_rate=0,H15=0),0,H15/G15*(IF(in_idc_method="START",1+((1+in_rate)^(1/in_ppy)-1),IF(in_idc_method="MIDDLE",1+((1+in_rate)^(1/in_ppy)-1)/2,1))*((1+in_rate)^(G15/in_ppy)-1)/((1+in_rate)^(1/in_ppy)-1)-G15))</f>
        <v/>
      </c>
      <c r="J15" s="31">
        <f>SUMIFS(OMRRR!$S$5:$S$19,OMRRR!$A$5:$A$19,A15)</f>
        <v/>
      </c>
      <c r="K15" s="31">
        <f>SUM(D15:F15)+I15+J15</f>
        <v/>
      </c>
      <c r="L15" s="32" t="n"/>
      <c r="M15" s="31">
        <f>IF(ISNUMBER(L15),L15,calc_crf*K15)</f>
        <v/>
      </c>
      <c r="N15" s="31">
        <f>calc_crf*D15</f>
        <v/>
      </c>
      <c r="O15" s="31">
        <f>calc_crf*E15</f>
        <v/>
      </c>
      <c r="P15" s="31">
        <f>calc_crf*F15</f>
        <v/>
      </c>
      <c r="Q15" s="31">
        <f>calc_crf*I15</f>
        <v/>
      </c>
      <c r="R15" s="31">
        <f>calc_crf*J15</f>
        <v/>
      </c>
    </row>
  </sheetData>
  <sheetProtection selectLockedCells="0" selectUnlockedCells="0" sheet="1" objects="0" insertRows="1" insertHyperlinks="1" autoFilter="0" scenarios="0" formatColumns="0" deleteColumns="1" insertColumns="1" pivotTables="1" deleteRows="1" formatCells="1" formatRows="0" sort="0" password="C644"/>
  <mergeCells count="1">
    <mergeCell ref="N3:R3"/>
  </mergeCells>
  <conditionalFormatting sqref="D6:G15">
    <cfRule type="expression" priority="1" dxfId="0" stopIfTrue="0">
      <formula>D6&lt;&gt;'snap Costs'!D6</formula>
    </cfRule>
  </conditionalFormatting>
  <conditionalFormatting sqref="L6:L15">
    <cfRule type="expression" priority="2" dxfId="0" stopIfTrue="0">
      <formula>L6&lt;&gt;'snap Costs'!L6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6" customWidth="1" style="8" min="4" max="4"/>
    <col width="9" customWidth="1" style="8" min="5" max="5"/>
    <col width="12" customWidth="1" style="8" min="6" max="6"/>
    <col width="9" customWidth="1" style="8" min="7" max="7"/>
    <col width="13" customWidth="1" style="8" min="8" max="8"/>
    <col width="10" customWidth="1" style="8" min="9" max="9"/>
    <col width="11" customWidth="1" style="8" min="10" max="10"/>
    <col width="9" customWidth="1" style="8" min="11" max="11"/>
    <col width="8" customWidth="1" style="8" min="12" max="12"/>
    <col width="8" customWidth="1" style="8" min="13" max="13"/>
    <col width="13" customWidth="1" style="8" min="14" max="14"/>
    <col width="7" customWidth="1" style="8" min="15" max="15"/>
    <col width="7" customWidth="1" style="8" min="16" max="16"/>
    <col width="11" customWidth="1" style="8" min="17" max="17"/>
    <col width="14" customWidth="1" style="8" min="18" max="18"/>
    <col width="14" customWidth="1" style="8" min="19" max="19"/>
  </cols>
  <sheetData>
    <row r="1">
      <c r="A1" s="1" t="inlineStr">
        <is>
          <t>OMRRR: recurring operation, maintenance, repair, replacement and rehabilitation</t>
        </is>
      </c>
    </row>
    <row r="2">
      <c r="A2" s="2" t="inlineStr">
        <is>
          <t>Each item costs the amount per occurrence every N years from the first year to the last (blank: every N years through the period of analysis). Basis: FIXED amount, PERCENT of a first-cost category, or RATE x quantity.</t>
        </is>
      </c>
    </row>
    <row r="4">
      <c r="A4" s="12" t="inlineStr">
        <is>
          <t>Key</t>
        </is>
      </c>
      <c r="B4" s="12" t="inlineStr">
        <is>
          <t>Site</t>
        </is>
      </c>
      <c r="C4" s="12" t="inlineStr">
        <is>
          <t>Alternative</t>
        </is>
      </c>
      <c r="D4" s="12" t="inlineStr">
        <is>
          <t>Item</t>
        </is>
      </c>
      <c r="E4" s="12" t="inlineStr">
        <is>
          <t>Basis</t>
        </is>
      </c>
      <c r="F4" s="12" t="inlineStr">
        <is>
          <t>Amount</t>
        </is>
      </c>
      <c r="G4" s="12" t="inlineStr">
        <is>
          <t>Percent</t>
        </is>
      </c>
      <c r="H4" s="12" t="inlineStr">
        <is>
          <t>Category</t>
        </is>
      </c>
      <c r="I4" s="12" t="inlineStr">
        <is>
          <t>Unit rate</t>
        </is>
      </c>
      <c r="J4" s="12" t="inlineStr">
        <is>
          <t>Quantity</t>
        </is>
      </c>
      <c r="K4" s="12" t="inlineStr">
        <is>
          <t>Every N years</t>
        </is>
      </c>
      <c r="L4" s="12" t="inlineStr">
        <is>
          <t>First year</t>
        </is>
      </c>
      <c r="M4" s="12" t="inlineStr">
        <is>
          <t>Last year</t>
        </is>
      </c>
      <c r="N4" s="12" t="inlineStr">
        <is>
          <t>Amount per occurrence</t>
        </is>
      </c>
      <c r="O4" s="12" t="inlineStr">
        <is>
          <t>First</t>
        </is>
      </c>
      <c r="P4" s="12" t="inlineStr">
        <is>
          <t>Last</t>
        </is>
      </c>
      <c r="Q4" s="12" t="inlineStr">
        <is>
          <t>Occurrences</t>
        </is>
      </c>
      <c r="R4" s="12" t="inlineStr">
        <is>
          <t>Present value, end of year</t>
        </is>
      </c>
      <c r="S4" s="12" t="inlineStr">
        <is>
          <t>Present value</t>
        </is>
      </c>
    </row>
    <row r="5">
      <c r="A5" s="10">
        <f>B5&amp;"|"&amp;C5</f>
        <v/>
      </c>
      <c r="B5" s="4" t="inlineStr">
        <is>
          <t>R1</t>
        </is>
      </c>
      <c r="C5" s="4" t="inlineStr">
        <is>
          <t>A1</t>
        </is>
      </c>
      <c r="D5" s="4" t="inlineStr">
        <is>
          <t>Annual maintenance</t>
        </is>
      </c>
      <c r="E5" s="4" t="inlineStr">
        <is>
          <t>FIXED</t>
        </is>
      </c>
      <c r="F5" s="32" t="n">
        <v>2500</v>
      </c>
      <c r="G5" s="10" t="n"/>
      <c r="H5" s="4" t="inlineStr"/>
      <c r="I5" s="10" t="n"/>
      <c r="J5" s="10" t="n"/>
      <c r="K5" s="14" t="n">
        <v>1</v>
      </c>
      <c r="L5" s="14" t="n"/>
      <c r="M5" s="14" t="n"/>
      <c r="N5" s="31">
        <f>IF(E5="FIXED",F5,IF(E5="PERCENT",G5*IFERROR(INDEX(Costs!$D$6:$F$15,MATCH(A5,Costs!$A$6:$A$15,0),MATCH(H5,Costs!$D$5:$F$5,0)),0),I5*J5))</f>
        <v/>
      </c>
      <c r="O5" s="6">
        <f>IF(ISNUMBER(L5),L5,K5)</f>
        <v/>
      </c>
      <c r="P5" s="6">
        <f>IF(ISNUMBER(M5),MIN(M5,in_poa),in_poa)</f>
        <v/>
      </c>
      <c r="Q5" s="6">
        <f>IF(P5&lt;O5,0,INT((P5-O5)/K5)+1)</f>
        <v/>
      </c>
      <c r="R5" s="31">
        <f>IF(Q5=0,0,IF(in_rate=0,N5*Q5,N5*(1+in_rate)^(-O5)*(1-(1+in_rate)^(-K5*Q5))/(1-(1+in_rate)^(-K5))))</f>
        <v/>
      </c>
      <c r="S5" s="31">
        <f>IF(in_timing="MID_YEAR",IF(O5=0,IF(Q5=0,0,N5+(R5-N5)*(1+in_rate)^0.5),R5*(1+in_rate)^0.5),R5)</f>
        <v/>
      </c>
    </row>
    <row r="6">
      <c r="A6" s="10">
        <f>B6&amp;"|"&amp;C6</f>
        <v/>
      </c>
      <c r="B6" s="4" t="inlineStr">
        <is>
          <t>R1</t>
        </is>
      </c>
      <c r="C6" s="4" t="inlineStr">
        <is>
          <t>A1</t>
        </is>
      </c>
      <c r="D6" s="4" t="inlineStr">
        <is>
          <t>Repair and replanting</t>
        </is>
      </c>
      <c r="E6" s="4" t="inlineStr">
        <is>
          <t>PERCENT</t>
        </is>
      </c>
      <c r="F6" s="10" t="n"/>
      <c r="G6" s="33" t="n">
        <v>0.1</v>
      </c>
      <c r="H6" s="4" t="inlineStr">
        <is>
          <t>construction</t>
        </is>
      </c>
      <c r="I6" s="10" t="n"/>
      <c r="J6" s="10" t="n"/>
      <c r="K6" s="14" t="n">
        <v>10</v>
      </c>
      <c r="L6" s="14" t="n"/>
      <c r="M6" s="14" t="n"/>
      <c r="N6" s="31">
        <f>IF(E6="FIXED",F6,IF(E6="PERCENT",G6*IFERROR(INDEX(Costs!$D$6:$F$15,MATCH(A6,Costs!$A$6:$A$15,0),MATCH(H6,Costs!$D$5:$F$5,0)),0),I6*J6))</f>
        <v/>
      </c>
      <c r="O6" s="6">
        <f>IF(ISNUMBER(L6),L6,K6)</f>
        <v/>
      </c>
      <c r="P6" s="6">
        <f>IF(ISNUMBER(M6),MIN(M6,in_poa),in_poa)</f>
        <v/>
      </c>
      <c r="Q6" s="6">
        <f>IF(P6&lt;O6,0,INT((P6-O6)/K6)+1)</f>
        <v/>
      </c>
      <c r="R6" s="31">
        <f>IF(Q6=0,0,IF(in_rate=0,N6*Q6,N6*(1+in_rate)^(-O6)*(1-(1+in_rate)^(-K6*Q6))/(1-(1+in_rate)^(-K6))))</f>
        <v/>
      </c>
      <c r="S6" s="31">
        <f>IF(in_timing="MID_YEAR",IF(O6=0,IF(Q6=0,0,N6+(R6-N6)*(1+in_rate)^0.5),R6*(1+in_rate)^0.5),R6)</f>
        <v/>
      </c>
    </row>
    <row r="7">
      <c r="A7" s="10">
        <f>B7&amp;"|"&amp;C7</f>
        <v/>
      </c>
      <c r="B7" s="4" t="inlineStr">
        <is>
          <t>R1</t>
        </is>
      </c>
      <c r="C7" s="4" t="inlineStr">
        <is>
          <t>A2</t>
        </is>
      </c>
      <c r="D7" s="4" t="inlineStr">
        <is>
          <t>Annual maintenance</t>
        </is>
      </c>
      <c r="E7" s="4" t="inlineStr">
        <is>
          <t>FIXED</t>
        </is>
      </c>
      <c r="F7" s="32" t="n">
        <v>5000</v>
      </c>
      <c r="G7" s="10" t="n"/>
      <c r="H7" s="4" t="inlineStr"/>
      <c r="I7" s="10" t="n"/>
      <c r="J7" s="10" t="n"/>
      <c r="K7" s="14" t="n">
        <v>1</v>
      </c>
      <c r="L7" s="14" t="n"/>
      <c r="M7" s="14" t="n"/>
      <c r="N7" s="31">
        <f>IF(E7="FIXED",F7,IF(E7="PERCENT",G7*IFERROR(INDEX(Costs!$D$6:$F$15,MATCH(A7,Costs!$A$6:$A$15,0),MATCH(H7,Costs!$D$5:$F$5,0)),0),I7*J7))</f>
        <v/>
      </c>
      <c r="O7" s="6">
        <f>IF(ISNUMBER(L7),L7,K7)</f>
        <v/>
      </c>
      <c r="P7" s="6">
        <f>IF(ISNUMBER(M7),MIN(M7,in_poa),in_poa)</f>
        <v/>
      </c>
      <c r="Q7" s="6">
        <f>IF(P7&lt;O7,0,INT((P7-O7)/K7)+1)</f>
        <v/>
      </c>
      <c r="R7" s="31">
        <f>IF(Q7=0,0,IF(in_rate=0,N7*Q7,N7*(1+in_rate)^(-O7)*(1-(1+in_rate)^(-K7*Q7))/(1-(1+in_rate)^(-K7))))</f>
        <v/>
      </c>
      <c r="S7" s="31">
        <f>IF(in_timing="MID_YEAR",IF(O7=0,IF(Q7=0,0,N7+(R7-N7)*(1+in_rate)^0.5),R7*(1+in_rate)^0.5),R7)</f>
        <v/>
      </c>
    </row>
    <row r="8">
      <c r="A8" s="10">
        <f>B8&amp;"|"&amp;C8</f>
        <v/>
      </c>
      <c r="B8" s="4" t="inlineStr">
        <is>
          <t>R1</t>
        </is>
      </c>
      <c r="C8" s="4" t="inlineStr">
        <is>
          <t>A2</t>
        </is>
      </c>
      <c r="D8" s="4" t="inlineStr">
        <is>
          <t>Repair and replanting</t>
        </is>
      </c>
      <c r="E8" s="4" t="inlineStr">
        <is>
          <t>PERCENT</t>
        </is>
      </c>
      <c r="F8" s="10" t="n"/>
      <c r="G8" s="33" t="n">
        <v>0.1</v>
      </c>
      <c r="H8" s="4" t="inlineStr">
        <is>
          <t>construction</t>
        </is>
      </c>
      <c r="I8" s="10" t="n"/>
      <c r="J8" s="10" t="n"/>
      <c r="K8" s="14" t="n">
        <v>25</v>
      </c>
      <c r="L8" s="14" t="n"/>
      <c r="M8" s="14" t="n"/>
      <c r="N8" s="31">
        <f>IF(E8="FIXED",F8,IF(E8="PERCENT",G8*IFERROR(INDEX(Costs!$D$6:$F$15,MATCH(A8,Costs!$A$6:$A$15,0),MATCH(H8,Costs!$D$5:$F$5,0)),0),I8*J8))</f>
        <v/>
      </c>
      <c r="O8" s="6">
        <f>IF(ISNUMBER(L8),L8,K8)</f>
        <v/>
      </c>
      <c r="P8" s="6">
        <f>IF(ISNUMBER(M8),MIN(M8,in_poa),in_poa)</f>
        <v/>
      </c>
      <c r="Q8" s="6">
        <f>IF(P8&lt;O8,0,INT((P8-O8)/K8)+1)</f>
        <v/>
      </c>
      <c r="R8" s="31">
        <f>IF(Q8=0,0,IF(in_rate=0,N8*Q8,N8*(1+in_rate)^(-O8)*(1-(1+in_rate)^(-K8*Q8))/(1-(1+in_rate)^(-K8))))</f>
        <v/>
      </c>
      <c r="S8" s="31">
        <f>IF(in_timing="MID_YEAR",IF(O8=0,IF(Q8=0,0,N8+(R8-N8)*(1+in_rate)^0.5),R8*(1+in_rate)^0.5),R8)</f>
        <v/>
      </c>
    </row>
    <row r="9">
      <c r="A9" s="10">
        <f>B9&amp;"|"&amp;C9</f>
        <v/>
      </c>
      <c r="B9" s="4" t="inlineStr">
        <is>
          <t>R1</t>
        </is>
      </c>
      <c r="C9" s="4" t="inlineStr">
        <is>
          <t>A3</t>
        </is>
      </c>
      <c r="D9" s="4" t="inlineStr">
        <is>
          <t>Annual maintenance</t>
        </is>
      </c>
      <c r="E9" s="4" t="inlineStr">
        <is>
          <t>FIXED</t>
        </is>
      </c>
      <c r="F9" s="32" t="n">
        <v>6000</v>
      </c>
      <c r="G9" s="10" t="n"/>
      <c r="H9" s="4" t="inlineStr"/>
      <c r="I9" s="10" t="n"/>
      <c r="J9" s="10" t="n"/>
      <c r="K9" s="14" t="n">
        <v>1</v>
      </c>
      <c r="L9" s="14" t="n"/>
      <c r="M9" s="14" t="n"/>
      <c r="N9" s="31">
        <f>IF(E9="FIXED",F9,IF(E9="PERCENT",G9*IFERROR(INDEX(Costs!$D$6:$F$15,MATCH(A9,Costs!$A$6:$A$15,0),MATCH(H9,Costs!$D$5:$F$5,0)),0),I9*J9))</f>
        <v/>
      </c>
      <c r="O9" s="6">
        <f>IF(ISNUMBER(L9),L9,K9)</f>
        <v/>
      </c>
      <c r="P9" s="6">
        <f>IF(ISNUMBER(M9),MIN(M9,in_poa),in_poa)</f>
        <v/>
      </c>
      <c r="Q9" s="6">
        <f>IF(P9&lt;O9,0,INT((P9-O9)/K9)+1)</f>
        <v/>
      </c>
      <c r="R9" s="31">
        <f>IF(Q9=0,0,IF(in_rate=0,N9*Q9,N9*(1+in_rate)^(-O9)*(1-(1+in_rate)^(-K9*Q9))/(1-(1+in_rate)^(-K9))))</f>
        <v/>
      </c>
      <c r="S9" s="31">
        <f>IF(in_timing="MID_YEAR",IF(O9=0,IF(Q9=0,0,N9+(R9-N9)*(1+in_rate)^0.5),R9*(1+in_rate)^0.5),R9)</f>
        <v/>
      </c>
    </row>
    <row r="10">
      <c r="A10" s="10">
        <f>B10&amp;"|"&amp;C10</f>
        <v/>
      </c>
      <c r="B10" s="4" t="inlineStr">
        <is>
          <t>R1</t>
        </is>
      </c>
      <c r="C10" s="4" t="inlineStr">
        <is>
          <t>A3</t>
        </is>
      </c>
      <c r="D10" s="4" t="inlineStr">
        <is>
          <t>Repair and replanting</t>
        </is>
      </c>
      <c r="E10" s="4" t="inlineStr">
        <is>
          <t>PERCENT</t>
        </is>
      </c>
      <c r="F10" s="10" t="n"/>
      <c r="G10" s="33" t="n">
        <v>0.1</v>
      </c>
      <c r="H10" s="4" t="inlineStr">
        <is>
          <t>construction</t>
        </is>
      </c>
      <c r="I10" s="10" t="n"/>
      <c r="J10" s="10" t="n"/>
      <c r="K10" s="14" t="n">
        <v>25</v>
      </c>
      <c r="L10" s="14" t="n"/>
      <c r="M10" s="14" t="n"/>
      <c r="N10" s="31">
        <f>IF(E10="FIXED",F10,IF(E10="PERCENT",G10*IFERROR(INDEX(Costs!$D$6:$F$15,MATCH(A10,Costs!$A$6:$A$15,0),MATCH(H10,Costs!$D$5:$F$5,0)),0),I10*J10))</f>
        <v/>
      </c>
      <c r="O10" s="6">
        <f>IF(ISNUMBER(L10),L10,K10)</f>
        <v/>
      </c>
      <c r="P10" s="6">
        <f>IF(ISNUMBER(M10),MIN(M10,in_poa),in_poa)</f>
        <v/>
      </c>
      <c r="Q10" s="6">
        <f>IF(P10&lt;O10,0,INT((P10-O10)/K10)+1)</f>
        <v/>
      </c>
      <c r="R10" s="31">
        <f>IF(Q10=0,0,IF(in_rate=0,N10*Q10,N10*(1+in_rate)^(-O10)*(1-(1+in_rate)^(-K10*Q10))/(1-(1+in_rate)^(-K10))))</f>
        <v/>
      </c>
      <c r="S10" s="31">
        <f>IF(in_timing="MID_YEAR",IF(O10=0,IF(Q10=0,0,N10+(R10-N10)*(1+in_rate)^0.5),R10*(1+in_rate)^0.5),R10)</f>
        <v/>
      </c>
    </row>
    <row r="11">
      <c r="A11" s="10">
        <f>B11&amp;"|"&amp;C11</f>
        <v/>
      </c>
      <c r="B11" s="4" t="inlineStr">
        <is>
          <t>R1</t>
        </is>
      </c>
      <c r="C11" s="4" t="inlineStr">
        <is>
          <t>A3</t>
        </is>
      </c>
      <c r="D11" s="4" t="inlineStr">
        <is>
          <t>Structure inspection</t>
        </is>
      </c>
      <c r="E11" s="4" t="inlineStr">
        <is>
          <t>RATE</t>
        </is>
      </c>
      <c r="F11" s="10" t="n"/>
      <c r="G11" s="10" t="n"/>
      <c r="H11" s="4" t="inlineStr"/>
      <c r="I11" s="32" t="n">
        <v>1.5</v>
      </c>
      <c r="J11" s="34" t="n">
        <v>1000</v>
      </c>
      <c r="K11" s="14" t="n">
        <v>5</v>
      </c>
      <c r="L11" s="14" t="n"/>
      <c r="M11" s="14" t="n"/>
      <c r="N11" s="31">
        <f>IF(E11="FIXED",F11,IF(E11="PERCENT",G11*IFERROR(INDEX(Costs!$D$6:$F$15,MATCH(A11,Costs!$A$6:$A$15,0),MATCH(H11,Costs!$D$5:$F$5,0)),0),I11*J11))</f>
        <v/>
      </c>
      <c r="O11" s="6">
        <f>IF(ISNUMBER(L11),L11,K11)</f>
        <v/>
      </c>
      <c r="P11" s="6">
        <f>IF(ISNUMBER(M11),MIN(M11,in_poa),in_poa)</f>
        <v/>
      </c>
      <c r="Q11" s="6">
        <f>IF(P11&lt;O11,0,INT((P11-O11)/K11)+1)</f>
        <v/>
      </c>
      <c r="R11" s="31">
        <f>IF(Q11=0,0,IF(in_rate=0,N11*Q11,N11*(1+in_rate)^(-O11)*(1-(1+in_rate)^(-K11*Q11))/(1-(1+in_rate)^(-K11))))</f>
        <v/>
      </c>
      <c r="S11" s="31">
        <f>IF(in_timing="MID_YEAR",IF(O11=0,IF(Q11=0,0,N11+(R11-N11)*(1+in_rate)^0.5),R11*(1+in_rate)^0.5),R11)</f>
        <v/>
      </c>
    </row>
    <row r="12">
      <c r="A12" s="10">
        <f>B12&amp;"|"&amp;C12</f>
        <v/>
      </c>
      <c r="B12" s="4" t="inlineStr">
        <is>
          <t>R2</t>
        </is>
      </c>
      <c r="C12" s="4" t="inlineStr">
        <is>
          <t>A1</t>
        </is>
      </c>
      <c r="D12" s="4" t="inlineStr">
        <is>
          <t>Annual maintenance</t>
        </is>
      </c>
      <c r="E12" s="4" t="inlineStr">
        <is>
          <t>FIXED</t>
        </is>
      </c>
      <c r="F12" s="32" t="n">
        <v>6000</v>
      </c>
      <c r="G12" s="10" t="n"/>
      <c r="H12" s="4" t="inlineStr"/>
      <c r="I12" s="10" t="n"/>
      <c r="J12" s="10" t="n"/>
      <c r="K12" s="14" t="n">
        <v>1</v>
      </c>
      <c r="L12" s="14" t="n"/>
      <c r="M12" s="14" t="n"/>
      <c r="N12" s="31">
        <f>IF(E12="FIXED",F12,IF(E12="PERCENT",G12*IFERROR(INDEX(Costs!$D$6:$F$15,MATCH(A12,Costs!$A$6:$A$15,0),MATCH(H12,Costs!$D$5:$F$5,0)),0),I12*J12))</f>
        <v/>
      </c>
      <c r="O12" s="6">
        <f>IF(ISNUMBER(L12),L12,K12)</f>
        <v/>
      </c>
      <c r="P12" s="6">
        <f>IF(ISNUMBER(M12),MIN(M12,in_poa),in_poa)</f>
        <v/>
      </c>
      <c r="Q12" s="6">
        <f>IF(P12&lt;O12,0,INT((P12-O12)/K12)+1)</f>
        <v/>
      </c>
      <c r="R12" s="31">
        <f>IF(Q12=0,0,IF(in_rate=0,N12*Q12,N12*(1+in_rate)^(-O12)*(1-(1+in_rate)^(-K12*Q12))/(1-(1+in_rate)^(-K12))))</f>
        <v/>
      </c>
      <c r="S12" s="31">
        <f>IF(in_timing="MID_YEAR",IF(O12=0,IF(Q12=0,0,N12+(R12-N12)*(1+in_rate)^0.5),R12*(1+in_rate)^0.5),R12)</f>
        <v/>
      </c>
    </row>
    <row r="13">
      <c r="A13" s="10">
        <f>B13&amp;"|"&amp;C13</f>
        <v/>
      </c>
      <c r="B13" s="4" t="inlineStr">
        <is>
          <t>R2</t>
        </is>
      </c>
      <c r="C13" s="4" t="inlineStr">
        <is>
          <t>A1</t>
        </is>
      </c>
      <c r="D13" s="4" t="inlineStr">
        <is>
          <t>Repair and replanting</t>
        </is>
      </c>
      <c r="E13" s="4" t="inlineStr">
        <is>
          <t>PERCENT</t>
        </is>
      </c>
      <c r="F13" s="10" t="n"/>
      <c r="G13" s="33" t="n">
        <v>0.1</v>
      </c>
      <c r="H13" s="4" t="inlineStr">
        <is>
          <t>construction</t>
        </is>
      </c>
      <c r="I13" s="10" t="n"/>
      <c r="J13" s="10" t="n"/>
      <c r="K13" s="14" t="n">
        <v>25</v>
      </c>
      <c r="L13" s="14" t="n"/>
      <c r="M13" s="14" t="n"/>
      <c r="N13" s="31">
        <f>IF(E13="FIXED",F13,IF(E13="PERCENT",G13*IFERROR(INDEX(Costs!$D$6:$F$15,MATCH(A13,Costs!$A$6:$A$15,0),MATCH(H13,Costs!$D$5:$F$5,0)),0),I13*J13))</f>
        <v/>
      </c>
      <c r="O13" s="6">
        <f>IF(ISNUMBER(L13),L13,K13)</f>
        <v/>
      </c>
      <c r="P13" s="6">
        <f>IF(ISNUMBER(M13),MIN(M13,in_poa),in_poa)</f>
        <v/>
      </c>
      <c r="Q13" s="6">
        <f>IF(P13&lt;O13,0,INT((P13-O13)/K13)+1)</f>
        <v/>
      </c>
      <c r="R13" s="31">
        <f>IF(Q13=0,0,IF(in_rate=0,N13*Q13,N13*(1+in_rate)^(-O13)*(1-(1+in_rate)^(-K13*Q13))/(1-(1+in_rate)^(-K13))))</f>
        <v/>
      </c>
      <c r="S13" s="31">
        <f>IF(in_timing="MID_YEAR",IF(O13=0,IF(Q13=0,0,N13+(R13-N13)*(1+in_rate)^0.5),R13*(1+in_rate)^0.5),R13)</f>
        <v/>
      </c>
    </row>
    <row r="14">
      <c r="A14" s="10">
        <f>B14&amp;"|"&amp;C14</f>
        <v/>
      </c>
      <c r="B14" s="4" t="inlineStr">
        <is>
          <t>R2</t>
        </is>
      </c>
      <c r="C14" s="4" t="inlineStr">
        <is>
          <t>A2</t>
        </is>
      </c>
      <c r="D14" s="4" t="inlineStr">
        <is>
          <t>Annual maintenance</t>
        </is>
      </c>
      <c r="E14" s="4" t="inlineStr">
        <is>
          <t>FIXED</t>
        </is>
      </c>
      <c r="F14" s="32" t="n">
        <v>12000</v>
      </c>
      <c r="G14" s="10" t="n"/>
      <c r="H14" s="4" t="inlineStr"/>
      <c r="I14" s="10" t="n"/>
      <c r="J14" s="10" t="n"/>
      <c r="K14" s="14" t="n">
        <v>1</v>
      </c>
      <c r="L14" s="14" t="n"/>
      <c r="M14" s="14" t="n"/>
      <c r="N14" s="31">
        <f>IF(E14="FIXED",F14,IF(E14="PERCENT",G14*IFERROR(INDEX(Costs!$D$6:$F$15,MATCH(A14,Costs!$A$6:$A$15,0),MATCH(H14,Costs!$D$5:$F$5,0)),0),I14*J14))</f>
        <v/>
      </c>
      <c r="O14" s="6">
        <f>IF(ISNUMBER(L14),L14,K14)</f>
        <v/>
      </c>
      <c r="P14" s="6">
        <f>IF(ISNUMBER(M14),MIN(M14,in_poa),in_poa)</f>
        <v/>
      </c>
      <c r="Q14" s="6">
        <f>IF(P14&lt;O14,0,INT((P14-O14)/K14)+1)</f>
        <v/>
      </c>
      <c r="R14" s="31">
        <f>IF(Q14=0,0,IF(in_rate=0,N14*Q14,N14*(1+in_rate)^(-O14)*(1-(1+in_rate)^(-K14*Q14))/(1-(1+in_rate)^(-K14))))</f>
        <v/>
      </c>
      <c r="S14" s="31">
        <f>IF(in_timing="MID_YEAR",IF(O14=0,IF(Q14=0,0,N14+(R14-N14)*(1+in_rate)^0.5),R14*(1+in_rate)^0.5),R14)</f>
        <v/>
      </c>
    </row>
    <row r="15">
      <c r="A15" s="10">
        <f>B15&amp;"|"&amp;C15</f>
        <v/>
      </c>
      <c r="B15" s="4" t="inlineStr">
        <is>
          <t>R2</t>
        </is>
      </c>
      <c r="C15" s="4" t="inlineStr">
        <is>
          <t>A2</t>
        </is>
      </c>
      <c r="D15" s="4" t="inlineStr">
        <is>
          <t>Repair and replanting</t>
        </is>
      </c>
      <c r="E15" s="4" t="inlineStr">
        <is>
          <t>PERCENT</t>
        </is>
      </c>
      <c r="F15" s="10" t="n"/>
      <c r="G15" s="33" t="n">
        <v>0.05</v>
      </c>
      <c r="H15" s="4" t="inlineStr">
        <is>
          <t>construction</t>
        </is>
      </c>
      <c r="I15" s="10" t="n"/>
      <c r="J15" s="10" t="n"/>
      <c r="K15" s="14" t="n">
        <v>10</v>
      </c>
      <c r="L15" s="14" t="n"/>
      <c r="M15" s="14" t="n"/>
      <c r="N15" s="31">
        <f>IF(E15="FIXED",F15,IF(E15="PERCENT",G15*IFERROR(INDEX(Costs!$D$6:$F$15,MATCH(A15,Costs!$A$6:$A$15,0),MATCH(H15,Costs!$D$5:$F$5,0)),0),I15*J15))</f>
        <v/>
      </c>
      <c r="O15" s="6">
        <f>IF(ISNUMBER(L15),L15,K15)</f>
        <v/>
      </c>
      <c r="P15" s="6">
        <f>IF(ISNUMBER(M15),MIN(M15,in_poa),in_poa)</f>
        <v/>
      </c>
      <c r="Q15" s="6">
        <f>IF(P15&lt;O15,0,INT((P15-O15)/K15)+1)</f>
        <v/>
      </c>
      <c r="R15" s="31">
        <f>IF(Q15=0,0,IF(in_rate=0,N15*Q15,N15*(1+in_rate)^(-O15)*(1-(1+in_rate)^(-K15*Q15))/(1-(1+in_rate)^(-K15))))</f>
        <v/>
      </c>
      <c r="S15" s="31">
        <f>IF(in_timing="MID_YEAR",IF(O15=0,IF(Q15=0,0,N15+(R15-N15)*(1+in_rate)^0.5),R15*(1+in_rate)^0.5),R15)</f>
        <v/>
      </c>
    </row>
    <row r="16">
      <c r="A16" s="10">
        <f>B16&amp;"|"&amp;C16</f>
        <v/>
      </c>
      <c r="B16" s="4" t="inlineStr">
        <is>
          <t>R3</t>
        </is>
      </c>
      <c r="C16" s="4" t="inlineStr">
        <is>
          <t>A1</t>
        </is>
      </c>
      <c r="D16" s="4" t="inlineStr">
        <is>
          <t>Annual maintenance</t>
        </is>
      </c>
      <c r="E16" s="4" t="inlineStr">
        <is>
          <t>FIXED</t>
        </is>
      </c>
      <c r="F16" s="32" t="n">
        <v>1500</v>
      </c>
      <c r="G16" s="10" t="n"/>
      <c r="H16" s="4" t="inlineStr"/>
      <c r="I16" s="10" t="n"/>
      <c r="J16" s="10" t="n"/>
      <c r="K16" s="14" t="n">
        <v>1</v>
      </c>
      <c r="L16" s="14" t="n"/>
      <c r="M16" s="14" t="n"/>
      <c r="N16" s="31">
        <f>IF(E16="FIXED",F16,IF(E16="PERCENT",G16*IFERROR(INDEX(Costs!$D$6:$F$15,MATCH(A16,Costs!$A$6:$A$15,0),MATCH(H16,Costs!$D$5:$F$5,0)),0),I16*J16))</f>
        <v/>
      </c>
      <c r="O16" s="6">
        <f>IF(ISNUMBER(L16),L16,K16)</f>
        <v/>
      </c>
      <c r="P16" s="6">
        <f>IF(ISNUMBER(M16),MIN(M16,in_poa),in_poa)</f>
        <v/>
      </c>
      <c r="Q16" s="6">
        <f>IF(P16&lt;O16,0,INT((P16-O16)/K16)+1)</f>
        <v/>
      </c>
      <c r="R16" s="31">
        <f>IF(Q16=0,0,IF(in_rate=0,N16*Q16,N16*(1+in_rate)^(-O16)*(1-(1+in_rate)^(-K16*Q16))/(1-(1+in_rate)^(-K16))))</f>
        <v/>
      </c>
      <c r="S16" s="31">
        <f>IF(in_timing="MID_YEAR",IF(O16=0,IF(Q16=0,0,N16+(R16-N16)*(1+in_rate)^0.5),R16*(1+in_rate)^0.5),R16)</f>
        <v/>
      </c>
    </row>
    <row r="17">
      <c r="A17" s="10">
        <f>B17&amp;"|"&amp;C17</f>
        <v/>
      </c>
      <c r="B17" s="4" t="inlineStr">
        <is>
          <t>R3</t>
        </is>
      </c>
      <c r="C17" s="4" t="inlineStr">
        <is>
          <t>A1</t>
        </is>
      </c>
      <c r="D17" s="4" t="inlineStr">
        <is>
          <t>Fence repair</t>
        </is>
      </c>
      <c r="E17" s="4" t="inlineStr">
        <is>
          <t>RATE</t>
        </is>
      </c>
      <c r="F17" s="10" t="n"/>
      <c r="G17" s="10" t="n"/>
      <c r="H17" s="4" t="inlineStr"/>
      <c r="I17" s="32" t="n">
        <v>2</v>
      </c>
      <c r="J17" s="34" t="n">
        <v>3200</v>
      </c>
      <c r="K17" s="14" t="n">
        <v>10</v>
      </c>
      <c r="L17" s="14" t="n"/>
      <c r="M17" s="14" t="n"/>
      <c r="N17" s="31">
        <f>IF(E17="FIXED",F17,IF(E17="PERCENT",G17*IFERROR(INDEX(Costs!$D$6:$F$15,MATCH(A17,Costs!$A$6:$A$15,0),MATCH(H17,Costs!$D$5:$F$5,0)),0),I17*J17))</f>
        <v/>
      </c>
      <c r="O17" s="6">
        <f>IF(ISNUMBER(L17),L17,K17)</f>
        <v/>
      </c>
      <c r="P17" s="6">
        <f>IF(ISNUMBER(M17),MIN(M17,in_poa),in_poa)</f>
        <v/>
      </c>
      <c r="Q17" s="6">
        <f>IF(P17&lt;O17,0,INT((P17-O17)/K17)+1)</f>
        <v/>
      </c>
      <c r="R17" s="31">
        <f>IF(Q17=0,0,IF(in_rate=0,N17*Q17,N17*(1+in_rate)^(-O17)*(1-(1+in_rate)^(-K17*Q17))/(1-(1+in_rate)^(-K17))))</f>
        <v/>
      </c>
      <c r="S17" s="31">
        <f>IF(in_timing="MID_YEAR",IF(O17=0,IF(Q17=0,0,N17+(R17-N17)*(1+in_rate)^0.5),R17*(1+in_rate)^0.5),R17)</f>
        <v/>
      </c>
    </row>
    <row r="18">
      <c r="A18" s="10">
        <f>B18&amp;"|"&amp;C18</f>
        <v/>
      </c>
      <c r="B18" s="4" t="inlineStr">
        <is>
          <t>R3</t>
        </is>
      </c>
      <c r="C18" s="4" t="inlineStr">
        <is>
          <t>A2</t>
        </is>
      </c>
      <c r="D18" s="4" t="inlineStr">
        <is>
          <t>Annual maintenance</t>
        </is>
      </c>
      <c r="E18" s="4" t="inlineStr">
        <is>
          <t>FIXED</t>
        </is>
      </c>
      <c r="F18" s="32" t="n">
        <v>3000</v>
      </c>
      <c r="G18" s="10" t="n"/>
      <c r="H18" s="4" t="inlineStr"/>
      <c r="I18" s="10" t="n"/>
      <c r="J18" s="10" t="n"/>
      <c r="K18" s="14" t="n">
        <v>1</v>
      </c>
      <c r="L18" s="14" t="n"/>
      <c r="M18" s="14" t="n"/>
      <c r="N18" s="31">
        <f>IF(E18="FIXED",F18,IF(E18="PERCENT",G18*IFERROR(INDEX(Costs!$D$6:$F$15,MATCH(A18,Costs!$A$6:$A$15,0),MATCH(H18,Costs!$D$5:$F$5,0)),0),I18*J18))</f>
        <v/>
      </c>
      <c r="O18" s="6">
        <f>IF(ISNUMBER(L18),L18,K18)</f>
        <v/>
      </c>
      <c r="P18" s="6">
        <f>IF(ISNUMBER(M18),MIN(M18,in_poa),in_poa)</f>
        <v/>
      </c>
      <c r="Q18" s="6">
        <f>IF(P18&lt;O18,0,INT((P18-O18)/K18)+1)</f>
        <v/>
      </c>
      <c r="R18" s="31">
        <f>IF(Q18=0,0,IF(in_rate=0,N18*Q18,N18*(1+in_rate)^(-O18)*(1-(1+in_rate)^(-K18*Q18))/(1-(1+in_rate)^(-K18))))</f>
        <v/>
      </c>
      <c r="S18" s="31">
        <f>IF(in_timing="MID_YEAR",IF(O18=0,IF(Q18=0,0,N18+(R18-N18)*(1+in_rate)^0.5),R18*(1+in_rate)^0.5),R18)</f>
        <v/>
      </c>
    </row>
    <row r="19">
      <c r="A19" s="10">
        <f>B19&amp;"|"&amp;C19</f>
        <v/>
      </c>
      <c r="B19" s="4" t="inlineStr">
        <is>
          <t>R3</t>
        </is>
      </c>
      <c r="C19" s="4" t="inlineStr">
        <is>
          <t>A2</t>
        </is>
      </c>
      <c r="D19" s="4" t="inlineStr">
        <is>
          <t>Culvert inspection</t>
        </is>
      </c>
      <c r="E19" s="4" t="inlineStr">
        <is>
          <t>FIXED</t>
        </is>
      </c>
      <c r="F19" s="32" t="n">
        <v>2000</v>
      </c>
      <c r="G19" s="10" t="n"/>
      <c r="H19" s="4" t="inlineStr"/>
      <c r="I19" s="10" t="n"/>
      <c r="J19" s="10" t="n"/>
      <c r="K19" s="14" t="n">
        <v>5</v>
      </c>
      <c r="L19" s="14" t="n"/>
      <c r="M19" s="14" t="n"/>
      <c r="N19" s="31">
        <f>IF(E19="FIXED",F19,IF(E19="PERCENT",G19*IFERROR(INDEX(Costs!$D$6:$F$15,MATCH(A19,Costs!$A$6:$A$15,0),MATCH(H19,Costs!$D$5:$F$5,0)),0),I19*J19))</f>
        <v/>
      </c>
      <c r="O19" s="6">
        <f>IF(ISNUMBER(L19),L19,K19)</f>
        <v/>
      </c>
      <c r="P19" s="6">
        <f>IF(ISNUMBER(M19),MIN(M19,in_poa),in_poa)</f>
        <v/>
      </c>
      <c r="Q19" s="6">
        <f>IF(P19&lt;O19,0,INT((P19-O19)/K19)+1)</f>
        <v/>
      </c>
      <c r="R19" s="31">
        <f>IF(Q19=0,0,IF(in_rate=0,N19*Q19,N19*(1+in_rate)^(-O19)*(1-(1+in_rate)^(-K19*Q19))/(1-(1+in_rate)^(-K19))))</f>
        <v/>
      </c>
      <c r="S19" s="31">
        <f>IF(in_timing="MID_YEAR",IF(O19=0,IF(Q19=0,0,N19+(R19-N19)*(1+in_rate)^0.5),R19*(1+in_rate)^0.5),R19)</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F5:M19">
    <cfRule type="expression" priority="1" dxfId="0" stopIfTrue="0">
      <formula>F5&lt;&gt;'snap OMRRR'!F5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6" customWidth="1" style="8" min="4" max="4"/>
    <col width="8" customWidth="1" style="8" min="5" max="5"/>
    <col width="13" customWidth="1" style="8" min="6" max="6"/>
    <col width="12" customWidth="1" style="8" min="7" max="7"/>
    <col width="14" customWidth="1" style="8" min="8" max="8"/>
    <col width="14" customWidth="1" style="8" min="9" max="9"/>
    <col width="14" customWidth="1" style="8" min="10" max="10"/>
    <col width="14" customWidth="1" style="8" min="11" max="11"/>
    <col width="14" customWidth="1" style="8" min="12" max="12"/>
    <col width="14" customWidth="1" style="8" min="13" max="13"/>
    <col width="13" customWidth="1" style="8" min="14" max="14"/>
  </cols>
  <sheetData>
    <row r="1">
      <c r="A1" s="1" t="inlineStr">
        <is>
          <t>Summary of inputs to CE/ICA</t>
        </is>
      </c>
    </row>
    <row r="2">
      <c r="A2" s="2" t="inlineStr">
        <is>
          <t>Lift is each alternative's AACU above No Action; the CE/ICA cost is its average annual cost above No Action.</t>
        </is>
      </c>
    </row>
    <row r="4">
      <c r="A4" s="12" t="inlineStr">
        <is>
          <t>Key</t>
        </is>
      </c>
      <c r="B4" s="12" t="inlineStr">
        <is>
          <t>Site</t>
        </is>
      </c>
      <c r="C4" s="12" t="inlineStr">
        <is>
          <t>Alternative</t>
        </is>
      </c>
      <c r="D4" s="12" t="inlineStr">
        <is>
          <t>Name</t>
        </is>
      </c>
      <c r="E4" s="12" t="inlineStr">
        <is>
          <t>No Action</t>
        </is>
      </c>
      <c r="F4" s="12" t="inlineStr">
        <is>
          <t>Outputs (AACU)</t>
        </is>
      </c>
      <c r="G4" s="12" t="inlineStr">
        <is>
          <t>Lift (AACU)</t>
        </is>
      </c>
      <c r="H4" s="12" t="inlineStr">
        <is>
          <t>Construction cost</t>
        </is>
      </c>
      <c r="I4" s="12" t="inlineStr">
        <is>
          <t>First costs</t>
        </is>
      </c>
      <c r="J4" s="12" t="inlineStr">
        <is>
          <t>Interest during construction</t>
        </is>
      </c>
      <c r="K4" s="12" t="inlineStr">
        <is>
          <t>OMRRR present value</t>
        </is>
      </c>
      <c r="L4" s="12" t="inlineStr">
        <is>
          <t>Average annual cost</t>
        </is>
      </c>
      <c r="M4" s="12" t="inlineStr">
        <is>
          <t>Cost above No Action</t>
        </is>
      </c>
      <c r="N4" s="12" t="inlineStr">
        <is>
          <t>Unit cost ($/AACU)</t>
        </is>
      </c>
    </row>
    <row r="5">
      <c r="A5" s="10">
        <f>B5&amp;"|"&amp;C5</f>
        <v/>
      </c>
      <c r="B5" s="4" t="inlineStr">
        <is>
          <t>R1</t>
        </is>
      </c>
      <c r="C5" s="4" t="inlineStr">
        <is>
          <t>FWOP</t>
        </is>
      </c>
      <c r="D5" s="4" t="inlineStr">
        <is>
          <t>No Action</t>
        </is>
      </c>
      <c r="E5" s="4" t="n">
        <v>1</v>
      </c>
      <c r="F5" s="25">
        <f>SUMIFS(Benefits!$K$6:$K$15,Benefits!$A$6:$A$15,A5)</f>
        <v/>
      </c>
      <c r="G5" s="25">
        <f>F5-$F$5</f>
        <v/>
      </c>
      <c r="H5" s="30">
        <f>Costs!D6</f>
        <v/>
      </c>
      <c r="I5" s="30">
        <f>SUM(Costs!D6:F6)</f>
        <v/>
      </c>
      <c r="J5" s="30">
        <f>Costs!I6</f>
        <v/>
      </c>
      <c r="K5" s="30">
        <f>Costs!J6</f>
        <v/>
      </c>
      <c r="L5" s="31">
        <f>Costs!M6</f>
        <v/>
      </c>
      <c r="M5" s="31">
        <f>L5-$L$5</f>
        <v/>
      </c>
      <c r="N5" s="30">
        <f>IF(G5&gt;0,M5/G5,"n/a")</f>
        <v/>
      </c>
    </row>
    <row r="6">
      <c r="A6" s="10">
        <f>B6&amp;"|"&amp;C6</f>
        <v/>
      </c>
      <c r="B6" s="4" t="inlineStr">
        <is>
          <t>R1</t>
        </is>
      </c>
      <c r="C6" s="4" t="inlineStr">
        <is>
          <t>A1</t>
        </is>
      </c>
      <c r="D6" s="4" t="inlineStr">
        <is>
          <t>Riparian buffer</t>
        </is>
      </c>
      <c r="E6" s="4" t="n">
        <v>0</v>
      </c>
      <c r="F6" s="25">
        <f>SUMIFS(Benefits!$K$6:$K$15,Benefits!$A$6:$A$15,A6)</f>
        <v/>
      </c>
      <c r="G6" s="25">
        <f>F6-$F$5</f>
        <v/>
      </c>
      <c r="H6" s="30">
        <f>Costs!D7</f>
        <v/>
      </c>
      <c r="I6" s="30">
        <f>SUM(Costs!D7:F7)</f>
        <v/>
      </c>
      <c r="J6" s="30">
        <f>Costs!I7</f>
        <v/>
      </c>
      <c r="K6" s="30">
        <f>Costs!J7</f>
        <v/>
      </c>
      <c r="L6" s="31">
        <f>Costs!M7</f>
        <v/>
      </c>
      <c r="M6" s="31">
        <f>L6-$L$5</f>
        <v/>
      </c>
      <c r="N6" s="30">
        <f>IF(G6&gt;0,M6/G6,"n/a")</f>
        <v/>
      </c>
    </row>
    <row r="7">
      <c r="A7" s="10">
        <f>B7&amp;"|"&amp;C7</f>
        <v/>
      </c>
      <c r="B7" s="4" t="inlineStr">
        <is>
          <t>R1</t>
        </is>
      </c>
      <c r="C7" s="4" t="inlineStr">
        <is>
          <t>A2</t>
        </is>
      </c>
      <c r="D7" s="4" t="inlineStr">
        <is>
          <t>Floodplain bench and buffer</t>
        </is>
      </c>
      <c r="E7" s="4" t="n">
        <v>0</v>
      </c>
      <c r="F7" s="25">
        <f>SUMIFS(Benefits!$K$6:$K$15,Benefits!$A$6:$A$15,A7)</f>
        <v/>
      </c>
      <c r="G7" s="25">
        <f>F7-$F$5</f>
        <v/>
      </c>
      <c r="H7" s="30">
        <f>Costs!D8</f>
        <v/>
      </c>
      <c r="I7" s="30">
        <f>SUM(Costs!D8:F8)</f>
        <v/>
      </c>
      <c r="J7" s="30">
        <f>Costs!I8</f>
        <v/>
      </c>
      <c r="K7" s="30">
        <f>Costs!J8</f>
        <v/>
      </c>
      <c r="L7" s="31">
        <f>Costs!M8</f>
        <v/>
      </c>
      <c r="M7" s="31">
        <f>L7-$L$5</f>
        <v/>
      </c>
      <c r="N7" s="30">
        <f>IF(G7&gt;0,M7/G7,"n/a")</f>
        <v/>
      </c>
    </row>
    <row r="8">
      <c r="A8" s="10">
        <f>B8&amp;"|"&amp;C8</f>
        <v/>
      </c>
      <c r="B8" s="4" t="inlineStr">
        <is>
          <t>R1</t>
        </is>
      </c>
      <c r="C8" s="4" t="inlineStr">
        <is>
          <t>A3</t>
        </is>
      </c>
      <c r="D8" s="4" t="inlineStr">
        <is>
          <t>Bench, buffer and instream structure</t>
        </is>
      </c>
      <c r="E8" s="4" t="n">
        <v>0</v>
      </c>
      <c r="F8" s="25">
        <f>SUMIFS(Benefits!$K$6:$K$15,Benefits!$A$6:$A$15,A8)</f>
        <v/>
      </c>
      <c r="G8" s="25">
        <f>F8-$F$5</f>
        <v/>
      </c>
      <c r="H8" s="30">
        <f>Costs!D9</f>
        <v/>
      </c>
      <c r="I8" s="30">
        <f>SUM(Costs!D9:F9)</f>
        <v/>
      </c>
      <c r="J8" s="30">
        <f>Costs!I9</f>
        <v/>
      </c>
      <c r="K8" s="30">
        <f>Costs!J9</f>
        <v/>
      </c>
      <c r="L8" s="31">
        <f>Costs!M9</f>
        <v/>
      </c>
      <c r="M8" s="31">
        <f>L8-$L$5</f>
        <v/>
      </c>
      <c r="N8" s="30">
        <f>IF(G8&gt;0,M8/G8,"n/a")</f>
        <v/>
      </c>
    </row>
    <row r="9">
      <c r="A9" s="10">
        <f>B9&amp;"|"&amp;C9</f>
        <v/>
      </c>
      <c r="B9" s="4" t="inlineStr">
        <is>
          <t>R2</t>
        </is>
      </c>
      <c r="C9" s="4" t="inlineStr">
        <is>
          <t>FWOP</t>
        </is>
      </c>
      <c r="D9" s="4" t="inlineStr">
        <is>
          <t>No Action</t>
        </is>
      </c>
      <c r="E9" s="4" t="n">
        <v>1</v>
      </c>
      <c r="F9" s="25">
        <f>SUMIFS(Benefits!$K$6:$K$15,Benefits!$A$6:$A$15,A9)</f>
        <v/>
      </c>
      <c r="G9" s="25">
        <f>F9-$F$9</f>
        <v/>
      </c>
      <c r="H9" s="30">
        <f>Costs!D10</f>
        <v/>
      </c>
      <c r="I9" s="30">
        <f>SUM(Costs!D10:F10)</f>
        <v/>
      </c>
      <c r="J9" s="30">
        <f>Costs!I10</f>
        <v/>
      </c>
      <c r="K9" s="30">
        <f>Costs!J10</f>
        <v/>
      </c>
      <c r="L9" s="31">
        <f>Costs!M10</f>
        <v/>
      </c>
      <c r="M9" s="31">
        <f>L9-$L$9</f>
        <v/>
      </c>
      <c r="N9" s="30">
        <f>IF(G9&gt;0,M9/G9,"n/a")</f>
        <v/>
      </c>
    </row>
    <row r="10">
      <c r="A10" s="10">
        <f>B10&amp;"|"&amp;C10</f>
        <v/>
      </c>
      <c r="B10" s="4" t="inlineStr">
        <is>
          <t>R2</t>
        </is>
      </c>
      <c r="C10" s="4" t="inlineStr">
        <is>
          <t>A1</t>
        </is>
      </c>
      <c r="D10" s="4" t="inlineStr">
        <is>
          <t>Bank regrading and planting</t>
        </is>
      </c>
      <c r="E10" s="4" t="n">
        <v>0</v>
      </c>
      <c r="F10" s="25">
        <f>SUMIFS(Benefits!$K$6:$K$15,Benefits!$A$6:$A$15,A10)</f>
        <v/>
      </c>
      <c r="G10" s="25">
        <f>F10-$F$9</f>
        <v/>
      </c>
      <c r="H10" s="30">
        <f>Costs!D11</f>
        <v/>
      </c>
      <c r="I10" s="30">
        <f>SUM(Costs!D11:F11)</f>
        <v/>
      </c>
      <c r="J10" s="30">
        <f>Costs!I11</f>
        <v/>
      </c>
      <c r="K10" s="30">
        <f>Costs!J11</f>
        <v/>
      </c>
      <c r="L10" s="31">
        <f>Costs!M11</f>
        <v/>
      </c>
      <c r="M10" s="31">
        <f>L10-$L$9</f>
        <v/>
      </c>
      <c r="N10" s="30">
        <f>IF(G10&gt;0,M10/G10,"n/a")</f>
        <v/>
      </c>
    </row>
    <row r="11">
      <c r="A11" s="10">
        <f>B11&amp;"|"&amp;C11</f>
        <v/>
      </c>
      <c r="B11" s="4" t="inlineStr">
        <is>
          <t>R2</t>
        </is>
      </c>
      <c r="C11" s="4" t="inlineStr">
        <is>
          <t>A2</t>
        </is>
      </c>
      <c r="D11" s="4" t="inlineStr">
        <is>
          <t>Daylight and reconnect the floodplain</t>
        </is>
      </c>
      <c r="E11" s="4" t="n">
        <v>0</v>
      </c>
      <c r="F11" s="25">
        <f>SUMIFS(Benefits!$K$6:$K$15,Benefits!$A$6:$A$15,A11)</f>
        <v/>
      </c>
      <c r="G11" s="25">
        <f>F11-$F$9</f>
        <v/>
      </c>
      <c r="H11" s="30">
        <f>Costs!D12</f>
        <v/>
      </c>
      <c r="I11" s="30">
        <f>SUM(Costs!D12:F12)</f>
        <v/>
      </c>
      <c r="J11" s="30">
        <f>Costs!I12</f>
        <v/>
      </c>
      <c r="K11" s="30">
        <f>Costs!J12</f>
        <v/>
      </c>
      <c r="L11" s="31">
        <f>Costs!M12</f>
        <v/>
      </c>
      <c r="M11" s="31">
        <f>L11-$L$9</f>
        <v/>
      </c>
      <c r="N11" s="30">
        <f>IF(G11&gt;0,M11/G11,"n/a")</f>
        <v/>
      </c>
    </row>
    <row r="12">
      <c r="A12" s="10">
        <f>B12&amp;"|"&amp;C12</f>
        <v/>
      </c>
      <c r="B12" s="4" t="inlineStr">
        <is>
          <t>R3</t>
        </is>
      </c>
      <c r="C12" s="4" t="inlineStr">
        <is>
          <t>FWOP</t>
        </is>
      </c>
      <c r="D12" s="4" t="inlineStr">
        <is>
          <t>No Action</t>
        </is>
      </c>
      <c r="E12" s="4" t="n">
        <v>1</v>
      </c>
      <c r="F12" s="25">
        <f>SUMIFS(Benefits!$K$6:$K$15,Benefits!$A$6:$A$15,A12)</f>
        <v/>
      </c>
      <c r="G12" s="25">
        <f>F12-$F$12</f>
        <v/>
      </c>
      <c r="H12" s="30">
        <f>Costs!D13</f>
        <v/>
      </c>
      <c r="I12" s="30">
        <f>SUM(Costs!D13:F13)</f>
        <v/>
      </c>
      <c r="J12" s="30">
        <f>Costs!I13</f>
        <v/>
      </c>
      <c r="K12" s="30">
        <f>Costs!J13</f>
        <v/>
      </c>
      <c r="L12" s="31">
        <f>Costs!M13</f>
        <v/>
      </c>
      <c r="M12" s="31">
        <f>L12-$L$12</f>
        <v/>
      </c>
      <c r="N12" s="30">
        <f>IF(G12&gt;0,M12/G12,"n/a")</f>
        <v/>
      </c>
    </row>
    <row r="13">
      <c r="A13" s="10">
        <f>B13&amp;"|"&amp;C13</f>
        <v/>
      </c>
      <c r="B13" s="4" t="inlineStr">
        <is>
          <t>R3</t>
        </is>
      </c>
      <c r="C13" s="4" t="inlineStr">
        <is>
          <t>A1</t>
        </is>
      </c>
      <c r="D13" s="4" t="inlineStr">
        <is>
          <t>Livestock exclusion</t>
        </is>
      </c>
      <c r="E13" s="4" t="n">
        <v>0</v>
      </c>
      <c r="F13" s="25">
        <f>SUMIFS(Benefits!$K$6:$K$15,Benefits!$A$6:$A$15,A13)</f>
        <v/>
      </c>
      <c r="G13" s="25">
        <f>F13-$F$12</f>
        <v/>
      </c>
      <c r="H13" s="30">
        <f>Costs!D14</f>
        <v/>
      </c>
      <c r="I13" s="30">
        <f>SUM(Costs!D14:F14)</f>
        <v/>
      </c>
      <c r="J13" s="30">
        <f>Costs!I14</f>
        <v/>
      </c>
      <c r="K13" s="30">
        <f>Costs!J14</f>
        <v/>
      </c>
      <c r="L13" s="31">
        <f>Costs!M14</f>
        <v/>
      </c>
      <c r="M13" s="31">
        <f>L13-$L$12</f>
        <v/>
      </c>
      <c r="N13" s="30">
        <f>IF(G13&gt;0,M13/G13,"n/a")</f>
        <v/>
      </c>
    </row>
    <row r="14">
      <c r="A14" s="10">
        <f>B14&amp;"|"&amp;C14</f>
        <v/>
      </c>
      <c r="B14" s="4" t="inlineStr">
        <is>
          <t>R3</t>
        </is>
      </c>
      <c r="C14" s="4" t="inlineStr">
        <is>
          <t>A2</t>
        </is>
      </c>
      <c r="D14" s="4" t="inlineStr">
        <is>
          <t>Livestock exclusion and culvert replacement</t>
        </is>
      </c>
      <c r="E14" s="4" t="n">
        <v>0</v>
      </c>
      <c r="F14" s="25">
        <f>SUMIFS(Benefits!$K$6:$K$15,Benefits!$A$6:$A$15,A14)</f>
        <v/>
      </c>
      <c r="G14" s="25">
        <f>F14-$F$12</f>
        <v/>
      </c>
      <c r="H14" s="30">
        <f>Costs!D15</f>
        <v/>
      </c>
      <c r="I14" s="30">
        <f>SUM(Costs!D15:F15)</f>
        <v/>
      </c>
      <c r="J14" s="30">
        <f>Costs!I15</f>
        <v/>
      </c>
      <c r="K14" s="30">
        <f>Costs!J15</f>
        <v/>
      </c>
      <c r="L14" s="31">
        <f>Costs!M15</f>
        <v/>
      </c>
      <c r="M14" s="31">
        <f>L14-$L$12</f>
        <v/>
      </c>
      <c r="N14" s="30">
        <f>IF(G14&gt;0,M14/G14,"n/a")</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9"/>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4" customWidth="1" style="8" min="4" max="4"/>
    <col width="8" customWidth="1" style="8" min="5" max="5"/>
    <col width="7" customWidth="1" style="8" min="6" max="6"/>
    <col width="11" customWidth="1" style="8" min="7" max="7"/>
    <col width="13" customWidth="1" style="8" min="8" max="8"/>
    <col hidden="1" width="11" customWidth="1" style="8" min="9" max="9"/>
    <col hidden="1" width="11" customWidth="1" style="8" min="10" max="10"/>
    <col hidden="1" width="8" customWidth="1" style="8" min="11" max="11"/>
    <col width="9" customWidth="1" style="8" min="12" max="12"/>
    <col hidden="1" width="8" customWidth="1" style="8" min="13" max="13"/>
    <col hidden="1" width="11" customWidth="1" style="8" min="14" max="14"/>
    <col hidden="1" width="11" customWidth="1" style="8" min="15" max="15"/>
    <col width="7" customWidth="1" style="8" min="16" max="16"/>
    <col hidden="1" width="8" customWidth="1" style="8" min="17" max="17"/>
    <col hidden="1" width="11" customWidth="1" style="8" min="18" max="18"/>
    <col hidden="1" width="11" customWidth="1" style="8" min="19" max="19"/>
    <col width="11" customWidth="1" style="8" min="20" max="20"/>
    <col width="13" customWidth="1" style="8" min="21" max="21"/>
    <col width="13" customWidth="1" style="8" min="22" max="22"/>
    <col width="11" customWidth="1" style="8" min="23" max="23"/>
    <col width="11" customWidth="1" style="8" min="24" max="24"/>
  </cols>
  <sheetData>
    <row r="1">
      <c r="A1" s="1" t="inlineStr">
        <is>
          <t>Site-by-site CE/ICA</t>
        </is>
      </c>
    </row>
    <row r="2">
      <c r="A2" s="2" t="inlineStr">
        <is>
          <t>Cost-effective: no alternative gives the same output for less, or more output for no more. Best buy: on the lower hull from No Action (IWR Planning Suite II rules).</t>
        </is>
      </c>
    </row>
    <row r="4">
      <c r="A4" s="12" t="inlineStr">
        <is>
          <t>Key</t>
        </is>
      </c>
      <c r="B4" s="12" t="inlineStr">
        <is>
          <t>Site</t>
        </is>
      </c>
      <c r="C4" s="12" t="inlineStr">
        <is>
          <t>Alternative</t>
        </is>
      </c>
      <c r="D4" s="12" t="inlineStr">
        <is>
          <t>Name</t>
        </is>
      </c>
      <c r="E4" s="12" t="inlineStr">
        <is>
          <t>No Action</t>
        </is>
      </c>
      <c r="F4" s="12" t="inlineStr">
        <is>
          <t>Ordinal</t>
        </is>
      </c>
      <c r="G4" s="12" t="inlineStr">
        <is>
          <t>Lift (AACU)</t>
        </is>
      </c>
      <c r="H4" s="12" t="inlineStr">
        <is>
          <t>Cost above No Action</t>
        </is>
      </c>
      <c r="I4" s="12" t="inlineStr">
        <is>
          <t>Lift (scaled)</t>
        </is>
      </c>
      <c r="J4" s="12" t="inlineStr">
        <is>
          <t>Cost (scaled)</t>
        </is>
      </c>
      <c r="K4" s="12" t="inlineStr">
        <is>
          <t>Dominated by</t>
        </is>
      </c>
      <c r="L4" s="12" t="inlineStr">
        <is>
          <t>Cost-effective</t>
        </is>
      </c>
      <c r="M4" s="12" t="inlineStr">
        <is>
          <t>Candidate</t>
        </is>
      </c>
      <c r="N4" s="12" t="inlineStr">
        <is>
          <t>Slope in (max)</t>
        </is>
      </c>
      <c r="O4" s="12" t="inlineStr">
        <is>
          <t>Slope out (min)</t>
        </is>
      </c>
      <c r="P4" s="12" t="inlineStr">
        <is>
          <t>Best buy</t>
        </is>
      </c>
      <c r="Q4" s="12" t="inlineStr">
        <is>
          <t>Best-buy step</t>
        </is>
      </c>
      <c r="R4" s="12" t="inlineStr">
        <is>
          <t>Previous lift (scaled)</t>
        </is>
      </c>
      <c r="S4" s="12" t="inlineStr">
        <is>
          <t>Previous cost (scaled)</t>
        </is>
      </c>
      <c r="T4" s="12" t="inlineStr">
        <is>
          <t>Incremental output</t>
        </is>
      </c>
      <c r="U4" s="12" t="inlineStr">
        <is>
          <t>Incremental cost</t>
        </is>
      </c>
      <c r="V4" s="12" t="inlineStr">
        <is>
          <t>Incremental cost per unit</t>
        </is>
      </c>
      <c r="W4" s="12" t="inlineStr">
        <is>
          <t>Unit cost</t>
        </is>
      </c>
      <c r="X4" s="12" t="inlineStr">
        <is>
          <t>Recommended</t>
        </is>
      </c>
    </row>
    <row r="5">
      <c r="B5" s="7" t="inlineStr">
        <is>
          <t>R1  Example Reach</t>
        </is>
      </c>
    </row>
    <row r="6">
      <c r="A6" s="10">
        <f>B6&amp;"|"&amp;C6</f>
        <v/>
      </c>
      <c r="B6" s="4" t="inlineStr">
        <is>
          <t>R1</t>
        </is>
      </c>
      <c r="C6" s="4" t="inlineStr">
        <is>
          <t>FWOP</t>
        </is>
      </c>
      <c r="D6" s="4" t="inlineStr">
        <is>
          <t>No Action</t>
        </is>
      </c>
      <c r="E6" s="4" t="n">
        <v>1</v>
      </c>
      <c r="F6" s="4" t="n">
        <v>1</v>
      </c>
      <c r="G6" s="25">
        <f>Summary!G5</f>
        <v/>
      </c>
      <c r="H6" s="31">
        <f>Summary!M5</f>
        <v/>
      </c>
      <c r="I6" s="6">
        <f>ROUND(G6*10^in_out_dp,0)</f>
        <v/>
      </c>
      <c r="J6" s="6">
        <f>ROUND(H6*10^in_cost_dp,0)</f>
        <v/>
      </c>
      <c r="K6" s="10">
        <f>SUMPRODUCT(($I$6:$I$9=I6)*($J$6:$J$9&lt;J6)+($I$6:$I$9&gt;I6)*($J$6:$J$9&lt;=J6))</f>
        <v/>
      </c>
      <c r="L6" s="10">
        <f>IF(OR(E6=1,K6=0),1,0)</f>
        <v/>
      </c>
      <c r="M6" s="10">
        <f>IF(AND(L6=1,E6=0,I6&gt;0),1,0)</f>
        <v/>
      </c>
      <c r="N6" s="35">
        <f>IF(M6=1,MAX(J6/I6,SUMPRODUCT(MAX(((J6-$J$6:$J$9)*($M$6:$M$9*($I$6:$I$9&lt;I6)))/((I6-$I$6:$I$9)*($M$6:$M$9*($I$6:$I$9&lt;I6))+1-($M$6:$M$9*($I$6:$I$9&lt;I6)))-(1-($M$6:$M$9*($I$6:$I$9&lt;I6)))*1E+300))),0)</f>
        <v/>
      </c>
      <c r="O6" s="35">
        <f>IF(M6=1,SUMPRODUCT(MIN(((($J$6:$J$9-J6)*($M$6:$M$9*($I$6:$I$9&gt;I6)))/(($I$6:$I$9-I6)*($M$6:$M$9*($I$6:$I$9&gt;I6))+1-($M$6:$M$9*($I$6:$I$9&gt;I6)))+(1-($M$6:$M$9*($I$6:$I$9&gt;I6)))*1E+300))),0)</f>
        <v/>
      </c>
      <c r="P6" s="10">
        <f>IF(E6=1,1,IF(AND(M6=1,N6&lt;=O6),1,0))</f>
        <v/>
      </c>
      <c r="Q6" s="10">
        <f>IF(P6=1,1+SUMPRODUCT($P$6:$P$9*(($I$6:$I$9&lt;I6)+($I$6:$I$9=I6)*($F$6:$F$9&lt;F6))),0)</f>
        <v/>
      </c>
      <c r="R6" s="10">
        <f>IF(Q6&lt;=1,0,SUMPRODUCT(($Q$6:$Q$9=Q6-1)*$I$6:$I$9))</f>
        <v/>
      </c>
      <c r="S6" s="10">
        <f>IF(Q6&lt;=1,0,SUMPRODUCT(($Q$6:$Q$9=Q6-1)*$J$6:$J$9))</f>
        <v/>
      </c>
      <c r="T6" s="25">
        <f>IF(Q6=0,"",(I6-R6)/10^in_out_dp)</f>
        <v/>
      </c>
      <c r="U6" s="31">
        <f>IF(Q6=0,"",(J6-S6)/10^in_cost_dp)</f>
        <v/>
      </c>
      <c r="V6" s="31">
        <f>IF(Q6=0,"",IF(I6=R6,0,U6/T6))</f>
        <v/>
      </c>
      <c r="W6" s="31">
        <f>IF(I6&gt;0,(J6/10^in_cost_dp)/(I6/10^in_out_dp),"n/a")</f>
        <v/>
      </c>
      <c r="X6" s="10">
        <f>IF(Sites!$C$5=C6,1,0)</f>
        <v/>
      </c>
    </row>
    <row r="7">
      <c r="A7" s="10">
        <f>B7&amp;"|"&amp;C7</f>
        <v/>
      </c>
      <c r="B7" s="4" t="inlineStr">
        <is>
          <t>R1</t>
        </is>
      </c>
      <c r="C7" s="4" t="inlineStr">
        <is>
          <t>A1</t>
        </is>
      </c>
      <c r="D7" s="4" t="inlineStr">
        <is>
          <t>Riparian buffer</t>
        </is>
      </c>
      <c r="E7" s="4" t="n">
        <v>0</v>
      </c>
      <c r="F7" s="4" t="n">
        <v>2</v>
      </c>
      <c r="G7" s="25">
        <f>Summary!G6</f>
        <v/>
      </c>
      <c r="H7" s="31">
        <f>Summary!M6</f>
        <v/>
      </c>
      <c r="I7" s="6">
        <f>ROUND(G7*10^in_out_dp,0)</f>
        <v/>
      </c>
      <c r="J7" s="6">
        <f>ROUND(H7*10^in_cost_dp,0)</f>
        <v/>
      </c>
      <c r="K7" s="10">
        <f>SUMPRODUCT(($I$6:$I$9=I7)*($J$6:$J$9&lt;J7)+($I$6:$I$9&gt;I7)*($J$6:$J$9&lt;=J7))</f>
        <v/>
      </c>
      <c r="L7" s="10">
        <f>IF(OR(E7=1,K7=0),1,0)</f>
        <v/>
      </c>
      <c r="M7" s="10">
        <f>IF(AND(L7=1,E7=0,I7&gt;0),1,0)</f>
        <v/>
      </c>
      <c r="N7" s="35">
        <f>IF(M7=1,MAX(J7/I7,SUMPRODUCT(MAX(((J7-$J$6:$J$9)*($M$6:$M$9*($I$6:$I$9&lt;I7)))/((I7-$I$6:$I$9)*($M$6:$M$9*($I$6:$I$9&lt;I7))+1-($M$6:$M$9*($I$6:$I$9&lt;I7)))-(1-($M$6:$M$9*($I$6:$I$9&lt;I7)))*1E+300))),0)</f>
        <v/>
      </c>
      <c r="O7" s="35">
        <f>IF(M7=1,SUMPRODUCT(MIN(((($J$6:$J$9-J7)*($M$6:$M$9*($I$6:$I$9&gt;I7)))/(($I$6:$I$9-I7)*($M$6:$M$9*($I$6:$I$9&gt;I7))+1-($M$6:$M$9*($I$6:$I$9&gt;I7)))+(1-($M$6:$M$9*($I$6:$I$9&gt;I7)))*1E+300))),0)</f>
        <v/>
      </c>
      <c r="P7" s="10">
        <f>IF(E7=1,1,IF(AND(M7=1,N7&lt;=O7),1,0))</f>
        <v/>
      </c>
      <c r="Q7" s="10">
        <f>IF(P7=1,1+SUMPRODUCT($P$6:$P$9*(($I$6:$I$9&lt;I7)+($I$6:$I$9=I7)*($F$6:$F$9&lt;F7))),0)</f>
        <v/>
      </c>
      <c r="R7" s="10">
        <f>IF(Q7&lt;=1,0,SUMPRODUCT(($Q$6:$Q$9=Q7-1)*$I$6:$I$9))</f>
        <v/>
      </c>
      <c r="S7" s="10">
        <f>IF(Q7&lt;=1,0,SUMPRODUCT(($Q$6:$Q$9=Q7-1)*$J$6:$J$9))</f>
        <v/>
      </c>
      <c r="T7" s="25">
        <f>IF(Q7=0,"",(I7-R7)/10^in_out_dp)</f>
        <v/>
      </c>
      <c r="U7" s="31">
        <f>IF(Q7=0,"",(J7-S7)/10^in_cost_dp)</f>
        <v/>
      </c>
      <c r="V7" s="31">
        <f>IF(Q7=0,"",IF(I7=R7,0,U7/T7))</f>
        <v/>
      </c>
      <c r="W7" s="31">
        <f>IF(I7&gt;0,(J7/10^in_cost_dp)/(I7/10^in_out_dp),"n/a")</f>
        <v/>
      </c>
      <c r="X7" s="10">
        <f>IF(Sites!$C$5=C7,1,0)</f>
        <v/>
      </c>
    </row>
    <row r="8">
      <c r="A8" s="10">
        <f>B8&amp;"|"&amp;C8</f>
        <v/>
      </c>
      <c r="B8" s="4" t="inlineStr">
        <is>
          <t>R1</t>
        </is>
      </c>
      <c r="C8" s="4" t="inlineStr">
        <is>
          <t>A2</t>
        </is>
      </c>
      <c r="D8" s="4" t="inlineStr">
        <is>
          <t>Floodplain bench and buffer</t>
        </is>
      </c>
      <c r="E8" s="4" t="n">
        <v>0</v>
      </c>
      <c r="F8" s="4" t="n">
        <v>3</v>
      </c>
      <c r="G8" s="25">
        <f>Summary!G7</f>
        <v/>
      </c>
      <c r="H8" s="31">
        <f>Summary!M7</f>
        <v/>
      </c>
      <c r="I8" s="6">
        <f>ROUND(G8*10^in_out_dp,0)</f>
        <v/>
      </c>
      <c r="J8" s="6">
        <f>ROUND(H8*10^in_cost_dp,0)</f>
        <v/>
      </c>
      <c r="K8" s="10">
        <f>SUMPRODUCT(($I$6:$I$9=I8)*($J$6:$J$9&lt;J8)+($I$6:$I$9&gt;I8)*($J$6:$J$9&lt;=J8))</f>
        <v/>
      </c>
      <c r="L8" s="10">
        <f>IF(OR(E8=1,K8=0),1,0)</f>
        <v/>
      </c>
      <c r="M8" s="10">
        <f>IF(AND(L8=1,E8=0,I8&gt;0),1,0)</f>
        <v/>
      </c>
      <c r="N8" s="35">
        <f>IF(M8=1,MAX(J8/I8,SUMPRODUCT(MAX(((J8-$J$6:$J$9)*($M$6:$M$9*($I$6:$I$9&lt;I8)))/((I8-$I$6:$I$9)*($M$6:$M$9*($I$6:$I$9&lt;I8))+1-($M$6:$M$9*($I$6:$I$9&lt;I8)))-(1-($M$6:$M$9*($I$6:$I$9&lt;I8)))*1E+300))),0)</f>
        <v/>
      </c>
      <c r="O8" s="35">
        <f>IF(M8=1,SUMPRODUCT(MIN(((($J$6:$J$9-J8)*($M$6:$M$9*($I$6:$I$9&gt;I8)))/(($I$6:$I$9-I8)*($M$6:$M$9*($I$6:$I$9&gt;I8))+1-($M$6:$M$9*($I$6:$I$9&gt;I8)))+(1-($M$6:$M$9*($I$6:$I$9&gt;I8)))*1E+300))),0)</f>
        <v/>
      </c>
      <c r="P8" s="10">
        <f>IF(E8=1,1,IF(AND(M8=1,N8&lt;=O8),1,0))</f>
        <v/>
      </c>
      <c r="Q8" s="10">
        <f>IF(P8=1,1+SUMPRODUCT($P$6:$P$9*(($I$6:$I$9&lt;I8)+($I$6:$I$9=I8)*($F$6:$F$9&lt;F8))),0)</f>
        <v/>
      </c>
      <c r="R8" s="10">
        <f>IF(Q8&lt;=1,0,SUMPRODUCT(($Q$6:$Q$9=Q8-1)*$I$6:$I$9))</f>
        <v/>
      </c>
      <c r="S8" s="10">
        <f>IF(Q8&lt;=1,0,SUMPRODUCT(($Q$6:$Q$9=Q8-1)*$J$6:$J$9))</f>
        <v/>
      </c>
      <c r="T8" s="25">
        <f>IF(Q8=0,"",(I8-R8)/10^in_out_dp)</f>
        <v/>
      </c>
      <c r="U8" s="31">
        <f>IF(Q8=0,"",(J8-S8)/10^in_cost_dp)</f>
        <v/>
      </c>
      <c r="V8" s="31">
        <f>IF(Q8=0,"",IF(I8=R8,0,U8/T8))</f>
        <v/>
      </c>
      <c r="W8" s="31">
        <f>IF(I8&gt;0,(J8/10^in_cost_dp)/(I8/10^in_out_dp),"n/a")</f>
        <v/>
      </c>
      <c r="X8" s="10">
        <f>IF(Sites!$C$5=C8,1,0)</f>
        <v/>
      </c>
    </row>
    <row r="9">
      <c r="A9" s="10">
        <f>B9&amp;"|"&amp;C9</f>
        <v/>
      </c>
      <c r="B9" s="4" t="inlineStr">
        <is>
          <t>R1</t>
        </is>
      </c>
      <c r="C9" s="4" t="inlineStr">
        <is>
          <t>A3</t>
        </is>
      </c>
      <c r="D9" s="4" t="inlineStr">
        <is>
          <t>Bench, buffer and instream structure</t>
        </is>
      </c>
      <c r="E9" s="4" t="n">
        <v>0</v>
      </c>
      <c r="F9" s="4" t="n">
        <v>4</v>
      </c>
      <c r="G9" s="25">
        <f>Summary!G8</f>
        <v/>
      </c>
      <c r="H9" s="31">
        <f>Summary!M8</f>
        <v/>
      </c>
      <c r="I9" s="6">
        <f>ROUND(G9*10^in_out_dp,0)</f>
        <v/>
      </c>
      <c r="J9" s="6">
        <f>ROUND(H9*10^in_cost_dp,0)</f>
        <v/>
      </c>
      <c r="K9" s="10">
        <f>SUMPRODUCT(($I$6:$I$9=I9)*($J$6:$J$9&lt;J9)+($I$6:$I$9&gt;I9)*($J$6:$J$9&lt;=J9))</f>
        <v/>
      </c>
      <c r="L9" s="10">
        <f>IF(OR(E9=1,K9=0),1,0)</f>
        <v/>
      </c>
      <c r="M9" s="10">
        <f>IF(AND(L9=1,E9=0,I9&gt;0),1,0)</f>
        <v/>
      </c>
      <c r="N9" s="35">
        <f>IF(M9=1,MAX(J9/I9,SUMPRODUCT(MAX(((J9-$J$6:$J$9)*($M$6:$M$9*($I$6:$I$9&lt;I9)))/((I9-$I$6:$I$9)*($M$6:$M$9*($I$6:$I$9&lt;I9))+1-($M$6:$M$9*($I$6:$I$9&lt;I9)))-(1-($M$6:$M$9*($I$6:$I$9&lt;I9)))*1E+300))),0)</f>
        <v/>
      </c>
      <c r="O9" s="35">
        <f>IF(M9=1,SUMPRODUCT(MIN(((($J$6:$J$9-J9)*($M$6:$M$9*($I$6:$I$9&gt;I9)))/(($I$6:$I$9-I9)*($M$6:$M$9*($I$6:$I$9&gt;I9))+1-($M$6:$M$9*($I$6:$I$9&gt;I9)))+(1-($M$6:$M$9*($I$6:$I$9&gt;I9)))*1E+300))),0)</f>
        <v/>
      </c>
      <c r="P9" s="10">
        <f>IF(E9=1,1,IF(AND(M9=1,N9&lt;=O9),1,0))</f>
        <v/>
      </c>
      <c r="Q9" s="10">
        <f>IF(P9=1,1+SUMPRODUCT($P$6:$P$9*(($I$6:$I$9&lt;I9)+($I$6:$I$9=I9)*($F$6:$F$9&lt;F9))),0)</f>
        <v/>
      </c>
      <c r="R9" s="10">
        <f>IF(Q9&lt;=1,0,SUMPRODUCT(($Q$6:$Q$9=Q9-1)*$I$6:$I$9))</f>
        <v/>
      </c>
      <c r="S9" s="10">
        <f>IF(Q9&lt;=1,0,SUMPRODUCT(($Q$6:$Q$9=Q9-1)*$J$6:$J$9))</f>
        <v/>
      </c>
      <c r="T9" s="25">
        <f>IF(Q9=0,"",(I9-R9)/10^in_out_dp)</f>
        <v/>
      </c>
      <c r="U9" s="31">
        <f>IF(Q9=0,"",(J9-S9)/10^in_cost_dp)</f>
        <v/>
      </c>
      <c r="V9" s="31">
        <f>IF(Q9=0,"",IF(I9=R9,0,U9/T9))</f>
        <v/>
      </c>
      <c r="W9" s="31">
        <f>IF(I9&gt;0,(J9/10^in_cost_dp)/(I9/10^in_out_dp),"n/a")</f>
        <v/>
      </c>
      <c r="X9" s="10">
        <f>IF(Sites!$C$5=C9,1,0)</f>
        <v/>
      </c>
    </row>
    <row r="11">
      <c r="B11" s="7" t="inlineStr">
        <is>
          <t>R2  Urban tributary</t>
        </is>
      </c>
    </row>
    <row r="12">
      <c r="A12" s="10">
        <f>B12&amp;"|"&amp;C12</f>
        <v/>
      </c>
      <c r="B12" s="4" t="inlineStr">
        <is>
          <t>R2</t>
        </is>
      </c>
      <c r="C12" s="4" t="inlineStr">
        <is>
          <t>FWOP</t>
        </is>
      </c>
      <c r="D12" s="4" t="inlineStr">
        <is>
          <t>No Action</t>
        </is>
      </c>
      <c r="E12" s="4" t="n">
        <v>1</v>
      </c>
      <c r="F12" s="4" t="n">
        <v>1</v>
      </c>
      <c r="G12" s="25">
        <f>Summary!G9</f>
        <v/>
      </c>
      <c r="H12" s="31">
        <f>Summary!M9</f>
        <v/>
      </c>
      <c r="I12" s="6">
        <f>ROUND(G12*10^in_out_dp,0)</f>
        <v/>
      </c>
      <c r="J12" s="6">
        <f>ROUND(H12*10^in_cost_dp,0)</f>
        <v/>
      </c>
      <c r="K12" s="10">
        <f>SUMPRODUCT(($I$12:$I$14=I12)*($J$12:$J$14&lt;J12)+($I$12:$I$14&gt;I12)*($J$12:$J$14&lt;=J12))</f>
        <v/>
      </c>
      <c r="L12" s="10">
        <f>IF(OR(E12=1,K12=0),1,0)</f>
        <v/>
      </c>
      <c r="M12" s="10">
        <f>IF(AND(L12=1,E12=0,I12&gt;0),1,0)</f>
        <v/>
      </c>
      <c r="N12" s="35">
        <f>IF(M12=1,MAX(J12/I12,SUMPRODUCT(MAX(((J12-$J$12:$J$14)*($M$12:$M$14*($I$12:$I$14&lt;I12)))/((I12-$I$12:$I$14)*($M$12:$M$14*($I$12:$I$14&lt;I12))+1-($M$12:$M$14*($I$12:$I$14&lt;I12)))-(1-($M$12:$M$14*($I$12:$I$14&lt;I12)))*1E+300))),0)</f>
        <v/>
      </c>
      <c r="O12" s="35">
        <f>IF(M12=1,SUMPRODUCT(MIN(((($J$12:$J$14-J12)*($M$12:$M$14*($I$12:$I$14&gt;I12)))/(($I$12:$I$14-I12)*($M$12:$M$14*($I$12:$I$14&gt;I12))+1-($M$12:$M$14*($I$12:$I$14&gt;I12)))+(1-($M$12:$M$14*($I$12:$I$14&gt;I12)))*1E+300))),0)</f>
        <v/>
      </c>
      <c r="P12" s="10">
        <f>IF(E12=1,1,IF(AND(M12=1,N12&lt;=O12),1,0))</f>
        <v/>
      </c>
      <c r="Q12" s="10">
        <f>IF(P12=1,1+SUMPRODUCT($P$12:$P$14*(($I$12:$I$14&lt;I12)+($I$12:$I$14=I12)*($F$12:$F$14&lt;F12))),0)</f>
        <v/>
      </c>
      <c r="R12" s="10">
        <f>IF(Q12&lt;=1,0,SUMPRODUCT(($Q$12:$Q$14=Q12-1)*$I$12:$I$14))</f>
        <v/>
      </c>
      <c r="S12" s="10">
        <f>IF(Q12&lt;=1,0,SUMPRODUCT(($Q$12:$Q$14=Q12-1)*$J$12:$J$14))</f>
        <v/>
      </c>
      <c r="T12" s="25">
        <f>IF(Q12=0,"",(I12-R12)/10^in_out_dp)</f>
        <v/>
      </c>
      <c r="U12" s="31">
        <f>IF(Q12=0,"",(J12-S12)/10^in_cost_dp)</f>
        <v/>
      </c>
      <c r="V12" s="31">
        <f>IF(Q12=0,"",IF(I12=R12,0,U12/T12))</f>
        <v/>
      </c>
      <c r="W12" s="31">
        <f>IF(I12&gt;0,(J12/10^in_cost_dp)/(I12/10^in_out_dp),"n/a")</f>
        <v/>
      </c>
      <c r="X12" s="10">
        <f>IF(Sites!$C$6=C12,1,0)</f>
        <v/>
      </c>
    </row>
    <row r="13">
      <c r="A13" s="10">
        <f>B13&amp;"|"&amp;C13</f>
        <v/>
      </c>
      <c r="B13" s="4" t="inlineStr">
        <is>
          <t>R2</t>
        </is>
      </c>
      <c r="C13" s="4" t="inlineStr">
        <is>
          <t>A1</t>
        </is>
      </c>
      <c r="D13" s="4" t="inlineStr">
        <is>
          <t>Bank regrading and planting</t>
        </is>
      </c>
      <c r="E13" s="4" t="n">
        <v>0</v>
      </c>
      <c r="F13" s="4" t="n">
        <v>2</v>
      </c>
      <c r="G13" s="25">
        <f>Summary!G10</f>
        <v/>
      </c>
      <c r="H13" s="31">
        <f>Summary!M10</f>
        <v/>
      </c>
      <c r="I13" s="6">
        <f>ROUND(G13*10^in_out_dp,0)</f>
        <v/>
      </c>
      <c r="J13" s="6">
        <f>ROUND(H13*10^in_cost_dp,0)</f>
        <v/>
      </c>
      <c r="K13" s="10">
        <f>SUMPRODUCT(($I$12:$I$14=I13)*($J$12:$J$14&lt;J13)+($I$12:$I$14&gt;I13)*($J$12:$J$14&lt;=J13))</f>
        <v/>
      </c>
      <c r="L13" s="10">
        <f>IF(OR(E13=1,K13=0),1,0)</f>
        <v/>
      </c>
      <c r="M13" s="10">
        <f>IF(AND(L13=1,E13=0,I13&gt;0),1,0)</f>
        <v/>
      </c>
      <c r="N13" s="35">
        <f>IF(M13=1,MAX(J13/I13,SUMPRODUCT(MAX(((J13-$J$12:$J$14)*($M$12:$M$14*($I$12:$I$14&lt;I13)))/((I13-$I$12:$I$14)*($M$12:$M$14*($I$12:$I$14&lt;I13))+1-($M$12:$M$14*($I$12:$I$14&lt;I13)))-(1-($M$12:$M$14*($I$12:$I$14&lt;I13)))*1E+300))),0)</f>
        <v/>
      </c>
      <c r="O13" s="35">
        <f>IF(M13=1,SUMPRODUCT(MIN(((($J$12:$J$14-J13)*($M$12:$M$14*($I$12:$I$14&gt;I13)))/(($I$12:$I$14-I13)*($M$12:$M$14*($I$12:$I$14&gt;I13))+1-($M$12:$M$14*($I$12:$I$14&gt;I13)))+(1-($M$12:$M$14*($I$12:$I$14&gt;I13)))*1E+300))),0)</f>
        <v/>
      </c>
      <c r="P13" s="10">
        <f>IF(E13=1,1,IF(AND(M13=1,N13&lt;=O13),1,0))</f>
        <v/>
      </c>
      <c r="Q13" s="10">
        <f>IF(P13=1,1+SUMPRODUCT($P$12:$P$14*(($I$12:$I$14&lt;I13)+($I$12:$I$14=I13)*($F$12:$F$14&lt;F13))),0)</f>
        <v/>
      </c>
      <c r="R13" s="10">
        <f>IF(Q13&lt;=1,0,SUMPRODUCT(($Q$12:$Q$14=Q13-1)*$I$12:$I$14))</f>
        <v/>
      </c>
      <c r="S13" s="10">
        <f>IF(Q13&lt;=1,0,SUMPRODUCT(($Q$12:$Q$14=Q13-1)*$J$12:$J$14))</f>
        <v/>
      </c>
      <c r="T13" s="25">
        <f>IF(Q13=0,"",(I13-R13)/10^in_out_dp)</f>
        <v/>
      </c>
      <c r="U13" s="31">
        <f>IF(Q13=0,"",(J13-S13)/10^in_cost_dp)</f>
        <v/>
      </c>
      <c r="V13" s="31">
        <f>IF(Q13=0,"",IF(I13=R13,0,U13/T13))</f>
        <v/>
      </c>
      <c r="W13" s="31">
        <f>IF(I13&gt;0,(J13/10^in_cost_dp)/(I13/10^in_out_dp),"n/a")</f>
        <v/>
      </c>
      <c r="X13" s="10">
        <f>IF(Sites!$C$6=C13,1,0)</f>
        <v/>
      </c>
    </row>
    <row r="14">
      <c r="A14" s="10">
        <f>B14&amp;"|"&amp;C14</f>
        <v/>
      </c>
      <c r="B14" s="4" t="inlineStr">
        <is>
          <t>R2</t>
        </is>
      </c>
      <c r="C14" s="4" t="inlineStr">
        <is>
          <t>A2</t>
        </is>
      </c>
      <c r="D14" s="4" t="inlineStr">
        <is>
          <t>Daylight and reconnect the floodplain</t>
        </is>
      </c>
      <c r="E14" s="4" t="n">
        <v>0</v>
      </c>
      <c r="F14" s="4" t="n">
        <v>3</v>
      </c>
      <c r="G14" s="25">
        <f>Summary!G11</f>
        <v/>
      </c>
      <c r="H14" s="31">
        <f>Summary!M11</f>
        <v/>
      </c>
      <c r="I14" s="6">
        <f>ROUND(G14*10^in_out_dp,0)</f>
        <v/>
      </c>
      <c r="J14" s="6">
        <f>ROUND(H14*10^in_cost_dp,0)</f>
        <v/>
      </c>
      <c r="K14" s="10">
        <f>SUMPRODUCT(($I$12:$I$14=I14)*($J$12:$J$14&lt;J14)+($I$12:$I$14&gt;I14)*($J$12:$J$14&lt;=J14))</f>
        <v/>
      </c>
      <c r="L14" s="10">
        <f>IF(OR(E14=1,K14=0),1,0)</f>
        <v/>
      </c>
      <c r="M14" s="10">
        <f>IF(AND(L14=1,E14=0,I14&gt;0),1,0)</f>
        <v/>
      </c>
      <c r="N14" s="35">
        <f>IF(M14=1,MAX(J14/I14,SUMPRODUCT(MAX(((J14-$J$12:$J$14)*($M$12:$M$14*($I$12:$I$14&lt;I14)))/((I14-$I$12:$I$14)*($M$12:$M$14*($I$12:$I$14&lt;I14))+1-($M$12:$M$14*($I$12:$I$14&lt;I14)))-(1-($M$12:$M$14*($I$12:$I$14&lt;I14)))*1E+300))),0)</f>
        <v/>
      </c>
      <c r="O14" s="35">
        <f>IF(M14=1,SUMPRODUCT(MIN(((($J$12:$J$14-J14)*($M$12:$M$14*($I$12:$I$14&gt;I14)))/(($I$12:$I$14-I14)*($M$12:$M$14*($I$12:$I$14&gt;I14))+1-($M$12:$M$14*($I$12:$I$14&gt;I14)))+(1-($M$12:$M$14*($I$12:$I$14&gt;I14)))*1E+300))),0)</f>
        <v/>
      </c>
      <c r="P14" s="10">
        <f>IF(E14=1,1,IF(AND(M14=1,N14&lt;=O14),1,0))</f>
        <v/>
      </c>
      <c r="Q14" s="10">
        <f>IF(P14=1,1+SUMPRODUCT($P$12:$P$14*(($I$12:$I$14&lt;I14)+($I$12:$I$14=I14)*($F$12:$F$14&lt;F14))),0)</f>
        <v/>
      </c>
      <c r="R14" s="10">
        <f>IF(Q14&lt;=1,0,SUMPRODUCT(($Q$12:$Q$14=Q14-1)*$I$12:$I$14))</f>
        <v/>
      </c>
      <c r="S14" s="10">
        <f>IF(Q14&lt;=1,0,SUMPRODUCT(($Q$12:$Q$14=Q14-1)*$J$12:$J$14))</f>
        <v/>
      </c>
      <c r="T14" s="25">
        <f>IF(Q14=0,"",(I14-R14)/10^in_out_dp)</f>
        <v/>
      </c>
      <c r="U14" s="31">
        <f>IF(Q14=0,"",(J14-S14)/10^in_cost_dp)</f>
        <v/>
      </c>
      <c r="V14" s="31">
        <f>IF(Q14=0,"",IF(I14=R14,0,U14/T14))</f>
        <v/>
      </c>
      <c r="W14" s="31">
        <f>IF(I14&gt;0,(J14/10^in_cost_dp)/(I14/10^in_out_dp),"n/a")</f>
        <v/>
      </c>
      <c r="X14" s="10">
        <f>IF(Sites!$C$6=C14,1,0)</f>
        <v/>
      </c>
    </row>
    <row r="16">
      <c r="B16" s="7" t="inlineStr">
        <is>
          <t>R3  Rural headwater</t>
        </is>
      </c>
    </row>
    <row r="17">
      <c r="A17" s="10">
        <f>B17&amp;"|"&amp;C17</f>
        <v/>
      </c>
      <c r="B17" s="4" t="inlineStr">
        <is>
          <t>R3</t>
        </is>
      </c>
      <c r="C17" s="4" t="inlineStr">
        <is>
          <t>FWOP</t>
        </is>
      </c>
      <c r="D17" s="4" t="inlineStr">
        <is>
          <t>No Action</t>
        </is>
      </c>
      <c r="E17" s="4" t="n">
        <v>1</v>
      </c>
      <c r="F17" s="4" t="n">
        <v>1</v>
      </c>
      <c r="G17" s="25">
        <f>Summary!G12</f>
        <v/>
      </c>
      <c r="H17" s="31">
        <f>Summary!M12</f>
        <v/>
      </c>
      <c r="I17" s="6">
        <f>ROUND(G17*10^in_out_dp,0)</f>
        <v/>
      </c>
      <c r="J17" s="6">
        <f>ROUND(H17*10^in_cost_dp,0)</f>
        <v/>
      </c>
      <c r="K17" s="10">
        <f>SUMPRODUCT(($I$17:$I$19=I17)*($J$17:$J$19&lt;J17)+($I$17:$I$19&gt;I17)*($J$17:$J$19&lt;=J17))</f>
        <v/>
      </c>
      <c r="L17" s="10">
        <f>IF(OR(E17=1,K17=0),1,0)</f>
        <v/>
      </c>
      <c r="M17" s="10">
        <f>IF(AND(L17=1,E17=0,I17&gt;0),1,0)</f>
        <v/>
      </c>
      <c r="N17" s="35">
        <f>IF(M17=1,MAX(J17/I17,SUMPRODUCT(MAX(((J17-$J$17:$J$19)*($M$17:$M$19*($I$17:$I$19&lt;I17)))/((I17-$I$17:$I$19)*($M$17:$M$19*($I$17:$I$19&lt;I17))+1-($M$17:$M$19*($I$17:$I$19&lt;I17)))-(1-($M$17:$M$19*($I$17:$I$19&lt;I17)))*1E+300))),0)</f>
        <v/>
      </c>
      <c r="O17" s="35">
        <f>IF(M17=1,SUMPRODUCT(MIN(((($J$17:$J$19-J17)*($M$17:$M$19*($I$17:$I$19&gt;I17)))/(($I$17:$I$19-I17)*($M$17:$M$19*($I$17:$I$19&gt;I17))+1-($M$17:$M$19*($I$17:$I$19&gt;I17)))+(1-($M$17:$M$19*($I$17:$I$19&gt;I17)))*1E+300))),0)</f>
        <v/>
      </c>
      <c r="P17" s="10">
        <f>IF(E17=1,1,IF(AND(M17=1,N17&lt;=O17),1,0))</f>
        <v/>
      </c>
      <c r="Q17" s="10">
        <f>IF(P17=1,1+SUMPRODUCT($P$17:$P$19*(($I$17:$I$19&lt;I17)+($I$17:$I$19=I17)*($F$17:$F$19&lt;F17))),0)</f>
        <v/>
      </c>
      <c r="R17" s="10">
        <f>IF(Q17&lt;=1,0,SUMPRODUCT(($Q$17:$Q$19=Q17-1)*$I$17:$I$19))</f>
        <v/>
      </c>
      <c r="S17" s="10">
        <f>IF(Q17&lt;=1,0,SUMPRODUCT(($Q$17:$Q$19=Q17-1)*$J$17:$J$19))</f>
        <v/>
      </c>
      <c r="T17" s="25">
        <f>IF(Q17=0,"",(I17-R17)/10^in_out_dp)</f>
        <v/>
      </c>
      <c r="U17" s="31">
        <f>IF(Q17=0,"",(J17-S17)/10^in_cost_dp)</f>
        <v/>
      </c>
      <c r="V17" s="31">
        <f>IF(Q17=0,"",IF(I17=R17,0,U17/T17))</f>
        <v/>
      </c>
      <c r="W17" s="31">
        <f>IF(I17&gt;0,(J17/10^in_cost_dp)/(I17/10^in_out_dp),"n/a")</f>
        <v/>
      </c>
      <c r="X17" s="10">
        <f>IF(Sites!$C$7=C17,1,0)</f>
        <v/>
      </c>
    </row>
    <row r="18">
      <c r="A18" s="10">
        <f>B18&amp;"|"&amp;C18</f>
        <v/>
      </c>
      <c r="B18" s="4" t="inlineStr">
        <is>
          <t>R3</t>
        </is>
      </c>
      <c r="C18" s="4" t="inlineStr">
        <is>
          <t>A1</t>
        </is>
      </c>
      <c r="D18" s="4" t="inlineStr">
        <is>
          <t>Livestock exclusion</t>
        </is>
      </c>
      <c r="E18" s="4" t="n">
        <v>0</v>
      </c>
      <c r="F18" s="4" t="n">
        <v>2</v>
      </c>
      <c r="G18" s="25">
        <f>Summary!G13</f>
        <v/>
      </c>
      <c r="H18" s="31">
        <f>Summary!M13</f>
        <v/>
      </c>
      <c r="I18" s="6">
        <f>ROUND(G18*10^in_out_dp,0)</f>
        <v/>
      </c>
      <c r="J18" s="6">
        <f>ROUND(H18*10^in_cost_dp,0)</f>
        <v/>
      </c>
      <c r="K18" s="10">
        <f>SUMPRODUCT(($I$17:$I$19=I18)*($J$17:$J$19&lt;J18)+($I$17:$I$19&gt;I18)*($J$17:$J$19&lt;=J18))</f>
        <v/>
      </c>
      <c r="L18" s="10">
        <f>IF(OR(E18=1,K18=0),1,0)</f>
        <v/>
      </c>
      <c r="M18" s="10">
        <f>IF(AND(L18=1,E18=0,I18&gt;0),1,0)</f>
        <v/>
      </c>
      <c r="N18" s="35">
        <f>IF(M18=1,MAX(J18/I18,SUMPRODUCT(MAX(((J18-$J$17:$J$19)*($M$17:$M$19*($I$17:$I$19&lt;I18)))/((I18-$I$17:$I$19)*($M$17:$M$19*($I$17:$I$19&lt;I18))+1-($M$17:$M$19*($I$17:$I$19&lt;I18)))-(1-($M$17:$M$19*($I$17:$I$19&lt;I18)))*1E+300))),0)</f>
        <v/>
      </c>
      <c r="O18" s="35">
        <f>IF(M18=1,SUMPRODUCT(MIN(((($J$17:$J$19-J18)*($M$17:$M$19*($I$17:$I$19&gt;I18)))/(($I$17:$I$19-I18)*($M$17:$M$19*($I$17:$I$19&gt;I18))+1-($M$17:$M$19*($I$17:$I$19&gt;I18)))+(1-($M$17:$M$19*($I$17:$I$19&gt;I18)))*1E+300))),0)</f>
        <v/>
      </c>
      <c r="P18" s="10">
        <f>IF(E18=1,1,IF(AND(M18=1,N18&lt;=O18),1,0))</f>
        <v/>
      </c>
      <c r="Q18" s="10">
        <f>IF(P18=1,1+SUMPRODUCT($P$17:$P$19*(($I$17:$I$19&lt;I18)+($I$17:$I$19=I18)*($F$17:$F$19&lt;F18))),0)</f>
        <v/>
      </c>
      <c r="R18" s="10">
        <f>IF(Q18&lt;=1,0,SUMPRODUCT(($Q$17:$Q$19=Q18-1)*$I$17:$I$19))</f>
        <v/>
      </c>
      <c r="S18" s="10">
        <f>IF(Q18&lt;=1,0,SUMPRODUCT(($Q$17:$Q$19=Q18-1)*$J$17:$J$19))</f>
        <v/>
      </c>
      <c r="T18" s="25">
        <f>IF(Q18=0,"",(I18-R18)/10^in_out_dp)</f>
        <v/>
      </c>
      <c r="U18" s="31">
        <f>IF(Q18=0,"",(J18-S18)/10^in_cost_dp)</f>
        <v/>
      </c>
      <c r="V18" s="31">
        <f>IF(Q18=0,"",IF(I18=R18,0,U18/T18))</f>
        <v/>
      </c>
      <c r="W18" s="31">
        <f>IF(I18&gt;0,(J18/10^in_cost_dp)/(I18/10^in_out_dp),"n/a")</f>
        <v/>
      </c>
      <c r="X18" s="10">
        <f>IF(Sites!$C$7=C18,1,0)</f>
        <v/>
      </c>
    </row>
    <row r="19">
      <c r="A19" s="10">
        <f>B19&amp;"|"&amp;C19</f>
        <v/>
      </c>
      <c r="B19" s="4" t="inlineStr">
        <is>
          <t>R3</t>
        </is>
      </c>
      <c r="C19" s="4" t="inlineStr">
        <is>
          <t>A2</t>
        </is>
      </c>
      <c r="D19" s="4" t="inlineStr">
        <is>
          <t>Livestock exclusion and culvert replacement</t>
        </is>
      </c>
      <c r="E19" s="4" t="n">
        <v>0</v>
      </c>
      <c r="F19" s="4" t="n">
        <v>3</v>
      </c>
      <c r="G19" s="25">
        <f>Summary!G14</f>
        <v/>
      </c>
      <c r="H19" s="31">
        <f>Summary!M14</f>
        <v/>
      </c>
      <c r="I19" s="6">
        <f>ROUND(G19*10^in_out_dp,0)</f>
        <v/>
      </c>
      <c r="J19" s="6">
        <f>ROUND(H19*10^in_cost_dp,0)</f>
        <v/>
      </c>
      <c r="K19" s="10">
        <f>SUMPRODUCT(($I$17:$I$19=I19)*($J$17:$J$19&lt;J19)+($I$17:$I$19&gt;I19)*($J$17:$J$19&lt;=J19))</f>
        <v/>
      </c>
      <c r="L19" s="10">
        <f>IF(OR(E19=1,K19=0),1,0)</f>
        <v/>
      </c>
      <c r="M19" s="10">
        <f>IF(AND(L19=1,E19=0,I19&gt;0),1,0)</f>
        <v/>
      </c>
      <c r="N19" s="35">
        <f>IF(M19=1,MAX(J19/I19,SUMPRODUCT(MAX(((J19-$J$17:$J$19)*($M$17:$M$19*($I$17:$I$19&lt;I19)))/((I19-$I$17:$I$19)*($M$17:$M$19*($I$17:$I$19&lt;I19))+1-($M$17:$M$19*($I$17:$I$19&lt;I19)))-(1-($M$17:$M$19*($I$17:$I$19&lt;I19)))*1E+300))),0)</f>
        <v/>
      </c>
      <c r="O19" s="35">
        <f>IF(M19=1,SUMPRODUCT(MIN(((($J$17:$J$19-J19)*($M$17:$M$19*($I$17:$I$19&gt;I19)))/(($I$17:$I$19-I19)*($M$17:$M$19*($I$17:$I$19&gt;I19))+1-($M$17:$M$19*($I$17:$I$19&gt;I19)))+(1-($M$17:$M$19*($I$17:$I$19&gt;I19)))*1E+300))),0)</f>
        <v/>
      </c>
      <c r="P19" s="10">
        <f>IF(E19=1,1,IF(AND(M19=1,N19&lt;=O19),1,0))</f>
        <v/>
      </c>
      <c r="Q19" s="10">
        <f>IF(P19=1,1+SUMPRODUCT($P$17:$P$19*(($I$17:$I$19&lt;I19)+($I$17:$I$19=I19)*($F$17:$F$19&lt;F19))),0)</f>
        <v/>
      </c>
      <c r="R19" s="10">
        <f>IF(Q19&lt;=1,0,SUMPRODUCT(($Q$17:$Q$19=Q19-1)*$I$17:$I$19))</f>
        <v/>
      </c>
      <c r="S19" s="10">
        <f>IF(Q19&lt;=1,0,SUMPRODUCT(($Q$17:$Q$19=Q19-1)*$J$17:$J$19))</f>
        <v/>
      </c>
      <c r="T19" s="25">
        <f>IF(Q19=0,"",(I19-R19)/10^in_out_dp)</f>
        <v/>
      </c>
      <c r="U19" s="31">
        <f>IF(Q19=0,"",(J19-S19)/10^in_cost_dp)</f>
        <v/>
      </c>
      <c r="V19" s="31">
        <f>IF(Q19=0,"",IF(I19=R19,0,U19/T19))</f>
        <v/>
      </c>
      <c r="W19" s="31">
        <f>IF(I19&gt;0,(J19/10^in_cost_dp)/(I19/10^in_out_dp),"n/a")</f>
        <v/>
      </c>
      <c r="X19" s="10">
        <f>IF(Sites!$C$7=C19,1,0)</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showGridLines="0" workbookViewId="0">
      <selection activeCell="A1" sqref="A1"/>
    </sheetView>
  </sheetViews>
  <sheetFormatPr baseColWidth="8" defaultRowHeight="15"/>
  <cols>
    <col width="9" customWidth="1" style="8" min="1" max="1"/>
    <col width="28" customWidth="1" style="8" min="2" max="2"/>
    <col width="16" customWidth="1" style="8" min="3" max="3"/>
    <col width="10" customWidth="1" style="8" min="4" max="4"/>
    <col width="8" customWidth="1" style="8" min="5" max="5"/>
    <col width="12" customWidth="1" style="8" min="6" max="6"/>
    <col width="14" customWidth="1" style="8" min="7" max="7"/>
    <col width="14" customWidth="1" style="8" min="8" max="8"/>
    <col width="10" customWidth="1" style="8" min="9" max="9"/>
    <col width="10" customWidth="1" style="8" min="10" max="10"/>
    <col width="9" customWidth="1" style="8" min="11" max="11"/>
    <col width="8" customWidth="1" style="8" min="12" max="12"/>
    <col width="12" customWidth="1" style="8" min="13" max="13"/>
  </cols>
  <sheetData>
    <row r="1">
      <c r="A1" s="1" t="inlineStr">
        <is>
          <t>Sites: the alternative carried to the watershed plans</t>
        </is>
      </c>
    </row>
    <row r="2">
      <c r="A2" s="2" t="inlineStr">
        <is>
          <t>Choose each site's recommended alternative. No Action leaves the site out of every watershed plan.</t>
        </is>
      </c>
    </row>
    <row r="4">
      <c r="A4" s="12" t="inlineStr">
        <is>
          <t>Site</t>
        </is>
      </c>
      <c r="B4" s="12" t="inlineStr">
        <is>
          <t>Name</t>
        </is>
      </c>
      <c r="C4" s="12" t="inlineStr">
        <is>
          <t>Recommended alternative</t>
        </is>
      </c>
      <c r="D4" s="12" t="inlineStr">
        <is>
          <t>No Action</t>
        </is>
      </c>
      <c r="E4" s="12" t="inlineStr">
        <is>
          <t>Carried</t>
        </is>
      </c>
      <c r="F4" s="12" t="inlineStr">
        <is>
          <t>Lift (AACU)</t>
        </is>
      </c>
      <c r="G4" s="12" t="inlineStr">
        <is>
          <t>Cost above No Action</t>
        </is>
      </c>
      <c r="H4" s="12" t="inlineStr">
        <is>
          <t>Construction cost</t>
        </is>
      </c>
      <c r="I4" s="12" t="inlineStr">
        <is>
          <t>Lift (scaled)</t>
        </is>
      </c>
      <c r="J4" s="12" t="inlineStr">
        <is>
          <t>Cost (scaled)</t>
        </is>
      </c>
      <c r="K4" s="12" t="inlineStr">
        <is>
          <t>Cost-effective</t>
        </is>
      </c>
      <c r="L4" s="12" t="inlineStr">
        <is>
          <t>Best buy</t>
        </is>
      </c>
      <c r="M4" s="12" t="inlineStr">
        <is>
          <t>Decided by</t>
        </is>
      </c>
    </row>
    <row r="5">
      <c r="A5" s="4" t="inlineStr">
        <is>
          <t>R1</t>
        </is>
      </c>
      <c r="B5" s="4" t="inlineStr">
        <is>
          <t>Example Reach</t>
        </is>
      </c>
      <c r="C5" s="15" t="inlineStr">
        <is>
          <t>A3</t>
        </is>
      </c>
      <c r="D5" s="4" t="inlineStr">
        <is>
          <t>FWOP</t>
        </is>
      </c>
      <c r="E5" s="10">
        <f>IF(C5&lt;&gt;D5,1,0)</f>
        <v/>
      </c>
      <c r="F5" s="25">
        <f>IFERROR(INDEX('Site CE-ICA'!$G$5:$G$19,MATCH(A5&amp;"|"&amp;C5,'Site CE-ICA'!$A$5:$A$19,0)),0)</f>
        <v/>
      </c>
      <c r="G5" s="31">
        <f>IFERROR(INDEX('Site CE-ICA'!$H$5:$H$19,MATCH(A5&amp;"|"&amp;C5,'Site CE-ICA'!$A$5:$A$19,0)),0)</f>
        <v/>
      </c>
      <c r="H5" s="30">
        <f>IFERROR(INDEX(Summary!$H$5:$H$8,MATCH(C5,Summary!$C$5:$C$8,0)),0)</f>
        <v/>
      </c>
      <c r="I5" s="6">
        <f>IF(E5=1,IFERROR(INDEX('Site CE-ICA'!$I$5:$I$19,MATCH(A5&amp;"|"&amp;C5,'Site CE-ICA'!$A$5:$A$19,0)),0),0)</f>
        <v/>
      </c>
      <c r="J5" s="6">
        <f>IF(E5=1,IFERROR(INDEX('Site CE-ICA'!$J$5:$J$19,MATCH(A5&amp;"|"&amp;C5,'Site CE-ICA'!$A$5:$A$19,0)),0),0)</f>
        <v/>
      </c>
      <c r="K5" s="10">
        <f>IFERROR(INDEX('Site CE-ICA'!$L$5:$L$19,MATCH(A5&amp;"|"&amp;C5,'Site CE-ICA'!$A$5:$A$19,0)),0)</f>
        <v/>
      </c>
      <c r="L5" s="10">
        <f>IFERROR(INDEX('Site CE-ICA'!$P$5:$P$19,MATCH(A5&amp;"|"&amp;C5,'Site CE-ICA'!$A$5:$A$19,0)),0)</f>
        <v/>
      </c>
      <c r="M5" s="4" t="inlineStr">
        <is>
          <t>Suggested</t>
        </is>
      </c>
    </row>
    <row r="6">
      <c r="A6" s="4" t="inlineStr">
        <is>
          <t>R2</t>
        </is>
      </c>
      <c r="B6" s="4" t="inlineStr">
        <is>
          <t>Urban tributary</t>
        </is>
      </c>
      <c r="C6" s="15" t="inlineStr">
        <is>
          <t>A2</t>
        </is>
      </c>
      <c r="D6" s="4" t="inlineStr">
        <is>
          <t>FWOP</t>
        </is>
      </c>
      <c r="E6" s="10">
        <f>IF(C6&lt;&gt;D6,1,0)</f>
        <v/>
      </c>
      <c r="F6" s="25">
        <f>IFERROR(INDEX('Site CE-ICA'!$G$5:$G$19,MATCH(A6&amp;"|"&amp;C6,'Site CE-ICA'!$A$5:$A$19,0)),0)</f>
        <v/>
      </c>
      <c r="G6" s="31">
        <f>IFERROR(INDEX('Site CE-ICA'!$H$5:$H$19,MATCH(A6&amp;"|"&amp;C6,'Site CE-ICA'!$A$5:$A$19,0)),0)</f>
        <v/>
      </c>
      <c r="H6" s="30">
        <f>IFERROR(INDEX(Summary!$H$9:$H$11,MATCH(C6,Summary!$C$9:$C$11,0)),0)</f>
        <v/>
      </c>
      <c r="I6" s="6">
        <f>IF(E6=1,IFERROR(INDEX('Site CE-ICA'!$I$5:$I$19,MATCH(A6&amp;"|"&amp;C6,'Site CE-ICA'!$A$5:$A$19,0)),0),0)</f>
        <v/>
      </c>
      <c r="J6" s="6">
        <f>IF(E6=1,IFERROR(INDEX('Site CE-ICA'!$J$5:$J$19,MATCH(A6&amp;"|"&amp;C6,'Site CE-ICA'!$A$5:$A$19,0)),0),0)</f>
        <v/>
      </c>
      <c r="K6" s="10">
        <f>IFERROR(INDEX('Site CE-ICA'!$L$5:$L$19,MATCH(A6&amp;"|"&amp;C6,'Site CE-ICA'!$A$5:$A$19,0)),0)</f>
        <v/>
      </c>
      <c r="L6" s="10">
        <f>IFERROR(INDEX('Site CE-ICA'!$P$5:$P$19,MATCH(A6&amp;"|"&amp;C6,'Site CE-ICA'!$A$5:$A$19,0)),0)</f>
        <v/>
      </c>
      <c r="M6" s="4" t="inlineStr">
        <is>
          <t>Suggested</t>
        </is>
      </c>
    </row>
    <row r="7">
      <c r="A7" s="4" t="inlineStr">
        <is>
          <t>R3</t>
        </is>
      </c>
      <c r="B7" s="4" t="inlineStr">
        <is>
          <t>Rural headwater</t>
        </is>
      </c>
      <c r="C7" s="15" t="inlineStr">
        <is>
          <t>A2</t>
        </is>
      </c>
      <c r="D7" s="4" t="inlineStr">
        <is>
          <t>FWOP</t>
        </is>
      </c>
      <c r="E7" s="10">
        <f>IF(C7&lt;&gt;D7,1,0)</f>
        <v/>
      </c>
      <c r="F7" s="25">
        <f>IFERROR(INDEX('Site CE-ICA'!$G$5:$G$19,MATCH(A7&amp;"|"&amp;C7,'Site CE-ICA'!$A$5:$A$19,0)),0)</f>
        <v/>
      </c>
      <c r="G7" s="31">
        <f>IFERROR(INDEX('Site CE-ICA'!$H$5:$H$19,MATCH(A7&amp;"|"&amp;C7,'Site CE-ICA'!$A$5:$A$19,0)),0)</f>
        <v/>
      </c>
      <c r="H7" s="30">
        <f>IFERROR(INDEX(Summary!$H$12:$H$14,MATCH(C7,Summary!$C$12:$C$14,0)),0)</f>
        <v/>
      </c>
      <c r="I7" s="6">
        <f>IF(E7=1,IFERROR(INDEX('Site CE-ICA'!$I$5:$I$19,MATCH(A7&amp;"|"&amp;C7,'Site CE-ICA'!$A$5:$A$19,0)),0),0)</f>
        <v/>
      </c>
      <c r="J7" s="6">
        <f>IF(E7=1,IFERROR(INDEX('Site CE-ICA'!$J$5:$J$19,MATCH(A7&amp;"|"&amp;C7,'Site CE-ICA'!$A$5:$A$19,0)),0),0)</f>
        <v/>
      </c>
      <c r="K7" s="10">
        <f>IFERROR(INDEX('Site CE-ICA'!$L$5:$L$19,MATCH(A7&amp;"|"&amp;C7,'Site CE-ICA'!$A$5:$A$19,0)),0)</f>
        <v/>
      </c>
      <c r="L7" s="10">
        <f>IFERROR(INDEX('Site CE-ICA'!$P$5:$P$19,MATCH(A7&amp;"|"&amp;C7,'Site CE-ICA'!$A$5:$A$19,0)),0)</f>
        <v/>
      </c>
      <c r="M7" s="4" t="inlineStr">
        <is>
          <t>Suggested</t>
        </is>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C5:C7">
    <cfRule type="expression" priority="1" dxfId="0" stopIfTrue="0">
      <formula>C5&lt;&gt;'snap Sites'!C5</formula>
    </cfRule>
  </conditionalFormatting>
  <dataValidations count="3">
    <dataValidation sqref="C5" showDropDown="0" showInputMessage="0" showErrorMessage="0" allowBlank="0" type="list">
      <formula1>"FWOP,A1,A2,A3"</formula1>
    </dataValidation>
    <dataValidation sqref="C6" showDropDown="0" showInputMessage="0" showErrorMessage="0" allowBlank="0" type="list">
      <formula1>"FWOP,A1,A2"</formula1>
    </dataValidation>
    <dataValidation sqref="C7" showDropDown="0" showInputMessage="0" showErrorMessage="0" allowBlank="0" type="list">
      <formula1>"FWOP,A1,A2"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9"/>
  <sheetViews>
    <sheetView showGridLines="0" workbookViewId="0">
      <pane xSplit="3" ySplit="11" topLeftCell="D12" activePane="bottomRight" state="frozen"/>
      <selection pane="topRight" activeCell="A1" sqref="A1"/>
      <selection pane="bottomLeft" activeCell="A1" sqref="A1"/>
      <selection pane="bottomRight" activeCell="A1" sqref="A1"/>
    </sheetView>
  </sheetViews>
  <sheetFormatPr baseColWidth="8" defaultRowHeight="15"/>
  <cols>
    <col hidden="1" width="6" customWidth="1" style="8" min="1" max="1"/>
    <col width="34" customWidth="1" style="8" min="2" max="2"/>
    <col width="6" customWidth="1" style="8" min="3" max="3"/>
    <col width="7" customWidth="1" style="8" min="4" max="4"/>
    <col width="7" customWidth="1" style="8" min="5" max="5"/>
    <col width="7" customWidth="1" style="8" min="6" max="6"/>
    <col width="8" customWidth="1" style="8" min="7" max="7"/>
    <col hidden="1" width="10" customWidth="1" style="8" min="8" max="8"/>
    <col hidden="1" width="11" customWidth="1" style="8" min="9" max="9"/>
    <col width="13" customWidth="1" style="8" min="10" max="10"/>
    <col width="11" customWidth="1" style="8" min="11" max="11"/>
    <col width="13" customWidth="1" style="8" min="12" max="12"/>
    <col hidden="1" width="6" customWidth="1" style="8" min="13" max="13"/>
    <col hidden="1" width="8" customWidth="1" style="8" min="14" max="14"/>
    <col width="9" customWidth="1" style="8" min="15" max="15"/>
    <col hidden="1" width="8" customWidth="1" style="8" min="16" max="16"/>
    <col hidden="1" width="10" customWidth="1" style="8" min="17" max="17"/>
    <col hidden="1" width="10" customWidth="1" style="8" min="18" max="18"/>
    <col width="7" customWidth="1" style="8" min="19" max="19"/>
    <col width="8" customWidth="1" style="8" min="20" max="20"/>
    <col hidden="1" width="10" customWidth="1" style="8" min="21" max="21"/>
    <col hidden="1" width="10" customWidth="1" style="8" min="22" max="22"/>
    <col width="11" customWidth="1" style="8" min="23" max="23"/>
    <col width="12" customWidth="1" style="8" min="24" max="24"/>
    <col width="12" customWidth="1" style="8" min="25" max="25"/>
    <col width="11" customWidth="1" style="8" min="26" max="26"/>
    <col width="7" customWidth="1" style="8" min="27" max="27"/>
    <col width="8" customWidth="1" style="8" min="28" max="28"/>
  </cols>
  <sheetData>
    <row r="1">
      <c r="A1" s="1" t="inlineStr">
        <is>
          <t>Watershed plans: every combination of the recommended site actions</t>
        </is>
      </c>
    </row>
    <row r="2">
      <c r="A2" s="2" t="inlineStr">
        <is>
          <t>1 and 0 mark a site included or excluded. Rows that include a site whose recommendation is No Action are not valid plans.</t>
        </is>
      </c>
    </row>
    <row r="4">
      <c r="C4" s="3" t="inlineStr">
        <is>
          <t>Site</t>
        </is>
      </c>
      <c r="D4" s="12" t="inlineStr">
        <is>
          <t>R1</t>
        </is>
      </c>
      <c r="E4" s="12" t="inlineStr">
        <is>
          <t>R2</t>
        </is>
      </c>
      <c r="F4" s="12" t="inlineStr">
        <is>
          <t>R3</t>
        </is>
      </c>
    </row>
    <row r="5">
      <c r="C5" s="3" t="inlineStr">
        <is>
          <t>Carried</t>
        </is>
      </c>
      <c r="D5" s="10">
        <f>Sites!E5</f>
        <v/>
      </c>
      <c r="E5" s="10">
        <f>Sites!E6</f>
        <v/>
      </c>
      <c r="F5" s="10">
        <f>Sites!E7</f>
        <v/>
      </c>
    </row>
    <row r="6">
      <c r="C6" s="3" t="inlineStr">
        <is>
          <t>Lift (scaled)</t>
        </is>
      </c>
      <c r="D6" s="6">
        <f>Sites!I5</f>
        <v/>
      </c>
      <c r="E6" s="6">
        <f>Sites!I6</f>
        <v/>
      </c>
      <c r="F6" s="6">
        <f>Sites!I7</f>
        <v/>
      </c>
    </row>
    <row r="7">
      <c r="C7" s="3" t="inlineStr">
        <is>
          <t>Cost (scaled)</t>
        </is>
      </c>
      <c r="D7" s="6">
        <f>Sites!J5</f>
        <v/>
      </c>
      <c r="E7" s="6">
        <f>Sites!J6</f>
        <v/>
      </c>
      <c r="F7" s="6">
        <f>Sites!J7</f>
        <v/>
      </c>
    </row>
    <row r="8">
      <c r="C8" s="3" t="inlineStr">
        <is>
          <t>Construction cost</t>
        </is>
      </c>
      <c r="D8" s="30">
        <f>Sites!H5</f>
        <v/>
      </c>
      <c r="E8" s="30">
        <f>Sites!H6</f>
        <v/>
      </c>
      <c r="F8" s="30">
        <f>Sites!H7</f>
        <v/>
      </c>
    </row>
    <row r="9">
      <c r="C9" s="3" t="inlineStr">
        <is>
          <t>Weight</t>
        </is>
      </c>
      <c r="D9" s="6">
        <f>IF(D5=1,2^SUM(E5:$F$5),0)</f>
        <v/>
      </c>
      <c r="E9" s="6">
        <f>IF(E5=1,2^SUM(F5:$F$5),0)</f>
        <v/>
      </c>
      <c r="F9" s="6">
        <f>IF(F5=1,1,0)</f>
        <v/>
      </c>
    </row>
    <row r="11">
      <c r="A11" s="12" t="inlineStr">
        <is>
          <t>Row</t>
        </is>
      </c>
      <c r="B11" s="12" t="inlineStr">
        <is>
          <t>Plan</t>
        </is>
      </c>
      <c r="C11" s="12" t="inlineStr">
        <is>
          <t>Valid</t>
        </is>
      </c>
      <c r="D11" s="12" t="inlineStr">
        <is>
          <t>R1</t>
        </is>
      </c>
      <c r="E11" s="12" t="inlineStr">
        <is>
          <t>R2</t>
        </is>
      </c>
      <c r="F11" s="12" t="inlineStr">
        <is>
          <t>R3</t>
        </is>
      </c>
      <c r="G11" s="12" t="inlineStr">
        <is>
          <t>Plan number</t>
        </is>
      </c>
      <c r="H11" s="12" t="inlineStr">
        <is>
          <t>Lift (scaled)</t>
        </is>
      </c>
      <c r="I11" s="12" t="inlineStr">
        <is>
          <t>Cost (scaled)</t>
        </is>
      </c>
      <c r="J11" s="12" t="inlineStr">
        <is>
          <t>Construction cost</t>
        </is>
      </c>
      <c r="K11" s="12" t="inlineStr">
        <is>
          <t>Lift (AACU)</t>
        </is>
      </c>
      <c r="L11" s="12" t="inlineStr">
        <is>
          <t>Average annual cost</t>
        </is>
      </c>
      <c r="M11" s="12" t="inlineStr">
        <is>
          <t>No Action</t>
        </is>
      </c>
      <c r="N11" s="12" t="inlineStr">
        <is>
          <t>Dominated by</t>
        </is>
      </c>
      <c r="O11" s="12" t="inlineStr">
        <is>
          <t>Cost-effective</t>
        </is>
      </c>
      <c r="P11" s="12" t="inlineStr">
        <is>
          <t>Candidate</t>
        </is>
      </c>
      <c r="Q11" s="12" t="inlineStr">
        <is>
          <t>Slope in (max)</t>
        </is>
      </c>
      <c r="R11" s="12" t="inlineStr">
        <is>
          <t>Slope out (min)</t>
        </is>
      </c>
      <c r="S11" s="12" t="inlineStr">
        <is>
          <t>Best buy</t>
        </is>
      </c>
      <c r="T11" s="12" t="inlineStr">
        <is>
          <t>Best-buy step</t>
        </is>
      </c>
      <c r="U11" s="12" t="inlineStr">
        <is>
          <t>Previous lift (scaled)</t>
        </is>
      </c>
      <c r="V11" s="12" t="inlineStr">
        <is>
          <t>Previous cost (scaled)</t>
        </is>
      </c>
      <c r="W11" s="12" t="inlineStr">
        <is>
          <t>Incremental output</t>
        </is>
      </c>
      <c r="X11" s="12" t="inlineStr">
        <is>
          <t>Incremental cost</t>
        </is>
      </c>
      <c r="Y11" s="12" t="inlineStr">
        <is>
          <t>Incremental cost per unit</t>
        </is>
      </c>
      <c r="Z11" s="12" t="inlineStr">
        <is>
          <t>Unit cost</t>
        </is>
      </c>
      <c r="AA11" s="12" t="inlineStr">
        <is>
          <t>Final array</t>
        </is>
      </c>
      <c r="AB11" s="12" t="inlineStr">
        <is>
          <t>Final array order</t>
        </is>
      </c>
    </row>
    <row r="12">
      <c r="A12" s="4" t="n">
        <v>1</v>
      </c>
      <c r="B12" s="4" t="inlineStr">
        <is>
          <t>No Action</t>
        </is>
      </c>
      <c r="C12" s="10">
        <f>IF(SUMPRODUCT(D12:F12,1-$D$5:$F$5)=0,1,0)</f>
        <v/>
      </c>
      <c r="D12" s="4" t="n">
        <v>0</v>
      </c>
      <c r="E12" s="4" t="n">
        <v>0</v>
      </c>
      <c r="F12" s="4" t="n">
        <v>0</v>
      </c>
      <c r="G12" s="6">
        <f>IF(C12=1,1+SUMPRODUCT(D12:F12,$D$9:$F$9),"")</f>
        <v/>
      </c>
      <c r="H12" s="6">
        <f>SUMPRODUCT(D12:F12,$D$6:$F$6)</f>
        <v/>
      </c>
      <c r="I12" s="6">
        <f>SUMPRODUCT(D12:F12,$D$7:$F$7)</f>
        <v/>
      </c>
      <c r="J12" s="30">
        <f>SUMPRODUCT(D12:F12,$D$8:$F$8)</f>
        <v/>
      </c>
      <c r="K12" s="25">
        <f>H12/10^in_out_dp</f>
        <v/>
      </c>
      <c r="L12" s="31">
        <f>I12/10^in_cost_dp</f>
        <v/>
      </c>
      <c r="M12" s="10">
        <f>IF(SUM(D12:F12)=0,1,0)</f>
        <v/>
      </c>
      <c r="N12" s="10">
        <f>SUMPRODUCT($C$12:$C$19*(($H$12:$H$19=H12)*($I$12:$I$19&lt;I12)+($H$12:$H$19&gt;H12)*($I$12:$I$19&lt;=I12)))</f>
        <v/>
      </c>
      <c r="O12" s="10">
        <f>IF(C12=0,0,IF(OR(M12=1,N12=0),1,0))</f>
        <v/>
      </c>
      <c r="P12" s="10">
        <f>IF(AND(O12=1,M12=0,H12&gt;0),1,0)</f>
        <v/>
      </c>
      <c r="Q12" s="35">
        <f>IF(P12=1,MAX(I12/H12,SUMPRODUCT(MAX(((I12-$I$12:$I$19)*($P$12:$P$19*($H$12:$H$19&lt;H12)))/((H12-$H$12:$H$19)*($P$12:$P$19*($H$12:$H$19&lt;H12))+1-($P$12:$P$19*($H$12:$H$19&lt;H12)))-(1-($P$12:$P$19*($H$12:$H$19&lt;H12)))*1E+300))),0)</f>
        <v/>
      </c>
      <c r="R12" s="35">
        <f>IF(P12=1,SUMPRODUCT(MIN(((($I$12:$I$19-I12)*($P$12:$P$19*($H$12:$H$19&gt;H12)))/(($H$12:$H$19-H12)*($P$12:$P$19*($H$12:$H$19&gt;H12))+1-($P$12:$P$19*($H$12:$H$19&gt;H12)))+(1-($P$12:$P$19*($H$12:$H$19&gt;H12)))*1E+300))),0)</f>
        <v/>
      </c>
      <c r="S12" s="10">
        <f>IF(C12=0,0,IF(M12=1,1,IF(AND(P12=1,Q12&lt;=R12),1,0)))</f>
        <v/>
      </c>
      <c r="T12" s="10">
        <f>IF(S12=1,1+SUMPRODUCT($S$12:$S$19*(($H$12:$H$19&lt;H12)+($H$12:$H$19=H12)*($A$12:$A$19&lt;A12))),0)</f>
        <v/>
      </c>
      <c r="U12" s="10">
        <f>IF(T12&lt;=1,0,SUMPRODUCT(($T$12:$T$19=T12-1)*$H$12:$H$19))</f>
        <v/>
      </c>
      <c r="V12" s="10">
        <f>IF(T12&lt;=1,0,SUMPRODUCT(($T$12:$T$19=T12-1)*$I$12:$I$19))</f>
        <v/>
      </c>
      <c r="W12" s="25">
        <f>IF(T12=0,"",(H12-U12)/10^in_out_dp)</f>
        <v/>
      </c>
      <c r="X12" s="31">
        <f>IF(T12=0,"",(I12-V12)/10^in_cost_dp)</f>
        <v/>
      </c>
      <c r="Y12" s="31">
        <f>IF(T12=0,"",IF(H12=U12,0,X12/W12))</f>
        <v/>
      </c>
      <c r="Z12" s="31">
        <f>IF(AND(C12=1,H12&gt;0),L12/K12,"n/a")</f>
        <v/>
      </c>
      <c r="AA12" s="15" t="n">
        <v>1</v>
      </c>
      <c r="AB12" s="6">
        <f>IF(AND(C12=1,AA12=1),1+SUMPRODUCT($C$12:$C$19*$AA$12:$AA$19*(($H$12:$H$19&lt;H12)+($H$12:$H$19=H12)*($I$12:$I$19&lt;I12)+($H$12:$H$19=H12)*($I$12:$I$19=I12)*($A$12:$A$19&lt;A12))),0)</f>
        <v/>
      </c>
    </row>
    <row r="13">
      <c r="A13" s="4" t="n">
        <v>2</v>
      </c>
      <c r="B13" s="4" t="inlineStr">
        <is>
          <t>R3</t>
        </is>
      </c>
      <c r="C13" s="10">
        <f>IF(SUMPRODUCT(D13:F13,1-$D$5:$F$5)=0,1,0)</f>
        <v/>
      </c>
      <c r="D13" s="4" t="n">
        <v>0</v>
      </c>
      <c r="E13" s="4" t="n">
        <v>0</v>
      </c>
      <c r="F13" s="4" t="n">
        <v>1</v>
      </c>
      <c r="G13" s="6">
        <f>IF(C13=1,1+SUMPRODUCT(D13:F13,$D$9:$F$9),"")</f>
        <v/>
      </c>
      <c r="H13" s="6">
        <f>SUMPRODUCT(D13:F13,$D$6:$F$6)</f>
        <v/>
      </c>
      <c r="I13" s="6">
        <f>SUMPRODUCT(D13:F13,$D$7:$F$7)</f>
        <v/>
      </c>
      <c r="J13" s="30">
        <f>SUMPRODUCT(D13:F13,$D$8:$F$8)</f>
        <v/>
      </c>
      <c r="K13" s="25">
        <f>H13/10^in_out_dp</f>
        <v/>
      </c>
      <c r="L13" s="31">
        <f>I13/10^in_cost_dp</f>
        <v/>
      </c>
      <c r="M13" s="10">
        <f>IF(SUM(D13:F13)=0,1,0)</f>
        <v/>
      </c>
      <c r="N13" s="10">
        <f>SUMPRODUCT($C$12:$C$19*(($H$12:$H$19=H13)*($I$12:$I$19&lt;I13)+($H$12:$H$19&gt;H13)*($I$12:$I$19&lt;=I13)))</f>
        <v/>
      </c>
      <c r="O13" s="10">
        <f>IF(C13=0,0,IF(OR(M13=1,N13=0),1,0))</f>
        <v/>
      </c>
      <c r="P13" s="10">
        <f>IF(AND(O13=1,M13=0,H13&gt;0),1,0)</f>
        <v/>
      </c>
      <c r="Q13" s="35">
        <f>IF(P13=1,MAX(I13/H13,SUMPRODUCT(MAX(((I13-$I$12:$I$19)*($P$12:$P$19*($H$12:$H$19&lt;H13)))/((H13-$H$12:$H$19)*($P$12:$P$19*($H$12:$H$19&lt;H13))+1-($P$12:$P$19*($H$12:$H$19&lt;H13)))-(1-($P$12:$P$19*($H$12:$H$19&lt;H13)))*1E+300))),0)</f>
        <v/>
      </c>
      <c r="R13" s="35">
        <f>IF(P13=1,SUMPRODUCT(MIN(((($I$12:$I$19-I13)*($P$12:$P$19*($H$12:$H$19&gt;H13)))/(($H$12:$H$19-H13)*($P$12:$P$19*($H$12:$H$19&gt;H13))+1-($P$12:$P$19*($H$12:$H$19&gt;H13)))+(1-($P$12:$P$19*($H$12:$H$19&gt;H13)))*1E+300))),0)</f>
        <v/>
      </c>
      <c r="S13" s="10">
        <f>IF(C13=0,0,IF(M13=1,1,IF(AND(P13=1,Q13&lt;=R13),1,0)))</f>
        <v/>
      </c>
      <c r="T13" s="10">
        <f>IF(S13=1,1+SUMPRODUCT($S$12:$S$19*(($H$12:$H$19&lt;H13)+($H$12:$H$19=H13)*($A$12:$A$19&lt;A13))),0)</f>
        <v/>
      </c>
      <c r="U13" s="10">
        <f>IF(T13&lt;=1,0,SUMPRODUCT(($T$12:$T$19=T13-1)*$H$12:$H$19))</f>
        <v/>
      </c>
      <c r="V13" s="10">
        <f>IF(T13&lt;=1,0,SUMPRODUCT(($T$12:$T$19=T13-1)*$I$12:$I$19))</f>
        <v/>
      </c>
      <c r="W13" s="25">
        <f>IF(T13=0,"",(H13-U13)/10^in_out_dp)</f>
        <v/>
      </c>
      <c r="X13" s="31">
        <f>IF(T13=0,"",(I13-V13)/10^in_cost_dp)</f>
        <v/>
      </c>
      <c r="Y13" s="31">
        <f>IF(T13=0,"",IF(H13=U13,0,X13/W13))</f>
        <v/>
      </c>
      <c r="Z13" s="31">
        <f>IF(AND(C13=1,H13&gt;0),L13/K13,"n/a")</f>
        <v/>
      </c>
      <c r="AA13" s="15" t="n">
        <v>1</v>
      </c>
      <c r="AB13" s="6">
        <f>IF(AND(C13=1,AA13=1),1+SUMPRODUCT($C$12:$C$19*$AA$12:$AA$19*(($H$12:$H$19&lt;H13)+($H$12:$H$19=H13)*($I$12:$I$19&lt;I13)+($H$12:$H$19=H13)*($I$12:$I$19=I13)*($A$12:$A$19&lt;A13))),0)</f>
        <v/>
      </c>
    </row>
    <row r="14">
      <c r="A14" s="4" t="n">
        <v>3</v>
      </c>
      <c r="B14" s="4" t="inlineStr">
        <is>
          <t>R2</t>
        </is>
      </c>
      <c r="C14" s="10">
        <f>IF(SUMPRODUCT(D14:F14,1-$D$5:$F$5)=0,1,0)</f>
        <v/>
      </c>
      <c r="D14" s="4" t="n">
        <v>0</v>
      </c>
      <c r="E14" s="4" t="n">
        <v>1</v>
      </c>
      <c r="F14" s="4" t="n">
        <v>0</v>
      </c>
      <c r="G14" s="6">
        <f>IF(C14=1,1+SUMPRODUCT(D14:F14,$D$9:$F$9),"")</f>
        <v/>
      </c>
      <c r="H14" s="6">
        <f>SUMPRODUCT(D14:F14,$D$6:$F$6)</f>
        <v/>
      </c>
      <c r="I14" s="6">
        <f>SUMPRODUCT(D14:F14,$D$7:$F$7)</f>
        <v/>
      </c>
      <c r="J14" s="30">
        <f>SUMPRODUCT(D14:F14,$D$8:$F$8)</f>
        <v/>
      </c>
      <c r="K14" s="25">
        <f>H14/10^in_out_dp</f>
        <v/>
      </c>
      <c r="L14" s="31">
        <f>I14/10^in_cost_dp</f>
        <v/>
      </c>
      <c r="M14" s="10">
        <f>IF(SUM(D14:F14)=0,1,0)</f>
        <v/>
      </c>
      <c r="N14" s="10">
        <f>SUMPRODUCT($C$12:$C$19*(($H$12:$H$19=H14)*($I$12:$I$19&lt;I14)+($H$12:$H$19&gt;H14)*($I$12:$I$19&lt;=I14)))</f>
        <v/>
      </c>
      <c r="O14" s="10">
        <f>IF(C14=0,0,IF(OR(M14=1,N14=0),1,0))</f>
        <v/>
      </c>
      <c r="P14" s="10">
        <f>IF(AND(O14=1,M14=0,H14&gt;0),1,0)</f>
        <v/>
      </c>
      <c r="Q14" s="35">
        <f>IF(P14=1,MAX(I14/H14,SUMPRODUCT(MAX(((I14-$I$12:$I$19)*($P$12:$P$19*($H$12:$H$19&lt;H14)))/((H14-$H$12:$H$19)*($P$12:$P$19*($H$12:$H$19&lt;H14))+1-($P$12:$P$19*($H$12:$H$19&lt;H14)))-(1-($P$12:$P$19*($H$12:$H$19&lt;H14)))*1E+300))),0)</f>
        <v/>
      </c>
      <c r="R14" s="35">
        <f>IF(P14=1,SUMPRODUCT(MIN(((($I$12:$I$19-I14)*($P$12:$P$19*($H$12:$H$19&gt;H14)))/(($H$12:$H$19-H14)*($P$12:$P$19*($H$12:$H$19&gt;H14))+1-($P$12:$P$19*($H$12:$H$19&gt;H14)))+(1-($P$12:$P$19*($H$12:$H$19&gt;H14)))*1E+300))),0)</f>
        <v/>
      </c>
      <c r="S14" s="10">
        <f>IF(C14=0,0,IF(M14=1,1,IF(AND(P14=1,Q14&lt;=R14),1,0)))</f>
        <v/>
      </c>
      <c r="T14" s="10">
        <f>IF(S14=1,1+SUMPRODUCT($S$12:$S$19*(($H$12:$H$19&lt;H14)+($H$12:$H$19=H14)*($A$12:$A$19&lt;A14))),0)</f>
        <v/>
      </c>
      <c r="U14" s="10">
        <f>IF(T14&lt;=1,0,SUMPRODUCT(($T$12:$T$19=T14-1)*$H$12:$H$19))</f>
        <v/>
      </c>
      <c r="V14" s="10">
        <f>IF(T14&lt;=1,0,SUMPRODUCT(($T$12:$T$19=T14-1)*$I$12:$I$19))</f>
        <v/>
      </c>
      <c r="W14" s="25">
        <f>IF(T14=0,"",(H14-U14)/10^in_out_dp)</f>
        <v/>
      </c>
      <c r="X14" s="31">
        <f>IF(T14=0,"",(I14-V14)/10^in_cost_dp)</f>
        <v/>
      </c>
      <c r="Y14" s="31">
        <f>IF(T14=0,"",IF(H14=U14,0,X14/W14))</f>
        <v/>
      </c>
      <c r="Z14" s="31">
        <f>IF(AND(C14=1,H14&gt;0),L14/K14,"n/a")</f>
        <v/>
      </c>
      <c r="AA14" s="15" t="n">
        <v>0</v>
      </c>
      <c r="AB14" s="6">
        <f>IF(AND(C14=1,AA14=1),1+SUMPRODUCT($C$12:$C$19*$AA$12:$AA$19*(($H$12:$H$19&lt;H14)+($H$12:$H$19=H14)*($I$12:$I$19&lt;I14)+($H$12:$H$19=H14)*($I$12:$I$19=I14)*($A$12:$A$19&lt;A14))),0)</f>
        <v/>
      </c>
    </row>
    <row r="15">
      <c r="A15" s="4" t="n">
        <v>4</v>
      </c>
      <c r="B15" s="4" t="inlineStr">
        <is>
          <t>R2 + R3</t>
        </is>
      </c>
      <c r="C15" s="10">
        <f>IF(SUMPRODUCT(D15:F15,1-$D$5:$F$5)=0,1,0)</f>
        <v/>
      </c>
      <c r="D15" s="4" t="n">
        <v>0</v>
      </c>
      <c r="E15" s="4" t="n">
        <v>1</v>
      </c>
      <c r="F15" s="4" t="n">
        <v>1</v>
      </c>
      <c r="G15" s="6">
        <f>IF(C15=1,1+SUMPRODUCT(D15:F15,$D$9:$F$9),"")</f>
        <v/>
      </c>
      <c r="H15" s="6">
        <f>SUMPRODUCT(D15:F15,$D$6:$F$6)</f>
        <v/>
      </c>
      <c r="I15" s="6">
        <f>SUMPRODUCT(D15:F15,$D$7:$F$7)</f>
        <v/>
      </c>
      <c r="J15" s="30">
        <f>SUMPRODUCT(D15:F15,$D$8:$F$8)</f>
        <v/>
      </c>
      <c r="K15" s="25">
        <f>H15/10^in_out_dp</f>
        <v/>
      </c>
      <c r="L15" s="31">
        <f>I15/10^in_cost_dp</f>
        <v/>
      </c>
      <c r="M15" s="10">
        <f>IF(SUM(D15:F15)=0,1,0)</f>
        <v/>
      </c>
      <c r="N15" s="10">
        <f>SUMPRODUCT($C$12:$C$19*(($H$12:$H$19=H15)*($I$12:$I$19&lt;I15)+($H$12:$H$19&gt;H15)*($I$12:$I$19&lt;=I15)))</f>
        <v/>
      </c>
      <c r="O15" s="10">
        <f>IF(C15=0,0,IF(OR(M15=1,N15=0),1,0))</f>
        <v/>
      </c>
      <c r="P15" s="10">
        <f>IF(AND(O15=1,M15=0,H15&gt;0),1,0)</f>
        <v/>
      </c>
      <c r="Q15" s="35">
        <f>IF(P15=1,MAX(I15/H15,SUMPRODUCT(MAX(((I15-$I$12:$I$19)*($P$12:$P$19*($H$12:$H$19&lt;H15)))/((H15-$H$12:$H$19)*($P$12:$P$19*($H$12:$H$19&lt;H15))+1-($P$12:$P$19*($H$12:$H$19&lt;H15)))-(1-($P$12:$P$19*($H$12:$H$19&lt;H15)))*1E+300))),0)</f>
        <v/>
      </c>
      <c r="R15" s="35">
        <f>IF(P15=1,SUMPRODUCT(MIN(((($I$12:$I$19-I15)*($P$12:$P$19*($H$12:$H$19&gt;H15)))/(($H$12:$H$19-H15)*($P$12:$P$19*($H$12:$H$19&gt;H15))+1-($P$12:$P$19*($H$12:$H$19&gt;H15)))+(1-($P$12:$P$19*($H$12:$H$19&gt;H15)))*1E+300))),0)</f>
        <v/>
      </c>
      <c r="S15" s="10">
        <f>IF(C15=0,0,IF(M15=1,1,IF(AND(P15=1,Q15&lt;=R15),1,0)))</f>
        <v/>
      </c>
      <c r="T15" s="10">
        <f>IF(S15=1,1+SUMPRODUCT($S$12:$S$19*(($H$12:$H$19&lt;H15)+($H$12:$H$19=H15)*($A$12:$A$19&lt;A15))),0)</f>
        <v/>
      </c>
      <c r="U15" s="10">
        <f>IF(T15&lt;=1,0,SUMPRODUCT(($T$12:$T$19=T15-1)*$H$12:$H$19))</f>
        <v/>
      </c>
      <c r="V15" s="10">
        <f>IF(T15&lt;=1,0,SUMPRODUCT(($T$12:$T$19=T15-1)*$I$12:$I$19))</f>
        <v/>
      </c>
      <c r="W15" s="25">
        <f>IF(T15=0,"",(H15-U15)/10^in_out_dp)</f>
        <v/>
      </c>
      <c r="X15" s="31">
        <f>IF(T15=0,"",(I15-V15)/10^in_cost_dp)</f>
        <v/>
      </c>
      <c r="Y15" s="31">
        <f>IF(T15=0,"",IF(H15=U15,0,X15/W15))</f>
        <v/>
      </c>
      <c r="Z15" s="31">
        <f>IF(AND(C15=1,H15&gt;0),L15/K15,"n/a")</f>
        <v/>
      </c>
      <c r="AA15" s="15" t="n">
        <v>1</v>
      </c>
      <c r="AB15" s="6">
        <f>IF(AND(C15=1,AA15=1),1+SUMPRODUCT($C$12:$C$19*$AA$12:$AA$19*(($H$12:$H$19&lt;H15)+($H$12:$H$19=H15)*($I$12:$I$19&lt;I15)+($H$12:$H$19=H15)*($I$12:$I$19=I15)*($A$12:$A$19&lt;A15))),0)</f>
        <v/>
      </c>
    </row>
    <row r="16">
      <c r="A16" s="4" t="n">
        <v>5</v>
      </c>
      <c r="B16" s="4" t="inlineStr">
        <is>
          <t>R1</t>
        </is>
      </c>
      <c r="C16" s="10">
        <f>IF(SUMPRODUCT(D16:F16,1-$D$5:$F$5)=0,1,0)</f>
        <v/>
      </c>
      <c r="D16" s="4" t="n">
        <v>1</v>
      </c>
      <c r="E16" s="4" t="n">
        <v>0</v>
      </c>
      <c r="F16" s="4" t="n">
        <v>0</v>
      </c>
      <c r="G16" s="6">
        <f>IF(C16=1,1+SUMPRODUCT(D16:F16,$D$9:$F$9),"")</f>
        <v/>
      </c>
      <c r="H16" s="6">
        <f>SUMPRODUCT(D16:F16,$D$6:$F$6)</f>
        <v/>
      </c>
      <c r="I16" s="6">
        <f>SUMPRODUCT(D16:F16,$D$7:$F$7)</f>
        <v/>
      </c>
      <c r="J16" s="30">
        <f>SUMPRODUCT(D16:F16,$D$8:$F$8)</f>
        <v/>
      </c>
      <c r="K16" s="25">
        <f>H16/10^in_out_dp</f>
        <v/>
      </c>
      <c r="L16" s="31">
        <f>I16/10^in_cost_dp</f>
        <v/>
      </c>
      <c r="M16" s="10">
        <f>IF(SUM(D16:F16)=0,1,0)</f>
        <v/>
      </c>
      <c r="N16" s="10">
        <f>SUMPRODUCT($C$12:$C$19*(($H$12:$H$19=H16)*($I$12:$I$19&lt;I16)+($H$12:$H$19&gt;H16)*($I$12:$I$19&lt;=I16)))</f>
        <v/>
      </c>
      <c r="O16" s="10">
        <f>IF(C16=0,0,IF(OR(M16=1,N16=0),1,0))</f>
        <v/>
      </c>
      <c r="P16" s="10">
        <f>IF(AND(O16=1,M16=0,H16&gt;0),1,0)</f>
        <v/>
      </c>
      <c r="Q16" s="35">
        <f>IF(P16=1,MAX(I16/H16,SUMPRODUCT(MAX(((I16-$I$12:$I$19)*($P$12:$P$19*($H$12:$H$19&lt;H16)))/((H16-$H$12:$H$19)*($P$12:$P$19*($H$12:$H$19&lt;H16))+1-($P$12:$P$19*($H$12:$H$19&lt;H16)))-(1-($P$12:$P$19*($H$12:$H$19&lt;H16)))*1E+300))),0)</f>
        <v/>
      </c>
      <c r="R16" s="35">
        <f>IF(P16=1,SUMPRODUCT(MIN(((($I$12:$I$19-I16)*($P$12:$P$19*($H$12:$H$19&gt;H16)))/(($H$12:$H$19-H16)*($P$12:$P$19*($H$12:$H$19&gt;H16))+1-($P$12:$P$19*($H$12:$H$19&gt;H16)))+(1-($P$12:$P$19*($H$12:$H$19&gt;H16)))*1E+300))),0)</f>
        <v/>
      </c>
      <c r="S16" s="10">
        <f>IF(C16=0,0,IF(M16=1,1,IF(AND(P16=1,Q16&lt;=R16),1,0)))</f>
        <v/>
      </c>
      <c r="T16" s="10">
        <f>IF(S16=1,1+SUMPRODUCT($S$12:$S$19*(($H$12:$H$19&lt;H16)+($H$12:$H$19=H16)*($A$12:$A$19&lt;A16))),0)</f>
        <v/>
      </c>
      <c r="U16" s="10">
        <f>IF(T16&lt;=1,0,SUMPRODUCT(($T$12:$T$19=T16-1)*$H$12:$H$19))</f>
        <v/>
      </c>
      <c r="V16" s="10">
        <f>IF(T16&lt;=1,0,SUMPRODUCT(($T$12:$T$19=T16-1)*$I$12:$I$19))</f>
        <v/>
      </c>
      <c r="W16" s="25">
        <f>IF(T16=0,"",(H16-U16)/10^in_out_dp)</f>
        <v/>
      </c>
      <c r="X16" s="31">
        <f>IF(T16=0,"",(I16-V16)/10^in_cost_dp)</f>
        <v/>
      </c>
      <c r="Y16" s="31">
        <f>IF(T16=0,"",IF(H16=U16,0,X16/W16))</f>
        <v/>
      </c>
      <c r="Z16" s="31">
        <f>IF(AND(C16=1,H16&gt;0),L16/K16,"n/a")</f>
        <v/>
      </c>
      <c r="AA16" s="15" t="n">
        <v>0</v>
      </c>
      <c r="AB16" s="6">
        <f>IF(AND(C16=1,AA16=1),1+SUMPRODUCT($C$12:$C$19*$AA$12:$AA$19*(($H$12:$H$19&lt;H16)+($H$12:$H$19=H16)*($I$12:$I$19&lt;I16)+($H$12:$H$19=H16)*($I$12:$I$19=I16)*($A$12:$A$19&lt;A16))),0)</f>
        <v/>
      </c>
    </row>
    <row r="17">
      <c r="A17" s="4" t="n">
        <v>6</v>
      </c>
      <c r="B17" s="4" t="inlineStr">
        <is>
          <t>R1 + R3</t>
        </is>
      </c>
      <c r="C17" s="10">
        <f>IF(SUMPRODUCT(D17:F17,1-$D$5:$F$5)=0,1,0)</f>
        <v/>
      </c>
      <c r="D17" s="4" t="n">
        <v>1</v>
      </c>
      <c r="E17" s="4" t="n">
        <v>0</v>
      </c>
      <c r="F17" s="4" t="n">
        <v>1</v>
      </c>
      <c r="G17" s="6">
        <f>IF(C17=1,1+SUMPRODUCT(D17:F17,$D$9:$F$9),"")</f>
        <v/>
      </c>
      <c r="H17" s="6">
        <f>SUMPRODUCT(D17:F17,$D$6:$F$6)</f>
        <v/>
      </c>
      <c r="I17" s="6">
        <f>SUMPRODUCT(D17:F17,$D$7:$F$7)</f>
        <v/>
      </c>
      <c r="J17" s="30">
        <f>SUMPRODUCT(D17:F17,$D$8:$F$8)</f>
        <v/>
      </c>
      <c r="K17" s="25">
        <f>H17/10^in_out_dp</f>
        <v/>
      </c>
      <c r="L17" s="31">
        <f>I17/10^in_cost_dp</f>
        <v/>
      </c>
      <c r="M17" s="10">
        <f>IF(SUM(D17:F17)=0,1,0)</f>
        <v/>
      </c>
      <c r="N17" s="10">
        <f>SUMPRODUCT($C$12:$C$19*(($H$12:$H$19=H17)*($I$12:$I$19&lt;I17)+($H$12:$H$19&gt;H17)*($I$12:$I$19&lt;=I17)))</f>
        <v/>
      </c>
      <c r="O17" s="10">
        <f>IF(C17=0,0,IF(OR(M17=1,N17=0),1,0))</f>
        <v/>
      </c>
      <c r="P17" s="10">
        <f>IF(AND(O17=1,M17=0,H17&gt;0),1,0)</f>
        <v/>
      </c>
      <c r="Q17" s="35">
        <f>IF(P17=1,MAX(I17/H17,SUMPRODUCT(MAX(((I17-$I$12:$I$19)*($P$12:$P$19*($H$12:$H$19&lt;H17)))/((H17-$H$12:$H$19)*($P$12:$P$19*($H$12:$H$19&lt;H17))+1-($P$12:$P$19*($H$12:$H$19&lt;H17)))-(1-($P$12:$P$19*($H$12:$H$19&lt;H17)))*1E+300))),0)</f>
        <v/>
      </c>
      <c r="R17" s="35">
        <f>IF(P17=1,SUMPRODUCT(MIN(((($I$12:$I$19-I17)*($P$12:$P$19*($H$12:$H$19&gt;H17)))/(($H$12:$H$19-H17)*($P$12:$P$19*($H$12:$H$19&gt;H17))+1-($P$12:$P$19*($H$12:$H$19&gt;H17)))+(1-($P$12:$P$19*($H$12:$H$19&gt;H17)))*1E+300))),0)</f>
        <v/>
      </c>
      <c r="S17" s="10">
        <f>IF(C17=0,0,IF(M17=1,1,IF(AND(P17=1,Q17&lt;=R17),1,0)))</f>
        <v/>
      </c>
      <c r="T17" s="10">
        <f>IF(S17=1,1+SUMPRODUCT($S$12:$S$19*(($H$12:$H$19&lt;H17)+($H$12:$H$19=H17)*($A$12:$A$19&lt;A17))),0)</f>
        <v/>
      </c>
      <c r="U17" s="10">
        <f>IF(T17&lt;=1,0,SUMPRODUCT(($T$12:$T$19=T17-1)*$H$12:$H$19))</f>
        <v/>
      </c>
      <c r="V17" s="10">
        <f>IF(T17&lt;=1,0,SUMPRODUCT(($T$12:$T$19=T17-1)*$I$12:$I$19))</f>
        <v/>
      </c>
      <c r="W17" s="25">
        <f>IF(T17=0,"",(H17-U17)/10^in_out_dp)</f>
        <v/>
      </c>
      <c r="X17" s="31">
        <f>IF(T17=0,"",(I17-V17)/10^in_cost_dp)</f>
        <v/>
      </c>
      <c r="Y17" s="31">
        <f>IF(T17=0,"",IF(H17=U17,0,X17/W17))</f>
        <v/>
      </c>
      <c r="Z17" s="31">
        <f>IF(AND(C17=1,H17&gt;0),L17/K17,"n/a")</f>
        <v/>
      </c>
      <c r="AA17" s="15" t="n">
        <v>0</v>
      </c>
      <c r="AB17" s="6">
        <f>IF(AND(C17=1,AA17=1),1+SUMPRODUCT($C$12:$C$19*$AA$12:$AA$19*(($H$12:$H$19&lt;H17)+($H$12:$H$19=H17)*($I$12:$I$19&lt;I17)+($H$12:$H$19=H17)*($I$12:$I$19=I17)*($A$12:$A$19&lt;A17))),0)</f>
        <v/>
      </c>
    </row>
    <row r="18">
      <c r="A18" s="4" t="n">
        <v>7</v>
      </c>
      <c r="B18" s="4" t="inlineStr">
        <is>
          <t>R1 + R2</t>
        </is>
      </c>
      <c r="C18" s="10">
        <f>IF(SUMPRODUCT(D18:F18,1-$D$5:$F$5)=0,1,0)</f>
        <v/>
      </c>
      <c r="D18" s="4" t="n">
        <v>1</v>
      </c>
      <c r="E18" s="4" t="n">
        <v>1</v>
      </c>
      <c r="F18" s="4" t="n">
        <v>0</v>
      </c>
      <c r="G18" s="6">
        <f>IF(C18=1,1+SUMPRODUCT(D18:F18,$D$9:$F$9),"")</f>
        <v/>
      </c>
      <c r="H18" s="6">
        <f>SUMPRODUCT(D18:F18,$D$6:$F$6)</f>
        <v/>
      </c>
      <c r="I18" s="6">
        <f>SUMPRODUCT(D18:F18,$D$7:$F$7)</f>
        <v/>
      </c>
      <c r="J18" s="30">
        <f>SUMPRODUCT(D18:F18,$D$8:$F$8)</f>
        <v/>
      </c>
      <c r="K18" s="25">
        <f>H18/10^in_out_dp</f>
        <v/>
      </c>
      <c r="L18" s="31">
        <f>I18/10^in_cost_dp</f>
        <v/>
      </c>
      <c r="M18" s="10">
        <f>IF(SUM(D18:F18)=0,1,0)</f>
        <v/>
      </c>
      <c r="N18" s="10">
        <f>SUMPRODUCT($C$12:$C$19*(($H$12:$H$19=H18)*($I$12:$I$19&lt;I18)+($H$12:$H$19&gt;H18)*($I$12:$I$19&lt;=I18)))</f>
        <v/>
      </c>
      <c r="O18" s="10">
        <f>IF(C18=0,0,IF(OR(M18=1,N18=0),1,0))</f>
        <v/>
      </c>
      <c r="P18" s="10">
        <f>IF(AND(O18=1,M18=0,H18&gt;0),1,0)</f>
        <v/>
      </c>
      <c r="Q18" s="35">
        <f>IF(P18=1,MAX(I18/H18,SUMPRODUCT(MAX(((I18-$I$12:$I$19)*($P$12:$P$19*($H$12:$H$19&lt;H18)))/((H18-$H$12:$H$19)*($P$12:$P$19*($H$12:$H$19&lt;H18))+1-($P$12:$P$19*($H$12:$H$19&lt;H18)))-(1-($P$12:$P$19*($H$12:$H$19&lt;H18)))*1E+300))),0)</f>
        <v/>
      </c>
      <c r="R18" s="35">
        <f>IF(P18=1,SUMPRODUCT(MIN(((($I$12:$I$19-I18)*($P$12:$P$19*($H$12:$H$19&gt;H18)))/(($H$12:$H$19-H18)*($P$12:$P$19*($H$12:$H$19&gt;H18))+1-($P$12:$P$19*($H$12:$H$19&gt;H18)))+(1-($P$12:$P$19*($H$12:$H$19&gt;H18)))*1E+300))),0)</f>
        <v/>
      </c>
      <c r="S18" s="10">
        <f>IF(C18=0,0,IF(M18=1,1,IF(AND(P18=1,Q18&lt;=R18),1,0)))</f>
        <v/>
      </c>
      <c r="T18" s="10">
        <f>IF(S18=1,1+SUMPRODUCT($S$12:$S$19*(($H$12:$H$19&lt;H18)+($H$12:$H$19=H18)*($A$12:$A$19&lt;A18))),0)</f>
        <v/>
      </c>
      <c r="U18" s="10">
        <f>IF(T18&lt;=1,0,SUMPRODUCT(($T$12:$T$19=T18-1)*$H$12:$H$19))</f>
        <v/>
      </c>
      <c r="V18" s="10">
        <f>IF(T18&lt;=1,0,SUMPRODUCT(($T$12:$T$19=T18-1)*$I$12:$I$19))</f>
        <v/>
      </c>
      <c r="W18" s="25">
        <f>IF(T18=0,"",(H18-U18)/10^in_out_dp)</f>
        <v/>
      </c>
      <c r="X18" s="31">
        <f>IF(T18=0,"",(I18-V18)/10^in_cost_dp)</f>
        <v/>
      </c>
      <c r="Y18" s="31">
        <f>IF(T18=0,"",IF(H18=U18,0,X18/W18))</f>
        <v/>
      </c>
      <c r="Z18" s="31">
        <f>IF(AND(C18=1,H18&gt;0),L18/K18,"n/a")</f>
        <v/>
      </c>
      <c r="AA18" s="15" t="n">
        <v>0</v>
      </c>
      <c r="AB18" s="6">
        <f>IF(AND(C18=1,AA18=1),1+SUMPRODUCT($C$12:$C$19*$AA$12:$AA$19*(($H$12:$H$19&lt;H18)+($H$12:$H$19=H18)*($I$12:$I$19&lt;I18)+($H$12:$H$19=H18)*($I$12:$I$19=I18)*($A$12:$A$19&lt;A18))),0)</f>
        <v/>
      </c>
    </row>
    <row r="19">
      <c r="A19" s="4" t="n">
        <v>8</v>
      </c>
      <c r="B19" s="4" t="inlineStr">
        <is>
          <t>R1 + R2 + R3</t>
        </is>
      </c>
      <c r="C19" s="10">
        <f>IF(SUMPRODUCT(D19:F19,1-$D$5:$F$5)=0,1,0)</f>
        <v/>
      </c>
      <c r="D19" s="4" t="n">
        <v>1</v>
      </c>
      <c r="E19" s="4" t="n">
        <v>1</v>
      </c>
      <c r="F19" s="4" t="n">
        <v>1</v>
      </c>
      <c r="G19" s="6">
        <f>IF(C19=1,1+SUMPRODUCT(D19:F19,$D$9:$F$9),"")</f>
        <v/>
      </c>
      <c r="H19" s="6">
        <f>SUMPRODUCT(D19:F19,$D$6:$F$6)</f>
        <v/>
      </c>
      <c r="I19" s="6">
        <f>SUMPRODUCT(D19:F19,$D$7:$F$7)</f>
        <v/>
      </c>
      <c r="J19" s="30">
        <f>SUMPRODUCT(D19:F19,$D$8:$F$8)</f>
        <v/>
      </c>
      <c r="K19" s="25">
        <f>H19/10^in_out_dp</f>
        <v/>
      </c>
      <c r="L19" s="31">
        <f>I19/10^in_cost_dp</f>
        <v/>
      </c>
      <c r="M19" s="10">
        <f>IF(SUM(D19:F19)=0,1,0)</f>
        <v/>
      </c>
      <c r="N19" s="10">
        <f>SUMPRODUCT($C$12:$C$19*(($H$12:$H$19=H19)*($I$12:$I$19&lt;I19)+($H$12:$H$19&gt;H19)*($I$12:$I$19&lt;=I19)))</f>
        <v/>
      </c>
      <c r="O19" s="10">
        <f>IF(C19=0,0,IF(OR(M19=1,N19=0),1,0))</f>
        <v/>
      </c>
      <c r="P19" s="10">
        <f>IF(AND(O19=1,M19=0,H19&gt;0),1,0)</f>
        <v/>
      </c>
      <c r="Q19" s="35">
        <f>IF(P19=1,MAX(I19/H19,SUMPRODUCT(MAX(((I19-$I$12:$I$19)*($P$12:$P$19*($H$12:$H$19&lt;H19)))/((H19-$H$12:$H$19)*($P$12:$P$19*($H$12:$H$19&lt;H19))+1-($P$12:$P$19*($H$12:$H$19&lt;H19)))-(1-($P$12:$P$19*($H$12:$H$19&lt;H19)))*1E+300))),0)</f>
        <v/>
      </c>
      <c r="R19" s="35">
        <f>IF(P19=1,SUMPRODUCT(MIN(((($I$12:$I$19-I19)*($P$12:$P$19*($H$12:$H$19&gt;H19)))/(($H$12:$H$19-H19)*($P$12:$P$19*($H$12:$H$19&gt;H19))+1-($P$12:$P$19*($H$12:$H$19&gt;H19)))+(1-($P$12:$P$19*($H$12:$H$19&gt;H19)))*1E+300))),0)</f>
        <v/>
      </c>
      <c r="S19" s="10">
        <f>IF(C19=0,0,IF(M19=1,1,IF(AND(P19=1,Q19&lt;=R19),1,0)))</f>
        <v/>
      </c>
      <c r="T19" s="10">
        <f>IF(S19=1,1+SUMPRODUCT($S$12:$S$19*(($H$12:$H$19&lt;H19)+($H$12:$H$19=H19)*($A$12:$A$19&lt;A19))),0)</f>
        <v/>
      </c>
      <c r="U19" s="10">
        <f>IF(T19&lt;=1,0,SUMPRODUCT(($T$12:$T$19=T19-1)*$H$12:$H$19))</f>
        <v/>
      </c>
      <c r="V19" s="10">
        <f>IF(T19&lt;=1,0,SUMPRODUCT(($T$12:$T$19=T19-1)*$I$12:$I$19))</f>
        <v/>
      </c>
      <c r="W19" s="25">
        <f>IF(T19=0,"",(H19-U19)/10^in_out_dp)</f>
        <v/>
      </c>
      <c r="X19" s="31">
        <f>IF(T19=0,"",(I19-V19)/10^in_cost_dp)</f>
        <v/>
      </c>
      <c r="Y19" s="31">
        <f>IF(T19=0,"",IF(H19=U19,0,X19/W19))</f>
        <v/>
      </c>
      <c r="Z19" s="31">
        <f>IF(AND(C19=1,H19&gt;0),L19/K19,"n/a")</f>
        <v/>
      </c>
      <c r="AA19" s="15" t="n">
        <v>1</v>
      </c>
      <c r="AB19" s="6">
        <f>IF(AND(C19=1,AA19=1),1+SUMPRODUCT($C$12:$C$19*$AA$12:$AA$19*(($H$12:$H$19&lt;H19)+($H$12:$H$19=H19)*($I$12:$I$19&lt;I19)+($H$12:$H$19=H19)*($I$12:$I$19=I19)*($A$12:$A$19&lt;A19))),0)</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AA12:AA19">
    <cfRule type="expression" priority="1" dxfId="0" stopIfTrue="0">
      <formula>AA12&lt;&gt;'snap Watershed plans'!AA12</formula>
    </cfRule>
  </conditionalFormatting>
  <dataValidations count="1">
    <dataValidation sqref="AA12:AA19" showDropDown="0" showInputMessage="0" showErrorMessage="0" allowBlank="0" type="list">
      <formula1>"0,1"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9"/>
  <sheetViews>
    <sheetView showGridLines="0" workbookViewId="0">
      <selection activeCell="A1" sqref="A1"/>
    </sheetView>
  </sheetViews>
  <sheetFormatPr baseColWidth="8" defaultRowHeight="15"/>
  <cols>
    <col width="7" customWidth="1" style="8" min="1" max="1"/>
    <col width="10" customWidth="1" style="8" min="2" max="2"/>
    <col width="40" customWidth="1" style="8" min="3" max="3"/>
    <col width="12" customWidth="1" style="8" min="4" max="4"/>
    <col width="15" customWidth="1" style="8" min="5" max="5"/>
    <col width="15" customWidth="1" style="8" min="6" max="6"/>
    <col width="12" customWidth="1" style="8" min="7" max="7"/>
    <col width="12" customWidth="1" style="8" min="8" max="8"/>
    <col width="13" customWidth="1" style="8" min="9" max="9"/>
    <col width="14" customWidth="1" style="8" min="10" max="10"/>
    <col width="10" customWidth="1" style="8" min="11" max="11"/>
    <col width="50" customWidth="1" style="8" min="12" max="12"/>
  </cols>
  <sheetData>
    <row r="1">
      <c r="A1" s="1" t="inlineStr">
        <is>
          <t>Watershed summary: best buys, final array and the tentatively selected plan</t>
        </is>
      </c>
    </row>
    <row r="2">
      <c r="A2" s="2" t="inlineStr">
        <is>
          <t>Tables read the watershed plans sheet. Choose the TSP from the final array.</t>
        </is>
      </c>
    </row>
    <row r="4">
      <c r="A4" s="7" t="inlineStr">
        <is>
          <t>Best buys</t>
        </is>
      </c>
    </row>
    <row r="5">
      <c r="A5" s="12" t="inlineStr">
        <is>
          <t>Step</t>
        </is>
      </c>
      <c r="B5" s="12" t="inlineStr">
        <is>
          <t>Plan number</t>
        </is>
      </c>
      <c r="C5" s="12" t="inlineStr">
        <is>
          <t>Plan</t>
        </is>
      </c>
      <c r="D5" s="12" t="inlineStr">
        <is>
          <t>Lift (AACU)</t>
        </is>
      </c>
      <c r="E5" s="12" t="inlineStr">
        <is>
          <t>Average annual cost</t>
        </is>
      </c>
      <c r="F5" s="12" t="inlineStr">
        <is>
          <t>Construction cost</t>
        </is>
      </c>
      <c r="G5" s="12" t="inlineStr">
        <is>
          <t>Unit cost</t>
        </is>
      </c>
      <c r="H5" s="12" t="inlineStr">
        <is>
          <t>Incremental cost per unit</t>
        </is>
      </c>
    </row>
    <row r="6">
      <c r="A6" s="4" t="n">
        <v>1</v>
      </c>
      <c r="B6" s="6">
        <f>IFERROR(INDEX('Watershed plans'!$G$12:$G$19,MATCH(1,'Watershed plans'!$T$12:$T$19,0)),"")</f>
        <v/>
      </c>
      <c r="C6" s="10">
        <f>IFERROR(INDEX('Watershed plans'!$B$12:$B$19,MATCH(1,'Watershed plans'!$T$12:$T$19,0)),"")</f>
        <v/>
      </c>
      <c r="D6" s="25">
        <f>IFERROR(INDEX('Watershed plans'!$K$12:$K$19,MATCH(1,'Watershed plans'!$T$12:$T$19,0)),"")</f>
        <v/>
      </c>
      <c r="E6" s="31">
        <f>IFERROR(INDEX('Watershed plans'!$L$12:$L$19,MATCH(1,'Watershed plans'!$T$12:$T$19,0)),"")</f>
        <v/>
      </c>
      <c r="F6" s="30">
        <f>IFERROR(INDEX('Watershed plans'!$J$12:$J$19,MATCH(1,'Watershed plans'!$T$12:$T$19,0)),"")</f>
        <v/>
      </c>
      <c r="G6" s="31">
        <f>IFERROR(INDEX('Watershed plans'!$Z$12:$Z$19,MATCH(1,'Watershed plans'!$T$12:$T$19,0)),"")</f>
        <v/>
      </c>
      <c r="H6" s="31">
        <f>IFERROR(INDEX('Watershed plans'!$Y$12:$Y$19,MATCH(1,'Watershed plans'!$T$12:$T$19,0)),"")</f>
        <v/>
      </c>
    </row>
    <row r="7">
      <c r="A7" s="4" t="n">
        <v>2</v>
      </c>
      <c r="B7" s="6">
        <f>IFERROR(INDEX('Watershed plans'!$G$12:$G$19,MATCH(2,'Watershed plans'!$T$12:$T$19,0)),"")</f>
        <v/>
      </c>
      <c r="C7" s="10">
        <f>IFERROR(INDEX('Watershed plans'!$B$12:$B$19,MATCH(2,'Watershed plans'!$T$12:$T$19,0)),"")</f>
        <v/>
      </c>
      <c r="D7" s="25">
        <f>IFERROR(INDEX('Watershed plans'!$K$12:$K$19,MATCH(2,'Watershed plans'!$T$12:$T$19,0)),"")</f>
        <v/>
      </c>
      <c r="E7" s="31">
        <f>IFERROR(INDEX('Watershed plans'!$L$12:$L$19,MATCH(2,'Watershed plans'!$T$12:$T$19,0)),"")</f>
        <v/>
      </c>
      <c r="F7" s="30">
        <f>IFERROR(INDEX('Watershed plans'!$J$12:$J$19,MATCH(2,'Watershed plans'!$T$12:$T$19,0)),"")</f>
        <v/>
      </c>
      <c r="G7" s="31">
        <f>IFERROR(INDEX('Watershed plans'!$Z$12:$Z$19,MATCH(2,'Watershed plans'!$T$12:$T$19,0)),"")</f>
        <v/>
      </c>
      <c r="H7" s="31">
        <f>IFERROR(INDEX('Watershed plans'!$Y$12:$Y$19,MATCH(2,'Watershed plans'!$T$12:$T$19,0)),"")</f>
        <v/>
      </c>
    </row>
    <row r="8">
      <c r="A8" s="4" t="n">
        <v>3</v>
      </c>
      <c r="B8" s="6">
        <f>IFERROR(INDEX('Watershed plans'!$G$12:$G$19,MATCH(3,'Watershed plans'!$T$12:$T$19,0)),"")</f>
        <v/>
      </c>
      <c r="C8" s="10">
        <f>IFERROR(INDEX('Watershed plans'!$B$12:$B$19,MATCH(3,'Watershed plans'!$T$12:$T$19,0)),"")</f>
        <v/>
      </c>
      <c r="D8" s="25">
        <f>IFERROR(INDEX('Watershed plans'!$K$12:$K$19,MATCH(3,'Watershed plans'!$T$12:$T$19,0)),"")</f>
        <v/>
      </c>
      <c r="E8" s="31">
        <f>IFERROR(INDEX('Watershed plans'!$L$12:$L$19,MATCH(3,'Watershed plans'!$T$12:$T$19,0)),"")</f>
        <v/>
      </c>
      <c r="F8" s="30">
        <f>IFERROR(INDEX('Watershed plans'!$J$12:$J$19,MATCH(3,'Watershed plans'!$T$12:$T$19,0)),"")</f>
        <v/>
      </c>
      <c r="G8" s="31">
        <f>IFERROR(INDEX('Watershed plans'!$Z$12:$Z$19,MATCH(3,'Watershed plans'!$T$12:$T$19,0)),"")</f>
        <v/>
      </c>
      <c r="H8" s="31">
        <f>IFERROR(INDEX('Watershed plans'!$Y$12:$Y$19,MATCH(3,'Watershed plans'!$T$12:$T$19,0)),"")</f>
        <v/>
      </c>
    </row>
    <row r="9">
      <c r="A9" s="4" t="n">
        <v>4</v>
      </c>
      <c r="B9" s="6">
        <f>IFERROR(INDEX('Watershed plans'!$G$12:$G$19,MATCH(4,'Watershed plans'!$T$12:$T$19,0)),"")</f>
        <v/>
      </c>
      <c r="C9" s="10">
        <f>IFERROR(INDEX('Watershed plans'!$B$12:$B$19,MATCH(4,'Watershed plans'!$T$12:$T$19,0)),"")</f>
        <v/>
      </c>
      <c r="D9" s="25">
        <f>IFERROR(INDEX('Watershed plans'!$K$12:$K$19,MATCH(4,'Watershed plans'!$T$12:$T$19,0)),"")</f>
        <v/>
      </c>
      <c r="E9" s="31">
        <f>IFERROR(INDEX('Watershed plans'!$L$12:$L$19,MATCH(4,'Watershed plans'!$T$12:$T$19,0)),"")</f>
        <v/>
      </c>
      <c r="F9" s="30">
        <f>IFERROR(INDEX('Watershed plans'!$J$12:$J$19,MATCH(4,'Watershed plans'!$T$12:$T$19,0)),"")</f>
        <v/>
      </c>
      <c r="G9" s="31">
        <f>IFERROR(INDEX('Watershed plans'!$Z$12:$Z$19,MATCH(4,'Watershed plans'!$T$12:$T$19,0)),"")</f>
        <v/>
      </c>
      <c r="H9" s="31">
        <f>IFERROR(INDEX('Watershed plans'!$Y$12:$Y$19,MATCH(4,'Watershed plans'!$T$12:$T$19,0)),"")</f>
        <v/>
      </c>
    </row>
    <row r="10">
      <c r="A10" s="4" t="n">
        <v>5</v>
      </c>
      <c r="B10" s="6">
        <f>IFERROR(INDEX('Watershed plans'!$G$12:$G$19,MATCH(5,'Watershed plans'!$T$12:$T$19,0)),"")</f>
        <v/>
      </c>
      <c r="C10" s="10">
        <f>IFERROR(INDEX('Watershed plans'!$B$12:$B$19,MATCH(5,'Watershed plans'!$T$12:$T$19,0)),"")</f>
        <v/>
      </c>
      <c r="D10" s="25">
        <f>IFERROR(INDEX('Watershed plans'!$K$12:$K$19,MATCH(5,'Watershed plans'!$T$12:$T$19,0)),"")</f>
        <v/>
      </c>
      <c r="E10" s="31">
        <f>IFERROR(INDEX('Watershed plans'!$L$12:$L$19,MATCH(5,'Watershed plans'!$T$12:$T$19,0)),"")</f>
        <v/>
      </c>
      <c r="F10" s="30">
        <f>IFERROR(INDEX('Watershed plans'!$J$12:$J$19,MATCH(5,'Watershed plans'!$T$12:$T$19,0)),"")</f>
        <v/>
      </c>
      <c r="G10" s="31">
        <f>IFERROR(INDEX('Watershed plans'!$Z$12:$Z$19,MATCH(5,'Watershed plans'!$T$12:$T$19,0)),"")</f>
        <v/>
      </c>
      <c r="H10" s="31">
        <f>IFERROR(INDEX('Watershed plans'!$Y$12:$Y$19,MATCH(5,'Watershed plans'!$T$12:$T$19,0)),"")</f>
        <v/>
      </c>
    </row>
    <row r="11">
      <c r="A11" s="4" t="n">
        <v>6</v>
      </c>
      <c r="B11" s="6">
        <f>IFERROR(INDEX('Watershed plans'!$G$12:$G$19,MATCH(6,'Watershed plans'!$T$12:$T$19,0)),"")</f>
        <v/>
      </c>
      <c r="C11" s="10">
        <f>IFERROR(INDEX('Watershed plans'!$B$12:$B$19,MATCH(6,'Watershed plans'!$T$12:$T$19,0)),"")</f>
        <v/>
      </c>
      <c r="D11" s="25">
        <f>IFERROR(INDEX('Watershed plans'!$K$12:$K$19,MATCH(6,'Watershed plans'!$T$12:$T$19,0)),"")</f>
        <v/>
      </c>
      <c r="E11" s="31">
        <f>IFERROR(INDEX('Watershed plans'!$L$12:$L$19,MATCH(6,'Watershed plans'!$T$12:$T$19,0)),"")</f>
        <v/>
      </c>
      <c r="F11" s="30">
        <f>IFERROR(INDEX('Watershed plans'!$J$12:$J$19,MATCH(6,'Watershed plans'!$T$12:$T$19,0)),"")</f>
        <v/>
      </c>
      <c r="G11" s="31">
        <f>IFERROR(INDEX('Watershed plans'!$Z$12:$Z$19,MATCH(6,'Watershed plans'!$T$12:$T$19,0)),"")</f>
        <v/>
      </c>
      <c r="H11" s="31">
        <f>IFERROR(INDEX('Watershed plans'!$Y$12:$Y$19,MATCH(6,'Watershed plans'!$T$12:$T$19,0)),"")</f>
        <v/>
      </c>
    </row>
    <row r="12">
      <c r="A12" s="4" t="n">
        <v>7</v>
      </c>
      <c r="B12" s="6">
        <f>IFERROR(INDEX('Watershed plans'!$G$12:$G$19,MATCH(7,'Watershed plans'!$T$12:$T$19,0)),"")</f>
        <v/>
      </c>
      <c r="C12" s="10">
        <f>IFERROR(INDEX('Watershed plans'!$B$12:$B$19,MATCH(7,'Watershed plans'!$T$12:$T$19,0)),"")</f>
        <v/>
      </c>
      <c r="D12" s="25">
        <f>IFERROR(INDEX('Watershed plans'!$K$12:$K$19,MATCH(7,'Watershed plans'!$T$12:$T$19,0)),"")</f>
        <v/>
      </c>
      <c r="E12" s="31">
        <f>IFERROR(INDEX('Watershed plans'!$L$12:$L$19,MATCH(7,'Watershed plans'!$T$12:$T$19,0)),"")</f>
        <v/>
      </c>
      <c r="F12" s="30">
        <f>IFERROR(INDEX('Watershed plans'!$J$12:$J$19,MATCH(7,'Watershed plans'!$T$12:$T$19,0)),"")</f>
        <v/>
      </c>
      <c r="G12" s="31">
        <f>IFERROR(INDEX('Watershed plans'!$Z$12:$Z$19,MATCH(7,'Watershed plans'!$T$12:$T$19,0)),"")</f>
        <v/>
      </c>
      <c r="H12" s="31">
        <f>IFERROR(INDEX('Watershed plans'!$Y$12:$Y$19,MATCH(7,'Watershed plans'!$T$12:$T$19,0)),"")</f>
        <v/>
      </c>
    </row>
    <row r="13">
      <c r="A13" s="4" t="n">
        <v>8</v>
      </c>
      <c r="B13" s="6">
        <f>IFERROR(INDEX('Watershed plans'!$G$12:$G$19,MATCH(8,'Watershed plans'!$T$12:$T$19,0)),"")</f>
        <v/>
      </c>
      <c r="C13" s="10">
        <f>IFERROR(INDEX('Watershed plans'!$B$12:$B$19,MATCH(8,'Watershed plans'!$T$12:$T$19,0)),"")</f>
        <v/>
      </c>
      <c r="D13" s="25">
        <f>IFERROR(INDEX('Watershed plans'!$K$12:$K$19,MATCH(8,'Watershed plans'!$T$12:$T$19,0)),"")</f>
        <v/>
      </c>
      <c r="E13" s="31">
        <f>IFERROR(INDEX('Watershed plans'!$L$12:$L$19,MATCH(8,'Watershed plans'!$T$12:$T$19,0)),"")</f>
        <v/>
      </c>
      <c r="F13" s="30">
        <f>IFERROR(INDEX('Watershed plans'!$J$12:$J$19,MATCH(8,'Watershed plans'!$T$12:$T$19,0)),"")</f>
        <v/>
      </c>
      <c r="G13" s="31">
        <f>IFERROR(INDEX('Watershed plans'!$Z$12:$Z$19,MATCH(8,'Watershed plans'!$T$12:$T$19,0)),"")</f>
        <v/>
      </c>
      <c r="H13" s="31">
        <f>IFERROR(INDEX('Watershed plans'!$Y$12:$Y$19,MATCH(8,'Watershed plans'!$T$12:$T$19,0)),"")</f>
        <v/>
      </c>
    </row>
    <row r="14">
      <c r="A14" s="4" t="n">
        <v>9</v>
      </c>
      <c r="B14" s="6">
        <f>IFERROR(INDEX('Watershed plans'!$G$12:$G$19,MATCH(9,'Watershed plans'!$T$12:$T$19,0)),"")</f>
        <v/>
      </c>
      <c r="C14" s="10">
        <f>IFERROR(INDEX('Watershed plans'!$B$12:$B$19,MATCH(9,'Watershed plans'!$T$12:$T$19,0)),"")</f>
        <v/>
      </c>
      <c r="D14" s="25">
        <f>IFERROR(INDEX('Watershed plans'!$K$12:$K$19,MATCH(9,'Watershed plans'!$T$12:$T$19,0)),"")</f>
        <v/>
      </c>
      <c r="E14" s="31">
        <f>IFERROR(INDEX('Watershed plans'!$L$12:$L$19,MATCH(9,'Watershed plans'!$T$12:$T$19,0)),"")</f>
        <v/>
      </c>
      <c r="F14" s="30">
        <f>IFERROR(INDEX('Watershed plans'!$J$12:$J$19,MATCH(9,'Watershed plans'!$T$12:$T$19,0)),"")</f>
        <v/>
      </c>
      <c r="G14" s="31">
        <f>IFERROR(INDEX('Watershed plans'!$Z$12:$Z$19,MATCH(9,'Watershed plans'!$T$12:$T$19,0)),"")</f>
        <v/>
      </c>
      <c r="H14" s="31">
        <f>IFERROR(INDEX('Watershed plans'!$Y$12:$Y$19,MATCH(9,'Watershed plans'!$T$12:$T$19,0)),"")</f>
        <v/>
      </c>
    </row>
    <row r="15">
      <c r="A15" s="4" t="n">
        <v>10</v>
      </c>
      <c r="B15" s="6">
        <f>IFERROR(INDEX('Watershed plans'!$G$12:$G$19,MATCH(10,'Watershed plans'!$T$12:$T$19,0)),"")</f>
        <v/>
      </c>
      <c r="C15" s="10">
        <f>IFERROR(INDEX('Watershed plans'!$B$12:$B$19,MATCH(10,'Watershed plans'!$T$12:$T$19,0)),"")</f>
        <v/>
      </c>
      <c r="D15" s="25">
        <f>IFERROR(INDEX('Watershed plans'!$K$12:$K$19,MATCH(10,'Watershed plans'!$T$12:$T$19,0)),"")</f>
        <v/>
      </c>
      <c r="E15" s="31">
        <f>IFERROR(INDEX('Watershed plans'!$L$12:$L$19,MATCH(10,'Watershed plans'!$T$12:$T$19,0)),"")</f>
        <v/>
      </c>
      <c r="F15" s="30">
        <f>IFERROR(INDEX('Watershed plans'!$J$12:$J$19,MATCH(10,'Watershed plans'!$T$12:$T$19,0)),"")</f>
        <v/>
      </c>
      <c r="G15" s="31">
        <f>IFERROR(INDEX('Watershed plans'!$Z$12:$Z$19,MATCH(10,'Watershed plans'!$T$12:$T$19,0)),"")</f>
        <v/>
      </c>
      <c r="H15" s="31">
        <f>IFERROR(INDEX('Watershed plans'!$Y$12:$Y$19,MATCH(10,'Watershed plans'!$T$12:$T$19,0)),"")</f>
        <v/>
      </c>
    </row>
    <row r="16">
      <c r="A16" s="4" t="n">
        <v>11</v>
      </c>
      <c r="B16" s="6">
        <f>IFERROR(INDEX('Watershed plans'!$G$12:$G$19,MATCH(11,'Watershed plans'!$T$12:$T$19,0)),"")</f>
        <v/>
      </c>
      <c r="C16" s="10">
        <f>IFERROR(INDEX('Watershed plans'!$B$12:$B$19,MATCH(11,'Watershed plans'!$T$12:$T$19,0)),"")</f>
        <v/>
      </c>
      <c r="D16" s="25">
        <f>IFERROR(INDEX('Watershed plans'!$K$12:$K$19,MATCH(11,'Watershed plans'!$T$12:$T$19,0)),"")</f>
        <v/>
      </c>
      <c r="E16" s="31">
        <f>IFERROR(INDEX('Watershed plans'!$L$12:$L$19,MATCH(11,'Watershed plans'!$T$12:$T$19,0)),"")</f>
        <v/>
      </c>
      <c r="F16" s="30">
        <f>IFERROR(INDEX('Watershed plans'!$J$12:$J$19,MATCH(11,'Watershed plans'!$T$12:$T$19,0)),"")</f>
        <v/>
      </c>
      <c r="G16" s="31">
        <f>IFERROR(INDEX('Watershed plans'!$Z$12:$Z$19,MATCH(11,'Watershed plans'!$T$12:$T$19,0)),"")</f>
        <v/>
      </c>
      <c r="H16" s="31">
        <f>IFERROR(INDEX('Watershed plans'!$Y$12:$Y$19,MATCH(11,'Watershed plans'!$T$12:$T$19,0)),"")</f>
        <v/>
      </c>
    </row>
    <row r="17">
      <c r="A17" s="4" t="n">
        <v>12</v>
      </c>
      <c r="B17" s="6">
        <f>IFERROR(INDEX('Watershed plans'!$G$12:$G$19,MATCH(12,'Watershed plans'!$T$12:$T$19,0)),"")</f>
        <v/>
      </c>
      <c r="C17" s="10">
        <f>IFERROR(INDEX('Watershed plans'!$B$12:$B$19,MATCH(12,'Watershed plans'!$T$12:$T$19,0)),"")</f>
        <v/>
      </c>
      <c r="D17" s="25">
        <f>IFERROR(INDEX('Watershed plans'!$K$12:$K$19,MATCH(12,'Watershed plans'!$T$12:$T$19,0)),"")</f>
        <v/>
      </c>
      <c r="E17" s="31">
        <f>IFERROR(INDEX('Watershed plans'!$L$12:$L$19,MATCH(12,'Watershed plans'!$T$12:$T$19,0)),"")</f>
        <v/>
      </c>
      <c r="F17" s="30">
        <f>IFERROR(INDEX('Watershed plans'!$J$12:$J$19,MATCH(12,'Watershed plans'!$T$12:$T$19,0)),"")</f>
        <v/>
      </c>
      <c r="G17" s="31">
        <f>IFERROR(INDEX('Watershed plans'!$Z$12:$Z$19,MATCH(12,'Watershed plans'!$T$12:$T$19,0)),"")</f>
        <v/>
      </c>
      <c r="H17" s="31">
        <f>IFERROR(INDEX('Watershed plans'!$Y$12:$Y$19,MATCH(12,'Watershed plans'!$T$12:$T$19,0)),"")</f>
        <v/>
      </c>
    </row>
    <row r="18">
      <c r="A18" s="4" t="n">
        <v>13</v>
      </c>
      <c r="B18" s="6">
        <f>IFERROR(INDEX('Watershed plans'!$G$12:$G$19,MATCH(13,'Watershed plans'!$T$12:$T$19,0)),"")</f>
        <v/>
      </c>
      <c r="C18" s="10">
        <f>IFERROR(INDEX('Watershed plans'!$B$12:$B$19,MATCH(13,'Watershed plans'!$T$12:$T$19,0)),"")</f>
        <v/>
      </c>
      <c r="D18" s="25">
        <f>IFERROR(INDEX('Watershed plans'!$K$12:$K$19,MATCH(13,'Watershed plans'!$T$12:$T$19,0)),"")</f>
        <v/>
      </c>
      <c r="E18" s="31">
        <f>IFERROR(INDEX('Watershed plans'!$L$12:$L$19,MATCH(13,'Watershed plans'!$T$12:$T$19,0)),"")</f>
        <v/>
      </c>
      <c r="F18" s="30">
        <f>IFERROR(INDEX('Watershed plans'!$J$12:$J$19,MATCH(13,'Watershed plans'!$T$12:$T$19,0)),"")</f>
        <v/>
      </c>
      <c r="G18" s="31">
        <f>IFERROR(INDEX('Watershed plans'!$Z$12:$Z$19,MATCH(13,'Watershed plans'!$T$12:$T$19,0)),"")</f>
        <v/>
      </c>
      <c r="H18" s="31">
        <f>IFERROR(INDEX('Watershed plans'!$Y$12:$Y$19,MATCH(13,'Watershed plans'!$T$12:$T$19,0)),"")</f>
        <v/>
      </c>
    </row>
    <row r="19">
      <c r="A19" s="4" t="n">
        <v>14</v>
      </c>
      <c r="B19" s="6">
        <f>IFERROR(INDEX('Watershed plans'!$G$12:$G$19,MATCH(14,'Watershed plans'!$T$12:$T$19,0)),"")</f>
        <v/>
      </c>
      <c r="C19" s="10">
        <f>IFERROR(INDEX('Watershed plans'!$B$12:$B$19,MATCH(14,'Watershed plans'!$T$12:$T$19,0)),"")</f>
        <v/>
      </c>
      <c r="D19" s="25">
        <f>IFERROR(INDEX('Watershed plans'!$K$12:$K$19,MATCH(14,'Watershed plans'!$T$12:$T$19,0)),"")</f>
        <v/>
      </c>
      <c r="E19" s="31">
        <f>IFERROR(INDEX('Watershed plans'!$L$12:$L$19,MATCH(14,'Watershed plans'!$T$12:$T$19,0)),"")</f>
        <v/>
      </c>
      <c r="F19" s="30">
        <f>IFERROR(INDEX('Watershed plans'!$J$12:$J$19,MATCH(14,'Watershed plans'!$T$12:$T$19,0)),"")</f>
        <v/>
      </c>
      <c r="G19" s="31">
        <f>IFERROR(INDEX('Watershed plans'!$Z$12:$Z$19,MATCH(14,'Watershed plans'!$T$12:$T$19,0)),"")</f>
        <v/>
      </c>
      <c r="H19" s="31">
        <f>IFERROR(INDEX('Watershed plans'!$Y$12:$Y$19,MATCH(14,'Watershed plans'!$T$12:$T$19,0)),"")</f>
        <v/>
      </c>
    </row>
    <row r="20">
      <c r="A20" s="4" t="n">
        <v>15</v>
      </c>
      <c r="B20" s="6">
        <f>IFERROR(INDEX('Watershed plans'!$G$12:$G$19,MATCH(15,'Watershed plans'!$T$12:$T$19,0)),"")</f>
        <v/>
      </c>
      <c r="C20" s="10">
        <f>IFERROR(INDEX('Watershed plans'!$B$12:$B$19,MATCH(15,'Watershed plans'!$T$12:$T$19,0)),"")</f>
        <v/>
      </c>
      <c r="D20" s="25">
        <f>IFERROR(INDEX('Watershed plans'!$K$12:$K$19,MATCH(15,'Watershed plans'!$T$12:$T$19,0)),"")</f>
        <v/>
      </c>
      <c r="E20" s="31">
        <f>IFERROR(INDEX('Watershed plans'!$L$12:$L$19,MATCH(15,'Watershed plans'!$T$12:$T$19,0)),"")</f>
        <v/>
      </c>
      <c r="F20" s="30">
        <f>IFERROR(INDEX('Watershed plans'!$J$12:$J$19,MATCH(15,'Watershed plans'!$T$12:$T$19,0)),"")</f>
        <v/>
      </c>
      <c r="G20" s="31">
        <f>IFERROR(INDEX('Watershed plans'!$Z$12:$Z$19,MATCH(15,'Watershed plans'!$T$12:$T$19,0)),"")</f>
        <v/>
      </c>
      <c r="H20" s="31">
        <f>IFERROR(INDEX('Watershed plans'!$Y$12:$Y$19,MATCH(15,'Watershed plans'!$T$12:$T$19,0)),"")</f>
        <v/>
      </c>
    </row>
    <row r="21">
      <c r="A21" s="4" t="n">
        <v>16</v>
      </c>
      <c r="B21" s="6">
        <f>IFERROR(INDEX('Watershed plans'!$G$12:$G$19,MATCH(16,'Watershed plans'!$T$12:$T$19,0)),"")</f>
        <v/>
      </c>
      <c r="C21" s="10">
        <f>IFERROR(INDEX('Watershed plans'!$B$12:$B$19,MATCH(16,'Watershed plans'!$T$12:$T$19,0)),"")</f>
        <v/>
      </c>
      <c r="D21" s="25">
        <f>IFERROR(INDEX('Watershed plans'!$K$12:$K$19,MATCH(16,'Watershed plans'!$T$12:$T$19,0)),"")</f>
        <v/>
      </c>
      <c r="E21" s="31">
        <f>IFERROR(INDEX('Watershed plans'!$L$12:$L$19,MATCH(16,'Watershed plans'!$T$12:$T$19,0)),"")</f>
        <v/>
      </c>
      <c r="F21" s="30">
        <f>IFERROR(INDEX('Watershed plans'!$J$12:$J$19,MATCH(16,'Watershed plans'!$T$12:$T$19,0)),"")</f>
        <v/>
      </c>
      <c r="G21" s="31">
        <f>IFERROR(INDEX('Watershed plans'!$Z$12:$Z$19,MATCH(16,'Watershed plans'!$T$12:$T$19,0)),"")</f>
        <v/>
      </c>
      <c r="H21" s="31">
        <f>IFERROR(INDEX('Watershed plans'!$Y$12:$Y$19,MATCH(16,'Watershed plans'!$T$12:$T$19,0)),"")</f>
        <v/>
      </c>
    </row>
    <row r="22">
      <c r="A22" s="4" t="n">
        <v>17</v>
      </c>
      <c r="B22" s="6">
        <f>IFERROR(INDEX('Watershed plans'!$G$12:$G$19,MATCH(17,'Watershed plans'!$T$12:$T$19,0)),"")</f>
        <v/>
      </c>
      <c r="C22" s="10">
        <f>IFERROR(INDEX('Watershed plans'!$B$12:$B$19,MATCH(17,'Watershed plans'!$T$12:$T$19,0)),"")</f>
        <v/>
      </c>
      <c r="D22" s="25">
        <f>IFERROR(INDEX('Watershed plans'!$K$12:$K$19,MATCH(17,'Watershed plans'!$T$12:$T$19,0)),"")</f>
        <v/>
      </c>
      <c r="E22" s="31">
        <f>IFERROR(INDEX('Watershed plans'!$L$12:$L$19,MATCH(17,'Watershed plans'!$T$12:$T$19,0)),"")</f>
        <v/>
      </c>
      <c r="F22" s="30">
        <f>IFERROR(INDEX('Watershed plans'!$J$12:$J$19,MATCH(17,'Watershed plans'!$T$12:$T$19,0)),"")</f>
        <v/>
      </c>
      <c r="G22" s="31">
        <f>IFERROR(INDEX('Watershed plans'!$Z$12:$Z$19,MATCH(17,'Watershed plans'!$T$12:$T$19,0)),"")</f>
        <v/>
      </c>
      <c r="H22" s="31">
        <f>IFERROR(INDEX('Watershed plans'!$Y$12:$Y$19,MATCH(17,'Watershed plans'!$T$12:$T$19,0)),"")</f>
        <v/>
      </c>
    </row>
    <row r="23">
      <c r="A23" s="4" t="n">
        <v>18</v>
      </c>
      <c r="B23" s="6">
        <f>IFERROR(INDEX('Watershed plans'!$G$12:$G$19,MATCH(18,'Watershed plans'!$T$12:$T$19,0)),"")</f>
        <v/>
      </c>
      <c r="C23" s="10">
        <f>IFERROR(INDEX('Watershed plans'!$B$12:$B$19,MATCH(18,'Watershed plans'!$T$12:$T$19,0)),"")</f>
        <v/>
      </c>
      <c r="D23" s="25">
        <f>IFERROR(INDEX('Watershed plans'!$K$12:$K$19,MATCH(18,'Watershed plans'!$T$12:$T$19,0)),"")</f>
        <v/>
      </c>
      <c r="E23" s="31">
        <f>IFERROR(INDEX('Watershed plans'!$L$12:$L$19,MATCH(18,'Watershed plans'!$T$12:$T$19,0)),"")</f>
        <v/>
      </c>
      <c r="F23" s="30">
        <f>IFERROR(INDEX('Watershed plans'!$J$12:$J$19,MATCH(18,'Watershed plans'!$T$12:$T$19,0)),"")</f>
        <v/>
      </c>
      <c r="G23" s="31">
        <f>IFERROR(INDEX('Watershed plans'!$Z$12:$Z$19,MATCH(18,'Watershed plans'!$T$12:$T$19,0)),"")</f>
        <v/>
      </c>
      <c r="H23" s="31">
        <f>IFERROR(INDEX('Watershed plans'!$Y$12:$Y$19,MATCH(18,'Watershed plans'!$T$12:$T$19,0)),"")</f>
        <v/>
      </c>
    </row>
    <row r="24">
      <c r="A24" s="4" t="n">
        <v>19</v>
      </c>
      <c r="B24" s="6">
        <f>IFERROR(INDEX('Watershed plans'!$G$12:$G$19,MATCH(19,'Watershed plans'!$T$12:$T$19,0)),"")</f>
        <v/>
      </c>
      <c r="C24" s="10">
        <f>IFERROR(INDEX('Watershed plans'!$B$12:$B$19,MATCH(19,'Watershed plans'!$T$12:$T$19,0)),"")</f>
        <v/>
      </c>
      <c r="D24" s="25">
        <f>IFERROR(INDEX('Watershed plans'!$K$12:$K$19,MATCH(19,'Watershed plans'!$T$12:$T$19,0)),"")</f>
        <v/>
      </c>
      <c r="E24" s="31">
        <f>IFERROR(INDEX('Watershed plans'!$L$12:$L$19,MATCH(19,'Watershed plans'!$T$12:$T$19,0)),"")</f>
        <v/>
      </c>
      <c r="F24" s="30">
        <f>IFERROR(INDEX('Watershed plans'!$J$12:$J$19,MATCH(19,'Watershed plans'!$T$12:$T$19,0)),"")</f>
        <v/>
      </c>
      <c r="G24" s="31">
        <f>IFERROR(INDEX('Watershed plans'!$Z$12:$Z$19,MATCH(19,'Watershed plans'!$T$12:$T$19,0)),"")</f>
        <v/>
      </c>
      <c r="H24" s="31">
        <f>IFERROR(INDEX('Watershed plans'!$Y$12:$Y$19,MATCH(19,'Watershed plans'!$T$12:$T$19,0)),"")</f>
        <v/>
      </c>
    </row>
    <row r="25">
      <c r="A25" s="4" t="n">
        <v>20</v>
      </c>
      <c r="B25" s="6">
        <f>IFERROR(INDEX('Watershed plans'!$G$12:$G$19,MATCH(20,'Watershed plans'!$T$12:$T$19,0)),"")</f>
        <v/>
      </c>
      <c r="C25" s="10">
        <f>IFERROR(INDEX('Watershed plans'!$B$12:$B$19,MATCH(20,'Watershed plans'!$T$12:$T$19,0)),"")</f>
        <v/>
      </c>
      <c r="D25" s="25">
        <f>IFERROR(INDEX('Watershed plans'!$K$12:$K$19,MATCH(20,'Watershed plans'!$T$12:$T$19,0)),"")</f>
        <v/>
      </c>
      <c r="E25" s="31">
        <f>IFERROR(INDEX('Watershed plans'!$L$12:$L$19,MATCH(20,'Watershed plans'!$T$12:$T$19,0)),"")</f>
        <v/>
      </c>
      <c r="F25" s="30">
        <f>IFERROR(INDEX('Watershed plans'!$J$12:$J$19,MATCH(20,'Watershed plans'!$T$12:$T$19,0)),"")</f>
        <v/>
      </c>
      <c r="G25" s="31">
        <f>IFERROR(INDEX('Watershed plans'!$Z$12:$Z$19,MATCH(20,'Watershed plans'!$T$12:$T$19,0)),"")</f>
        <v/>
      </c>
      <c r="H25" s="31">
        <f>IFERROR(INDEX('Watershed plans'!$Y$12:$Y$19,MATCH(20,'Watershed plans'!$T$12:$T$19,0)),"")</f>
        <v/>
      </c>
    </row>
    <row r="26">
      <c r="A26" s="4" t="n">
        <v>21</v>
      </c>
      <c r="B26" s="6">
        <f>IFERROR(INDEX('Watershed plans'!$G$12:$G$19,MATCH(21,'Watershed plans'!$T$12:$T$19,0)),"")</f>
        <v/>
      </c>
      <c r="C26" s="10">
        <f>IFERROR(INDEX('Watershed plans'!$B$12:$B$19,MATCH(21,'Watershed plans'!$T$12:$T$19,0)),"")</f>
        <v/>
      </c>
      <c r="D26" s="25">
        <f>IFERROR(INDEX('Watershed plans'!$K$12:$K$19,MATCH(21,'Watershed plans'!$T$12:$T$19,0)),"")</f>
        <v/>
      </c>
      <c r="E26" s="31">
        <f>IFERROR(INDEX('Watershed plans'!$L$12:$L$19,MATCH(21,'Watershed plans'!$T$12:$T$19,0)),"")</f>
        <v/>
      </c>
      <c r="F26" s="30">
        <f>IFERROR(INDEX('Watershed plans'!$J$12:$J$19,MATCH(21,'Watershed plans'!$T$12:$T$19,0)),"")</f>
        <v/>
      </c>
      <c r="G26" s="31">
        <f>IFERROR(INDEX('Watershed plans'!$Z$12:$Z$19,MATCH(21,'Watershed plans'!$T$12:$T$19,0)),"")</f>
        <v/>
      </c>
      <c r="H26" s="31">
        <f>IFERROR(INDEX('Watershed plans'!$Y$12:$Y$19,MATCH(21,'Watershed plans'!$T$12:$T$19,0)),"")</f>
        <v/>
      </c>
    </row>
    <row r="27">
      <c r="A27" s="4" t="n">
        <v>22</v>
      </c>
      <c r="B27" s="6">
        <f>IFERROR(INDEX('Watershed plans'!$G$12:$G$19,MATCH(22,'Watershed plans'!$T$12:$T$19,0)),"")</f>
        <v/>
      </c>
      <c r="C27" s="10">
        <f>IFERROR(INDEX('Watershed plans'!$B$12:$B$19,MATCH(22,'Watershed plans'!$T$12:$T$19,0)),"")</f>
        <v/>
      </c>
      <c r="D27" s="25">
        <f>IFERROR(INDEX('Watershed plans'!$K$12:$K$19,MATCH(22,'Watershed plans'!$T$12:$T$19,0)),"")</f>
        <v/>
      </c>
      <c r="E27" s="31">
        <f>IFERROR(INDEX('Watershed plans'!$L$12:$L$19,MATCH(22,'Watershed plans'!$T$12:$T$19,0)),"")</f>
        <v/>
      </c>
      <c r="F27" s="30">
        <f>IFERROR(INDEX('Watershed plans'!$J$12:$J$19,MATCH(22,'Watershed plans'!$T$12:$T$19,0)),"")</f>
        <v/>
      </c>
      <c r="G27" s="31">
        <f>IFERROR(INDEX('Watershed plans'!$Z$12:$Z$19,MATCH(22,'Watershed plans'!$T$12:$T$19,0)),"")</f>
        <v/>
      </c>
      <c r="H27" s="31">
        <f>IFERROR(INDEX('Watershed plans'!$Y$12:$Y$19,MATCH(22,'Watershed plans'!$T$12:$T$19,0)),"")</f>
        <v/>
      </c>
    </row>
    <row r="28">
      <c r="A28" s="4" t="n">
        <v>23</v>
      </c>
      <c r="B28" s="6">
        <f>IFERROR(INDEX('Watershed plans'!$G$12:$G$19,MATCH(23,'Watershed plans'!$T$12:$T$19,0)),"")</f>
        <v/>
      </c>
      <c r="C28" s="10">
        <f>IFERROR(INDEX('Watershed plans'!$B$12:$B$19,MATCH(23,'Watershed plans'!$T$12:$T$19,0)),"")</f>
        <v/>
      </c>
      <c r="D28" s="25">
        <f>IFERROR(INDEX('Watershed plans'!$K$12:$K$19,MATCH(23,'Watershed plans'!$T$12:$T$19,0)),"")</f>
        <v/>
      </c>
      <c r="E28" s="31">
        <f>IFERROR(INDEX('Watershed plans'!$L$12:$L$19,MATCH(23,'Watershed plans'!$T$12:$T$19,0)),"")</f>
        <v/>
      </c>
      <c r="F28" s="30">
        <f>IFERROR(INDEX('Watershed plans'!$J$12:$J$19,MATCH(23,'Watershed plans'!$T$12:$T$19,0)),"")</f>
        <v/>
      </c>
      <c r="G28" s="31">
        <f>IFERROR(INDEX('Watershed plans'!$Z$12:$Z$19,MATCH(23,'Watershed plans'!$T$12:$T$19,0)),"")</f>
        <v/>
      </c>
      <c r="H28" s="31">
        <f>IFERROR(INDEX('Watershed plans'!$Y$12:$Y$19,MATCH(23,'Watershed plans'!$T$12:$T$19,0)),"")</f>
        <v/>
      </c>
    </row>
    <row r="29">
      <c r="A29" s="4" t="n">
        <v>24</v>
      </c>
      <c r="B29" s="6">
        <f>IFERROR(INDEX('Watershed plans'!$G$12:$G$19,MATCH(24,'Watershed plans'!$T$12:$T$19,0)),"")</f>
        <v/>
      </c>
      <c r="C29" s="10">
        <f>IFERROR(INDEX('Watershed plans'!$B$12:$B$19,MATCH(24,'Watershed plans'!$T$12:$T$19,0)),"")</f>
        <v/>
      </c>
      <c r="D29" s="25">
        <f>IFERROR(INDEX('Watershed plans'!$K$12:$K$19,MATCH(24,'Watershed plans'!$T$12:$T$19,0)),"")</f>
        <v/>
      </c>
      <c r="E29" s="31">
        <f>IFERROR(INDEX('Watershed plans'!$L$12:$L$19,MATCH(24,'Watershed plans'!$T$12:$T$19,0)),"")</f>
        <v/>
      </c>
      <c r="F29" s="30">
        <f>IFERROR(INDEX('Watershed plans'!$J$12:$J$19,MATCH(24,'Watershed plans'!$T$12:$T$19,0)),"")</f>
        <v/>
      </c>
      <c r="G29" s="31">
        <f>IFERROR(INDEX('Watershed plans'!$Z$12:$Z$19,MATCH(24,'Watershed plans'!$T$12:$T$19,0)),"")</f>
        <v/>
      </c>
      <c r="H29" s="31">
        <f>IFERROR(INDEX('Watershed plans'!$Y$12:$Y$19,MATCH(24,'Watershed plans'!$T$12:$T$19,0)),"")</f>
        <v/>
      </c>
    </row>
    <row r="30">
      <c r="A30" s="4" t="n">
        <v>25</v>
      </c>
      <c r="B30" s="6">
        <f>IFERROR(INDEX('Watershed plans'!$G$12:$G$19,MATCH(25,'Watershed plans'!$T$12:$T$19,0)),"")</f>
        <v/>
      </c>
      <c r="C30" s="10">
        <f>IFERROR(INDEX('Watershed plans'!$B$12:$B$19,MATCH(25,'Watershed plans'!$T$12:$T$19,0)),"")</f>
        <v/>
      </c>
      <c r="D30" s="25">
        <f>IFERROR(INDEX('Watershed plans'!$K$12:$K$19,MATCH(25,'Watershed plans'!$T$12:$T$19,0)),"")</f>
        <v/>
      </c>
      <c r="E30" s="31">
        <f>IFERROR(INDEX('Watershed plans'!$L$12:$L$19,MATCH(25,'Watershed plans'!$T$12:$T$19,0)),"")</f>
        <v/>
      </c>
      <c r="F30" s="30">
        <f>IFERROR(INDEX('Watershed plans'!$J$12:$J$19,MATCH(25,'Watershed plans'!$T$12:$T$19,0)),"")</f>
        <v/>
      </c>
      <c r="G30" s="31">
        <f>IFERROR(INDEX('Watershed plans'!$Z$12:$Z$19,MATCH(25,'Watershed plans'!$T$12:$T$19,0)),"")</f>
        <v/>
      </c>
      <c r="H30" s="31">
        <f>IFERROR(INDEX('Watershed plans'!$Y$12:$Y$19,MATCH(25,'Watershed plans'!$T$12:$T$19,0)),"")</f>
        <v/>
      </c>
    </row>
    <row r="31">
      <c r="A31" s="4" t="n">
        <v>26</v>
      </c>
      <c r="B31" s="6">
        <f>IFERROR(INDEX('Watershed plans'!$G$12:$G$19,MATCH(26,'Watershed plans'!$T$12:$T$19,0)),"")</f>
        <v/>
      </c>
      <c r="C31" s="10">
        <f>IFERROR(INDEX('Watershed plans'!$B$12:$B$19,MATCH(26,'Watershed plans'!$T$12:$T$19,0)),"")</f>
        <v/>
      </c>
      <c r="D31" s="25">
        <f>IFERROR(INDEX('Watershed plans'!$K$12:$K$19,MATCH(26,'Watershed plans'!$T$12:$T$19,0)),"")</f>
        <v/>
      </c>
      <c r="E31" s="31">
        <f>IFERROR(INDEX('Watershed plans'!$L$12:$L$19,MATCH(26,'Watershed plans'!$T$12:$T$19,0)),"")</f>
        <v/>
      </c>
      <c r="F31" s="30">
        <f>IFERROR(INDEX('Watershed plans'!$J$12:$J$19,MATCH(26,'Watershed plans'!$T$12:$T$19,0)),"")</f>
        <v/>
      </c>
      <c r="G31" s="31">
        <f>IFERROR(INDEX('Watershed plans'!$Z$12:$Z$19,MATCH(26,'Watershed plans'!$T$12:$T$19,0)),"")</f>
        <v/>
      </c>
      <c r="H31" s="31">
        <f>IFERROR(INDEX('Watershed plans'!$Y$12:$Y$19,MATCH(26,'Watershed plans'!$T$12:$T$19,0)),"")</f>
        <v/>
      </c>
    </row>
    <row r="32">
      <c r="A32" s="4" t="n">
        <v>27</v>
      </c>
      <c r="B32" s="6">
        <f>IFERROR(INDEX('Watershed plans'!$G$12:$G$19,MATCH(27,'Watershed plans'!$T$12:$T$19,0)),"")</f>
        <v/>
      </c>
      <c r="C32" s="10">
        <f>IFERROR(INDEX('Watershed plans'!$B$12:$B$19,MATCH(27,'Watershed plans'!$T$12:$T$19,0)),"")</f>
        <v/>
      </c>
      <c r="D32" s="25">
        <f>IFERROR(INDEX('Watershed plans'!$K$12:$K$19,MATCH(27,'Watershed plans'!$T$12:$T$19,0)),"")</f>
        <v/>
      </c>
      <c r="E32" s="31">
        <f>IFERROR(INDEX('Watershed plans'!$L$12:$L$19,MATCH(27,'Watershed plans'!$T$12:$T$19,0)),"")</f>
        <v/>
      </c>
      <c r="F32" s="30">
        <f>IFERROR(INDEX('Watershed plans'!$J$12:$J$19,MATCH(27,'Watershed plans'!$T$12:$T$19,0)),"")</f>
        <v/>
      </c>
      <c r="G32" s="31">
        <f>IFERROR(INDEX('Watershed plans'!$Z$12:$Z$19,MATCH(27,'Watershed plans'!$T$12:$T$19,0)),"")</f>
        <v/>
      </c>
      <c r="H32" s="31">
        <f>IFERROR(INDEX('Watershed plans'!$Y$12:$Y$19,MATCH(27,'Watershed plans'!$T$12:$T$19,0)),"")</f>
        <v/>
      </c>
    </row>
    <row r="33">
      <c r="A33" s="4" t="n">
        <v>28</v>
      </c>
      <c r="B33" s="6">
        <f>IFERROR(INDEX('Watershed plans'!$G$12:$G$19,MATCH(28,'Watershed plans'!$T$12:$T$19,0)),"")</f>
        <v/>
      </c>
      <c r="C33" s="10">
        <f>IFERROR(INDEX('Watershed plans'!$B$12:$B$19,MATCH(28,'Watershed plans'!$T$12:$T$19,0)),"")</f>
        <v/>
      </c>
      <c r="D33" s="25">
        <f>IFERROR(INDEX('Watershed plans'!$K$12:$K$19,MATCH(28,'Watershed plans'!$T$12:$T$19,0)),"")</f>
        <v/>
      </c>
      <c r="E33" s="31">
        <f>IFERROR(INDEX('Watershed plans'!$L$12:$L$19,MATCH(28,'Watershed plans'!$T$12:$T$19,0)),"")</f>
        <v/>
      </c>
      <c r="F33" s="30">
        <f>IFERROR(INDEX('Watershed plans'!$J$12:$J$19,MATCH(28,'Watershed plans'!$T$12:$T$19,0)),"")</f>
        <v/>
      </c>
      <c r="G33" s="31">
        <f>IFERROR(INDEX('Watershed plans'!$Z$12:$Z$19,MATCH(28,'Watershed plans'!$T$12:$T$19,0)),"")</f>
        <v/>
      </c>
      <c r="H33" s="31">
        <f>IFERROR(INDEX('Watershed plans'!$Y$12:$Y$19,MATCH(28,'Watershed plans'!$T$12:$T$19,0)),"")</f>
        <v/>
      </c>
    </row>
    <row r="34">
      <c r="A34" s="4" t="n">
        <v>29</v>
      </c>
      <c r="B34" s="6">
        <f>IFERROR(INDEX('Watershed plans'!$G$12:$G$19,MATCH(29,'Watershed plans'!$T$12:$T$19,0)),"")</f>
        <v/>
      </c>
      <c r="C34" s="10">
        <f>IFERROR(INDEX('Watershed plans'!$B$12:$B$19,MATCH(29,'Watershed plans'!$T$12:$T$19,0)),"")</f>
        <v/>
      </c>
      <c r="D34" s="25">
        <f>IFERROR(INDEX('Watershed plans'!$K$12:$K$19,MATCH(29,'Watershed plans'!$T$12:$T$19,0)),"")</f>
        <v/>
      </c>
      <c r="E34" s="31">
        <f>IFERROR(INDEX('Watershed plans'!$L$12:$L$19,MATCH(29,'Watershed plans'!$T$12:$T$19,0)),"")</f>
        <v/>
      </c>
      <c r="F34" s="30">
        <f>IFERROR(INDEX('Watershed plans'!$J$12:$J$19,MATCH(29,'Watershed plans'!$T$12:$T$19,0)),"")</f>
        <v/>
      </c>
      <c r="G34" s="31">
        <f>IFERROR(INDEX('Watershed plans'!$Z$12:$Z$19,MATCH(29,'Watershed plans'!$T$12:$T$19,0)),"")</f>
        <v/>
      </c>
      <c r="H34" s="31">
        <f>IFERROR(INDEX('Watershed plans'!$Y$12:$Y$19,MATCH(29,'Watershed plans'!$T$12:$T$19,0)),"")</f>
        <v/>
      </c>
    </row>
    <row r="35">
      <c r="A35" s="4" t="n">
        <v>30</v>
      </c>
      <c r="B35" s="6">
        <f>IFERROR(INDEX('Watershed plans'!$G$12:$G$19,MATCH(30,'Watershed plans'!$T$12:$T$19,0)),"")</f>
        <v/>
      </c>
      <c r="C35" s="10">
        <f>IFERROR(INDEX('Watershed plans'!$B$12:$B$19,MATCH(30,'Watershed plans'!$T$12:$T$19,0)),"")</f>
        <v/>
      </c>
      <c r="D35" s="25">
        <f>IFERROR(INDEX('Watershed plans'!$K$12:$K$19,MATCH(30,'Watershed plans'!$T$12:$T$19,0)),"")</f>
        <v/>
      </c>
      <c r="E35" s="31">
        <f>IFERROR(INDEX('Watershed plans'!$L$12:$L$19,MATCH(30,'Watershed plans'!$T$12:$T$19,0)),"")</f>
        <v/>
      </c>
      <c r="F35" s="30">
        <f>IFERROR(INDEX('Watershed plans'!$J$12:$J$19,MATCH(30,'Watershed plans'!$T$12:$T$19,0)),"")</f>
        <v/>
      </c>
      <c r="G35" s="31">
        <f>IFERROR(INDEX('Watershed plans'!$Z$12:$Z$19,MATCH(30,'Watershed plans'!$T$12:$T$19,0)),"")</f>
        <v/>
      </c>
      <c r="H35" s="31">
        <f>IFERROR(INDEX('Watershed plans'!$Y$12:$Y$19,MATCH(30,'Watershed plans'!$T$12:$T$19,0)),"")</f>
        <v/>
      </c>
    </row>
    <row r="36">
      <c r="A36" s="4" t="n">
        <v>31</v>
      </c>
      <c r="B36" s="6">
        <f>IFERROR(INDEX('Watershed plans'!$G$12:$G$19,MATCH(31,'Watershed plans'!$T$12:$T$19,0)),"")</f>
        <v/>
      </c>
      <c r="C36" s="10">
        <f>IFERROR(INDEX('Watershed plans'!$B$12:$B$19,MATCH(31,'Watershed plans'!$T$12:$T$19,0)),"")</f>
        <v/>
      </c>
      <c r="D36" s="25">
        <f>IFERROR(INDEX('Watershed plans'!$K$12:$K$19,MATCH(31,'Watershed plans'!$T$12:$T$19,0)),"")</f>
        <v/>
      </c>
      <c r="E36" s="31">
        <f>IFERROR(INDEX('Watershed plans'!$L$12:$L$19,MATCH(31,'Watershed plans'!$T$12:$T$19,0)),"")</f>
        <v/>
      </c>
      <c r="F36" s="30">
        <f>IFERROR(INDEX('Watershed plans'!$J$12:$J$19,MATCH(31,'Watershed plans'!$T$12:$T$19,0)),"")</f>
        <v/>
      </c>
      <c r="G36" s="31">
        <f>IFERROR(INDEX('Watershed plans'!$Z$12:$Z$19,MATCH(31,'Watershed plans'!$T$12:$T$19,0)),"")</f>
        <v/>
      </c>
      <c r="H36" s="31">
        <f>IFERROR(INDEX('Watershed plans'!$Y$12:$Y$19,MATCH(31,'Watershed plans'!$T$12:$T$19,0)),"")</f>
        <v/>
      </c>
    </row>
    <row r="37">
      <c r="A37" s="4" t="n">
        <v>32</v>
      </c>
      <c r="B37" s="6">
        <f>IFERROR(INDEX('Watershed plans'!$G$12:$G$19,MATCH(32,'Watershed plans'!$T$12:$T$19,0)),"")</f>
        <v/>
      </c>
      <c r="C37" s="10">
        <f>IFERROR(INDEX('Watershed plans'!$B$12:$B$19,MATCH(32,'Watershed plans'!$T$12:$T$19,0)),"")</f>
        <v/>
      </c>
      <c r="D37" s="25">
        <f>IFERROR(INDEX('Watershed plans'!$K$12:$K$19,MATCH(32,'Watershed plans'!$T$12:$T$19,0)),"")</f>
        <v/>
      </c>
      <c r="E37" s="31">
        <f>IFERROR(INDEX('Watershed plans'!$L$12:$L$19,MATCH(32,'Watershed plans'!$T$12:$T$19,0)),"")</f>
        <v/>
      </c>
      <c r="F37" s="30">
        <f>IFERROR(INDEX('Watershed plans'!$J$12:$J$19,MATCH(32,'Watershed plans'!$T$12:$T$19,0)),"")</f>
        <v/>
      </c>
      <c r="G37" s="31">
        <f>IFERROR(INDEX('Watershed plans'!$Z$12:$Z$19,MATCH(32,'Watershed plans'!$T$12:$T$19,0)),"")</f>
        <v/>
      </c>
      <c r="H37" s="31">
        <f>IFERROR(INDEX('Watershed plans'!$Y$12:$Y$19,MATCH(32,'Watershed plans'!$T$12:$T$19,0)),"")</f>
        <v/>
      </c>
    </row>
    <row r="38">
      <c r="A38" s="4" t="n">
        <v>33</v>
      </c>
      <c r="B38" s="6">
        <f>IFERROR(INDEX('Watershed plans'!$G$12:$G$19,MATCH(33,'Watershed plans'!$T$12:$T$19,0)),"")</f>
        <v/>
      </c>
      <c r="C38" s="10">
        <f>IFERROR(INDEX('Watershed plans'!$B$12:$B$19,MATCH(33,'Watershed plans'!$T$12:$T$19,0)),"")</f>
        <v/>
      </c>
      <c r="D38" s="25">
        <f>IFERROR(INDEX('Watershed plans'!$K$12:$K$19,MATCH(33,'Watershed plans'!$T$12:$T$19,0)),"")</f>
        <v/>
      </c>
      <c r="E38" s="31">
        <f>IFERROR(INDEX('Watershed plans'!$L$12:$L$19,MATCH(33,'Watershed plans'!$T$12:$T$19,0)),"")</f>
        <v/>
      </c>
      <c r="F38" s="30">
        <f>IFERROR(INDEX('Watershed plans'!$J$12:$J$19,MATCH(33,'Watershed plans'!$T$12:$T$19,0)),"")</f>
        <v/>
      </c>
      <c r="G38" s="31">
        <f>IFERROR(INDEX('Watershed plans'!$Z$12:$Z$19,MATCH(33,'Watershed plans'!$T$12:$T$19,0)),"")</f>
        <v/>
      </c>
      <c r="H38" s="31">
        <f>IFERROR(INDEX('Watershed plans'!$Y$12:$Y$19,MATCH(33,'Watershed plans'!$T$12:$T$19,0)),"")</f>
        <v/>
      </c>
    </row>
    <row r="39">
      <c r="A39" s="4" t="n">
        <v>34</v>
      </c>
      <c r="B39" s="6">
        <f>IFERROR(INDEX('Watershed plans'!$G$12:$G$19,MATCH(34,'Watershed plans'!$T$12:$T$19,0)),"")</f>
        <v/>
      </c>
      <c r="C39" s="10">
        <f>IFERROR(INDEX('Watershed plans'!$B$12:$B$19,MATCH(34,'Watershed plans'!$T$12:$T$19,0)),"")</f>
        <v/>
      </c>
      <c r="D39" s="25">
        <f>IFERROR(INDEX('Watershed plans'!$K$12:$K$19,MATCH(34,'Watershed plans'!$T$12:$T$19,0)),"")</f>
        <v/>
      </c>
      <c r="E39" s="31">
        <f>IFERROR(INDEX('Watershed plans'!$L$12:$L$19,MATCH(34,'Watershed plans'!$T$12:$T$19,0)),"")</f>
        <v/>
      </c>
      <c r="F39" s="30">
        <f>IFERROR(INDEX('Watershed plans'!$J$12:$J$19,MATCH(34,'Watershed plans'!$T$12:$T$19,0)),"")</f>
        <v/>
      </c>
      <c r="G39" s="31">
        <f>IFERROR(INDEX('Watershed plans'!$Z$12:$Z$19,MATCH(34,'Watershed plans'!$T$12:$T$19,0)),"")</f>
        <v/>
      </c>
      <c r="H39" s="31">
        <f>IFERROR(INDEX('Watershed plans'!$Y$12:$Y$19,MATCH(34,'Watershed plans'!$T$12:$T$19,0)),"")</f>
        <v/>
      </c>
    </row>
    <row r="40">
      <c r="A40" s="4" t="n">
        <v>35</v>
      </c>
      <c r="B40" s="6">
        <f>IFERROR(INDEX('Watershed plans'!$G$12:$G$19,MATCH(35,'Watershed plans'!$T$12:$T$19,0)),"")</f>
        <v/>
      </c>
      <c r="C40" s="10">
        <f>IFERROR(INDEX('Watershed plans'!$B$12:$B$19,MATCH(35,'Watershed plans'!$T$12:$T$19,0)),"")</f>
        <v/>
      </c>
      <c r="D40" s="25">
        <f>IFERROR(INDEX('Watershed plans'!$K$12:$K$19,MATCH(35,'Watershed plans'!$T$12:$T$19,0)),"")</f>
        <v/>
      </c>
      <c r="E40" s="31">
        <f>IFERROR(INDEX('Watershed plans'!$L$12:$L$19,MATCH(35,'Watershed plans'!$T$12:$T$19,0)),"")</f>
        <v/>
      </c>
      <c r="F40" s="30">
        <f>IFERROR(INDEX('Watershed plans'!$J$12:$J$19,MATCH(35,'Watershed plans'!$T$12:$T$19,0)),"")</f>
        <v/>
      </c>
      <c r="G40" s="31">
        <f>IFERROR(INDEX('Watershed plans'!$Z$12:$Z$19,MATCH(35,'Watershed plans'!$T$12:$T$19,0)),"")</f>
        <v/>
      </c>
      <c r="H40" s="31">
        <f>IFERROR(INDEX('Watershed plans'!$Y$12:$Y$19,MATCH(35,'Watershed plans'!$T$12:$T$19,0)),"")</f>
        <v/>
      </c>
    </row>
    <row r="41">
      <c r="A41" s="4" t="n">
        <v>36</v>
      </c>
      <c r="B41" s="6">
        <f>IFERROR(INDEX('Watershed plans'!$G$12:$G$19,MATCH(36,'Watershed plans'!$T$12:$T$19,0)),"")</f>
        <v/>
      </c>
      <c r="C41" s="10">
        <f>IFERROR(INDEX('Watershed plans'!$B$12:$B$19,MATCH(36,'Watershed plans'!$T$12:$T$19,0)),"")</f>
        <v/>
      </c>
      <c r="D41" s="25">
        <f>IFERROR(INDEX('Watershed plans'!$K$12:$K$19,MATCH(36,'Watershed plans'!$T$12:$T$19,0)),"")</f>
        <v/>
      </c>
      <c r="E41" s="31">
        <f>IFERROR(INDEX('Watershed plans'!$L$12:$L$19,MATCH(36,'Watershed plans'!$T$12:$T$19,0)),"")</f>
        <v/>
      </c>
      <c r="F41" s="30">
        <f>IFERROR(INDEX('Watershed plans'!$J$12:$J$19,MATCH(36,'Watershed plans'!$T$12:$T$19,0)),"")</f>
        <v/>
      </c>
      <c r="G41" s="31">
        <f>IFERROR(INDEX('Watershed plans'!$Z$12:$Z$19,MATCH(36,'Watershed plans'!$T$12:$T$19,0)),"")</f>
        <v/>
      </c>
      <c r="H41" s="31">
        <f>IFERROR(INDEX('Watershed plans'!$Y$12:$Y$19,MATCH(36,'Watershed plans'!$T$12:$T$19,0)),"")</f>
        <v/>
      </c>
    </row>
    <row r="42">
      <c r="A42" s="4" t="n">
        <v>37</v>
      </c>
      <c r="B42" s="6">
        <f>IFERROR(INDEX('Watershed plans'!$G$12:$G$19,MATCH(37,'Watershed plans'!$T$12:$T$19,0)),"")</f>
        <v/>
      </c>
      <c r="C42" s="10">
        <f>IFERROR(INDEX('Watershed plans'!$B$12:$B$19,MATCH(37,'Watershed plans'!$T$12:$T$19,0)),"")</f>
        <v/>
      </c>
      <c r="D42" s="25">
        <f>IFERROR(INDEX('Watershed plans'!$K$12:$K$19,MATCH(37,'Watershed plans'!$T$12:$T$19,0)),"")</f>
        <v/>
      </c>
      <c r="E42" s="31">
        <f>IFERROR(INDEX('Watershed plans'!$L$12:$L$19,MATCH(37,'Watershed plans'!$T$12:$T$19,0)),"")</f>
        <v/>
      </c>
      <c r="F42" s="30">
        <f>IFERROR(INDEX('Watershed plans'!$J$12:$J$19,MATCH(37,'Watershed plans'!$T$12:$T$19,0)),"")</f>
        <v/>
      </c>
      <c r="G42" s="31">
        <f>IFERROR(INDEX('Watershed plans'!$Z$12:$Z$19,MATCH(37,'Watershed plans'!$T$12:$T$19,0)),"")</f>
        <v/>
      </c>
      <c r="H42" s="31">
        <f>IFERROR(INDEX('Watershed plans'!$Y$12:$Y$19,MATCH(37,'Watershed plans'!$T$12:$T$19,0)),"")</f>
        <v/>
      </c>
    </row>
    <row r="43">
      <c r="A43" s="4" t="n">
        <v>38</v>
      </c>
      <c r="B43" s="6">
        <f>IFERROR(INDEX('Watershed plans'!$G$12:$G$19,MATCH(38,'Watershed plans'!$T$12:$T$19,0)),"")</f>
        <v/>
      </c>
      <c r="C43" s="10">
        <f>IFERROR(INDEX('Watershed plans'!$B$12:$B$19,MATCH(38,'Watershed plans'!$T$12:$T$19,0)),"")</f>
        <v/>
      </c>
      <c r="D43" s="25">
        <f>IFERROR(INDEX('Watershed plans'!$K$12:$K$19,MATCH(38,'Watershed plans'!$T$12:$T$19,0)),"")</f>
        <v/>
      </c>
      <c r="E43" s="31">
        <f>IFERROR(INDEX('Watershed plans'!$L$12:$L$19,MATCH(38,'Watershed plans'!$T$12:$T$19,0)),"")</f>
        <v/>
      </c>
      <c r="F43" s="30">
        <f>IFERROR(INDEX('Watershed plans'!$J$12:$J$19,MATCH(38,'Watershed plans'!$T$12:$T$19,0)),"")</f>
        <v/>
      </c>
      <c r="G43" s="31">
        <f>IFERROR(INDEX('Watershed plans'!$Z$12:$Z$19,MATCH(38,'Watershed plans'!$T$12:$T$19,0)),"")</f>
        <v/>
      </c>
      <c r="H43" s="31">
        <f>IFERROR(INDEX('Watershed plans'!$Y$12:$Y$19,MATCH(38,'Watershed plans'!$T$12:$T$19,0)),"")</f>
        <v/>
      </c>
    </row>
    <row r="44">
      <c r="A44" s="4" t="n">
        <v>39</v>
      </c>
      <c r="B44" s="6">
        <f>IFERROR(INDEX('Watershed plans'!$G$12:$G$19,MATCH(39,'Watershed plans'!$T$12:$T$19,0)),"")</f>
        <v/>
      </c>
      <c r="C44" s="10">
        <f>IFERROR(INDEX('Watershed plans'!$B$12:$B$19,MATCH(39,'Watershed plans'!$T$12:$T$19,0)),"")</f>
        <v/>
      </c>
      <c r="D44" s="25">
        <f>IFERROR(INDEX('Watershed plans'!$K$12:$K$19,MATCH(39,'Watershed plans'!$T$12:$T$19,0)),"")</f>
        <v/>
      </c>
      <c r="E44" s="31">
        <f>IFERROR(INDEX('Watershed plans'!$L$12:$L$19,MATCH(39,'Watershed plans'!$T$12:$T$19,0)),"")</f>
        <v/>
      </c>
      <c r="F44" s="30">
        <f>IFERROR(INDEX('Watershed plans'!$J$12:$J$19,MATCH(39,'Watershed plans'!$T$12:$T$19,0)),"")</f>
        <v/>
      </c>
      <c r="G44" s="31">
        <f>IFERROR(INDEX('Watershed plans'!$Z$12:$Z$19,MATCH(39,'Watershed plans'!$T$12:$T$19,0)),"")</f>
        <v/>
      </c>
      <c r="H44" s="31">
        <f>IFERROR(INDEX('Watershed plans'!$Y$12:$Y$19,MATCH(39,'Watershed plans'!$T$12:$T$19,0)),"")</f>
        <v/>
      </c>
    </row>
    <row r="45">
      <c r="A45" s="4" t="n">
        <v>40</v>
      </c>
      <c r="B45" s="6">
        <f>IFERROR(INDEX('Watershed plans'!$G$12:$G$19,MATCH(40,'Watershed plans'!$T$12:$T$19,0)),"")</f>
        <v/>
      </c>
      <c r="C45" s="10">
        <f>IFERROR(INDEX('Watershed plans'!$B$12:$B$19,MATCH(40,'Watershed plans'!$T$12:$T$19,0)),"")</f>
        <v/>
      </c>
      <c r="D45" s="25">
        <f>IFERROR(INDEX('Watershed plans'!$K$12:$K$19,MATCH(40,'Watershed plans'!$T$12:$T$19,0)),"")</f>
        <v/>
      </c>
      <c r="E45" s="31">
        <f>IFERROR(INDEX('Watershed plans'!$L$12:$L$19,MATCH(40,'Watershed plans'!$T$12:$T$19,0)),"")</f>
        <v/>
      </c>
      <c r="F45" s="30">
        <f>IFERROR(INDEX('Watershed plans'!$J$12:$J$19,MATCH(40,'Watershed plans'!$T$12:$T$19,0)),"")</f>
        <v/>
      </c>
      <c r="G45" s="31">
        <f>IFERROR(INDEX('Watershed plans'!$Z$12:$Z$19,MATCH(40,'Watershed plans'!$T$12:$T$19,0)),"")</f>
        <v/>
      </c>
      <c r="H45" s="31">
        <f>IFERROR(INDEX('Watershed plans'!$Y$12:$Y$19,MATCH(40,'Watershed plans'!$T$12:$T$19,0)),"")</f>
        <v/>
      </c>
    </row>
    <row r="48">
      <c r="A48" s="7" t="inlineStr">
        <is>
          <t>Final array (in order of output) and 'Is it worth it?'</t>
        </is>
      </c>
    </row>
    <row r="49">
      <c r="A49" s="12" t="inlineStr">
        <is>
          <t>Order</t>
        </is>
      </c>
      <c r="B49" s="12" t="inlineStr">
        <is>
          <t>Plan number</t>
        </is>
      </c>
      <c r="C49" s="12" t="inlineStr">
        <is>
          <t>Plan</t>
        </is>
      </c>
      <c r="D49" s="12" t="inlineStr">
        <is>
          <t>Lift (AACU)</t>
        </is>
      </c>
      <c r="E49" s="12" t="inlineStr">
        <is>
          <t>Average annual cost</t>
        </is>
      </c>
      <c r="F49" s="12" t="inlineStr">
        <is>
          <t>Construction cost</t>
        </is>
      </c>
      <c r="G49" s="12" t="inlineStr">
        <is>
          <t>Unit cost</t>
        </is>
      </c>
      <c r="H49" s="12" t="inlineStr">
        <is>
          <t>Added output</t>
        </is>
      </c>
      <c r="I49" s="12" t="inlineStr">
        <is>
          <t>Added cost</t>
        </is>
      </c>
      <c r="J49" s="12" t="inlineStr">
        <is>
          <t>Added cost per unit</t>
        </is>
      </c>
      <c r="K49" s="12" t="inlineStr">
        <is>
          <t>Worth it?</t>
        </is>
      </c>
      <c r="L49" s="12" t="inlineStr">
        <is>
          <t>Why</t>
        </is>
      </c>
    </row>
    <row r="50">
      <c r="A50" s="4" t="n">
        <v>1</v>
      </c>
      <c r="B50" s="6">
        <f>IFERROR(INDEX('Watershed plans'!$G$12:$G$19,MATCH(1,'Watershed plans'!$AB$12:$AB$19,0)),"")</f>
        <v/>
      </c>
      <c r="C50" s="10">
        <f>IFERROR(INDEX('Watershed plans'!$B$12:$B$19,MATCH(1,'Watershed plans'!$AB$12:$AB$19,0)),"")</f>
        <v/>
      </c>
      <c r="D50" s="25">
        <f>IFERROR(INDEX('Watershed plans'!$K$12:$K$19,MATCH(1,'Watershed plans'!$AB$12:$AB$19,0)),"")</f>
        <v/>
      </c>
      <c r="E50" s="31">
        <f>IFERROR(INDEX('Watershed plans'!$L$12:$L$19,MATCH(1,'Watershed plans'!$AB$12:$AB$19,0)),"")</f>
        <v/>
      </c>
      <c r="F50" s="30">
        <f>IFERROR(INDEX('Watershed plans'!$J$12:$J$19,MATCH(1,'Watershed plans'!$AB$12:$AB$19,0)),"")</f>
        <v/>
      </c>
      <c r="G50" s="31">
        <f>IFERROR(INDEX('Watershed plans'!$Z$12:$Z$19,MATCH(1,'Watershed plans'!$AB$12:$AB$19,0)),"")</f>
        <v/>
      </c>
      <c r="H50" s="10" t="inlineStr"/>
      <c r="I50" s="10" t="inlineStr"/>
      <c r="J50" s="10" t="inlineStr"/>
      <c r="K50" s="15" t="inlineStr"/>
      <c r="L50" s="36" t="inlineStr"/>
    </row>
    <row r="51">
      <c r="A51" s="4" t="n">
        <v>2</v>
      </c>
      <c r="B51" s="6">
        <f>IFERROR(INDEX('Watershed plans'!$G$12:$G$19,MATCH(2,'Watershed plans'!$AB$12:$AB$19,0)),"")</f>
        <v/>
      </c>
      <c r="C51" s="10">
        <f>IFERROR(INDEX('Watershed plans'!$B$12:$B$19,MATCH(2,'Watershed plans'!$AB$12:$AB$19,0)),"")</f>
        <v/>
      </c>
      <c r="D51" s="25">
        <f>IFERROR(INDEX('Watershed plans'!$K$12:$K$19,MATCH(2,'Watershed plans'!$AB$12:$AB$19,0)),"")</f>
        <v/>
      </c>
      <c r="E51" s="31">
        <f>IFERROR(INDEX('Watershed plans'!$L$12:$L$19,MATCH(2,'Watershed plans'!$AB$12:$AB$19,0)),"")</f>
        <v/>
      </c>
      <c r="F51" s="30">
        <f>IFERROR(INDEX('Watershed plans'!$J$12:$J$19,MATCH(2,'Watershed plans'!$AB$12:$AB$19,0)),"")</f>
        <v/>
      </c>
      <c r="G51" s="31">
        <f>IFERROR(INDEX('Watershed plans'!$Z$12:$Z$19,MATCH(2,'Watershed plans'!$AB$12:$AB$19,0)),"")</f>
        <v/>
      </c>
      <c r="H51" s="25">
        <f>IF(ISNUMBER(D51),D51-D50,"")</f>
        <v/>
      </c>
      <c r="I51" s="31">
        <f>IF(ISNUMBER(E51),E51-E50,"")</f>
        <v/>
      </c>
      <c r="J51" s="31">
        <f>IF(AND(ISNUMBER(H51),H51&lt;&gt;0),I51/H51,"")</f>
        <v/>
      </c>
      <c r="K51" s="15" t="inlineStr"/>
      <c r="L51" s="36" t="inlineStr"/>
    </row>
    <row r="52">
      <c r="A52" s="4" t="n">
        <v>3</v>
      </c>
      <c r="B52" s="6">
        <f>IFERROR(INDEX('Watershed plans'!$G$12:$G$19,MATCH(3,'Watershed plans'!$AB$12:$AB$19,0)),"")</f>
        <v/>
      </c>
      <c r="C52" s="10">
        <f>IFERROR(INDEX('Watershed plans'!$B$12:$B$19,MATCH(3,'Watershed plans'!$AB$12:$AB$19,0)),"")</f>
        <v/>
      </c>
      <c r="D52" s="25">
        <f>IFERROR(INDEX('Watershed plans'!$K$12:$K$19,MATCH(3,'Watershed plans'!$AB$12:$AB$19,0)),"")</f>
        <v/>
      </c>
      <c r="E52" s="31">
        <f>IFERROR(INDEX('Watershed plans'!$L$12:$L$19,MATCH(3,'Watershed plans'!$AB$12:$AB$19,0)),"")</f>
        <v/>
      </c>
      <c r="F52" s="30">
        <f>IFERROR(INDEX('Watershed plans'!$J$12:$J$19,MATCH(3,'Watershed plans'!$AB$12:$AB$19,0)),"")</f>
        <v/>
      </c>
      <c r="G52" s="31">
        <f>IFERROR(INDEX('Watershed plans'!$Z$12:$Z$19,MATCH(3,'Watershed plans'!$AB$12:$AB$19,0)),"")</f>
        <v/>
      </c>
      <c r="H52" s="25">
        <f>IF(ISNUMBER(D52),D52-D51,"")</f>
        <v/>
      </c>
      <c r="I52" s="31">
        <f>IF(ISNUMBER(E52),E52-E51,"")</f>
        <v/>
      </c>
      <c r="J52" s="31">
        <f>IF(AND(ISNUMBER(H52),H52&lt;&gt;0),I52/H52,"")</f>
        <v/>
      </c>
      <c r="K52" s="15" t="inlineStr"/>
      <c r="L52" s="36" t="inlineStr"/>
    </row>
    <row r="53">
      <c r="A53" s="4" t="n">
        <v>4</v>
      </c>
      <c r="B53" s="6">
        <f>IFERROR(INDEX('Watershed plans'!$G$12:$G$19,MATCH(4,'Watershed plans'!$AB$12:$AB$19,0)),"")</f>
        <v/>
      </c>
      <c r="C53" s="10">
        <f>IFERROR(INDEX('Watershed plans'!$B$12:$B$19,MATCH(4,'Watershed plans'!$AB$12:$AB$19,0)),"")</f>
        <v/>
      </c>
      <c r="D53" s="25">
        <f>IFERROR(INDEX('Watershed plans'!$K$12:$K$19,MATCH(4,'Watershed plans'!$AB$12:$AB$19,0)),"")</f>
        <v/>
      </c>
      <c r="E53" s="31">
        <f>IFERROR(INDEX('Watershed plans'!$L$12:$L$19,MATCH(4,'Watershed plans'!$AB$12:$AB$19,0)),"")</f>
        <v/>
      </c>
      <c r="F53" s="30">
        <f>IFERROR(INDEX('Watershed plans'!$J$12:$J$19,MATCH(4,'Watershed plans'!$AB$12:$AB$19,0)),"")</f>
        <v/>
      </c>
      <c r="G53" s="31">
        <f>IFERROR(INDEX('Watershed plans'!$Z$12:$Z$19,MATCH(4,'Watershed plans'!$AB$12:$AB$19,0)),"")</f>
        <v/>
      </c>
      <c r="H53" s="25">
        <f>IF(ISNUMBER(D53),D53-D52,"")</f>
        <v/>
      </c>
      <c r="I53" s="31">
        <f>IF(ISNUMBER(E53),E53-E52,"")</f>
        <v/>
      </c>
      <c r="J53" s="31">
        <f>IF(AND(ISNUMBER(H53),H53&lt;&gt;0),I53/H53,"")</f>
        <v/>
      </c>
      <c r="K53" s="15" t="inlineStr"/>
      <c r="L53" s="36" t="inlineStr"/>
    </row>
    <row r="54">
      <c r="A54" s="4" t="n">
        <v>5</v>
      </c>
      <c r="B54" s="6">
        <f>IFERROR(INDEX('Watershed plans'!$G$12:$G$19,MATCH(5,'Watershed plans'!$AB$12:$AB$19,0)),"")</f>
        <v/>
      </c>
      <c r="C54" s="10">
        <f>IFERROR(INDEX('Watershed plans'!$B$12:$B$19,MATCH(5,'Watershed plans'!$AB$12:$AB$19,0)),"")</f>
        <v/>
      </c>
      <c r="D54" s="25">
        <f>IFERROR(INDEX('Watershed plans'!$K$12:$K$19,MATCH(5,'Watershed plans'!$AB$12:$AB$19,0)),"")</f>
        <v/>
      </c>
      <c r="E54" s="31">
        <f>IFERROR(INDEX('Watershed plans'!$L$12:$L$19,MATCH(5,'Watershed plans'!$AB$12:$AB$19,0)),"")</f>
        <v/>
      </c>
      <c r="F54" s="30">
        <f>IFERROR(INDEX('Watershed plans'!$J$12:$J$19,MATCH(5,'Watershed plans'!$AB$12:$AB$19,0)),"")</f>
        <v/>
      </c>
      <c r="G54" s="31">
        <f>IFERROR(INDEX('Watershed plans'!$Z$12:$Z$19,MATCH(5,'Watershed plans'!$AB$12:$AB$19,0)),"")</f>
        <v/>
      </c>
      <c r="H54" s="25">
        <f>IF(ISNUMBER(D54),D54-D53,"")</f>
        <v/>
      </c>
      <c r="I54" s="31">
        <f>IF(ISNUMBER(E54),E54-E53,"")</f>
        <v/>
      </c>
      <c r="J54" s="31">
        <f>IF(AND(ISNUMBER(H54),H54&lt;&gt;0),I54/H54,"")</f>
        <v/>
      </c>
      <c r="K54" s="15" t="inlineStr"/>
      <c r="L54" s="36" t="inlineStr"/>
    </row>
    <row r="55">
      <c r="A55" s="4" t="n">
        <v>6</v>
      </c>
      <c r="B55" s="6">
        <f>IFERROR(INDEX('Watershed plans'!$G$12:$G$19,MATCH(6,'Watershed plans'!$AB$12:$AB$19,0)),"")</f>
        <v/>
      </c>
      <c r="C55" s="10">
        <f>IFERROR(INDEX('Watershed plans'!$B$12:$B$19,MATCH(6,'Watershed plans'!$AB$12:$AB$19,0)),"")</f>
        <v/>
      </c>
      <c r="D55" s="25">
        <f>IFERROR(INDEX('Watershed plans'!$K$12:$K$19,MATCH(6,'Watershed plans'!$AB$12:$AB$19,0)),"")</f>
        <v/>
      </c>
      <c r="E55" s="31">
        <f>IFERROR(INDEX('Watershed plans'!$L$12:$L$19,MATCH(6,'Watershed plans'!$AB$12:$AB$19,0)),"")</f>
        <v/>
      </c>
      <c r="F55" s="30">
        <f>IFERROR(INDEX('Watershed plans'!$J$12:$J$19,MATCH(6,'Watershed plans'!$AB$12:$AB$19,0)),"")</f>
        <v/>
      </c>
      <c r="G55" s="31">
        <f>IFERROR(INDEX('Watershed plans'!$Z$12:$Z$19,MATCH(6,'Watershed plans'!$AB$12:$AB$19,0)),"")</f>
        <v/>
      </c>
      <c r="H55" s="25">
        <f>IF(ISNUMBER(D55),D55-D54,"")</f>
        <v/>
      </c>
      <c r="I55" s="31">
        <f>IF(ISNUMBER(E55),E55-E54,"")</f>
        <v/>
      </c>
      <c r="J55" s="31">
        <f>IF(AND(ISNUMBER(H55),H55&lt;&gt;0),I55/H55,"")</f>
        <v/>
      </c>
      <c r="K55" s="15" t="inlineStr"/>
      <c r="L55" s="36" t="inlineStr"/>
    </row>
    <row r="56">
      <c r="A56" s="4" t="n">
        <v>7</v>
      </c>
      <c r="B56" s="6">
        <f>IFERROR(INDEX('Watershed plans'!$G$12:$G$19,MATCH(7,'Watershed plans'!$AB$12:$AB$19,0)),"")</f>
        <v/>
      </c>
      <c r="C56" s="10">
        <f>IFERROR(INDEX('Watershed plans'!$B$12:$B$19,MATCH(7,'Watershed plans'!$AB$12:$AB$19,0)),"")</f>
        <v/>
      </c>
      <c r="D56" s="25">
        <f>IFERROR(INDEX('Watershed plans'!$K$12:$K$19,MATCH(7,'Watershed plans'!$AB$12:$AB$19,0)),"")</f>
        <v/>
      </c>
      <c r="E56" s="31">
        <f>IFERROR(INDEX('Watershed plans'!$L$12:$L$19,MATCH(7,'Watershed plans'!$AB$12:$AB$19,0)),"")</f>
        <v/>
      </c>
      <c r="F56" s="30">
        <f>IFERROR(INDEX('Watershed plans'!$J$12:$J$19,MATCH(7,'Watershed plans'!$AB$12:$AB$19,0)),"")</f>
        <v/>
      </c>
      <c r="G56" s="31">
        <f>IFERROR(INDEX('Watershed plans'!$Z$12:$Z$19,MATCH(7,'Watershed plans'!$AB$12:$AB$19,0)),"")</f>
        <v/>
      </c>
      <c r="H56" s="25">
        <f>IF(ISNUMBER(D56),D56-D55,"")</f>
        <v/>
      </c>
      <c r="I56" s="31">
        <f>IF(ISNUMBER(E56),E56-E55,"")</f>
        <v/>
      </c>
      <c r="J56" s="31">
        <f>IF(AND(ISNUMBER(H56),H56&lt;&gt;0),I56/H56,"")</f>
        <v/>
      </c>
      <c r="K56" s="15" t="inlineStr"/>
      <c r="L56" s="36" t="inlineStr"/>
    </row>
    <row r="57">
      <c r="A57" s="4" t="n">
        <v>8</v>
      </c>
      <c r="B57" s="6">
        <f>IFERROR(INDEX('Watershed plans'!$G$12:$G$19,MATCH(8,'Watershed plans'!$AB$12:$AB$19,0)),"")</f>
        <v/>
      </c>
      <c r="C57" s="10">
        <f>IFERROR(INDEX('Watershed plans'!$B$12:$B$19,MATCH(8,'Watershed plans'!$AB$12:$AB$19,0)),"")</f>
        <v/>
      </c>
      <c r="D57" s="25">
        <f>IFERROR(INDEX('Watershed plans'!$K$12:$K$19,MATCH(8,'Watershed plans'!$AB$12:$AB$19,0)),"")</f>
        <v/>
      </c>
      <c r="E57" s="31">
        <f>IFERROR(INDEX('Watershed plans'!$L$12:$L$19,MATCH(8,'Watershed plans'!$AB$12:$AB$19,0)),"")</f>
        <v/>
      </c>
      <c r="F57" s="30">
        <f>IFERROR(INDEX('Watershed plans'!$J$12:$J$19,MATCH(8,'Watershed plans'!$AB$12:$AB$19,0)),"")</f>
        <v/>
      </c>
      <c r="G57" s="31">
        <f>IFERROR(INDEX('Watershed plans'!$Z$12:$Z$19,MATCH(8,'Watershed plans'!$AB$12:$AB$19,0)),"")</f>
        <v/>
      </c>
      <c r="H57" s="25">
        <f>IF(ISNUMBER(D57),D57-D56,"")</f>
        <v/>
      </c>
      <c r="I57" s="31">
        <f>IF(ISNUMBER(E57),E57-E56,"")</f>
        <v/>
      </c>
      <c r="J57" s="31">
        <f>IF(AND(ISNUMBER(H57),H57&lt;&gt;0),I57/H57,"")</f>
        <v/>
      </c>
      <c r="K57" s="15" t="inlineStr"/>
      <c r="L57" s="36" t="inlineStr"/>
    </row>
    <row r="58">
      <c r="A58" s="4" t="n">
        <v>9</v>
      </c>
      <c r="B58" s="6">
        <f>IFERROR(INDEX('Watershed plans'!$G$12:$G$19,MATCH(9,'Watershed plans'!$AB$12:$AB$19,0)),"")</f>
        <v/>
      </c>
      <c r="C58" s="10">
        <f>IFERROR(INDEX('Watershed plans'!$B$12:$B$19,MATCH(9,'Watershed plans'!$AB$12:$AB$19,0)),"")</f>
        <v/>
      </c>
      <c r="D58" s="25">
        <f>IFERROR(INDEX('Watershed plans'!$K$12:$K$19,MATCH(9,'Watershed plans'!$AB$12:$AB$19,0)),"")</f>
        <v/>
      </c>
      <c r="E58" s="31">
        <f>IFERROR(INDEX('Watershed plans'!$L$12:$L$19,MATCH(9,'Watershed plans'!$AB$12:$AB$19,0)),"")</f>
        <v/>
      </c>
      <c r="F58" s="30">
        <f>IFERROR(INDEX('Watershed plans'!$J$12:$J$19,MATCH(9,'Watershed plans'!$AB$12:$AB$19,0)),"")</f>
        <v/>
      </c>
      <c r="G58" s="31">
        <f>IFERROR(INDEX('Watershed plans'!$Z$12:$Z$19,MATCH(9,'Watershed plans'!$AB$12:$AB$19,0)),"")</f>
        <v/>
      </c>
      <c r="H58" s="25">
        <f>IF(ISNUMBER(D58),D58-D57,"")</f>
        <v/>
      </c>
      <c r="I58" s="31">
        <f>IF(ISNUMBER(E58),E58-E57,"")</f>
        <v/>
      </c>
      <c r="J58" s="31">
        <f>IF(AND(ISNUMBER(H58),H58&lt;&gt;0),I58/H58,"")</f>
        <v/>
      </c>
      <c r="K58" s="15" t="inlineStr"/>
      <c r="L58" s="36" t="inlineStr"/>
    </row>
    <row r="59">
      <c r="A59" s="4" t="n">
        <v>10</v>
      </c>
      <c r="B59" s="6">
        <f>IFERROR(INDEX('Watershed plans'!$G$12:$G$19,MATCH(10,'Watershed plans'!$AB$12:$AB$19,0)),"")</f>
        <v/>
      </c>
      <c r="C59" s="10">
        <f>IFERROR(INDEX('Watershed plans'!$B$12:$B$19,MATCH(10,'Watershed plans'!$AB$12:$AB$19,0)),"")</f>
        <v/>
      </c>
      <c r="D59" s="25">
        <f>IFERROR(INDEX('Watershed plans'!$K$12:$K$19,MATCH(10,'Watershed plans'!$AB$12:$AB$19,0)),"")</f>
        <v/>
      </c>
      <c r="E59" s="31">
        <f>IFERROR(INDEX('Watershed plans'!$L$12:$L$19,MATCH(10,'Watershed plans'!$AB$12:$AB$19,0)),"")</f>
        <v/>
      </c>
      <c r="F59" s="30">
        <f>IFERROR(INDEX('Watershed plans'!$J$12:$J$19,MATCH(10,'Watershed plans'!$AB$12:$AB$19,0)),"")</f>
        <v/>
      </c>
      <c r="G59" s="31">
        <f>IFERROR(INDEX('Watershed plans'!$Z$12:$Z$19,MATCH(10,'Watershed plans'!$AB$12:$AB$19,0)),"")</f>
        <v/>
      </c>
      <c r="H59" s="25">
        <f>IF(ISNUMBER(D59),D59-D58,"")</f>
        <v/>
      </c>
      <c r="I59" s="31">
        <f>IF(ISNUMBER(E59),E59-E58,"")</f>
        <v/>
      </c>
      <c r="J59" s="31">
        <f>IF(AND(ISNUMBER(H59),H59&lt;&gt;0),I59/H59,"")</f>
        <v/>
      </c>
      <c r="K59" s="15" t="inlineStr"/>
      <c r="L59" s="36" t="inlineStr"/>
    </row>
    <row r="60">
      <c r="A60" s="4" t="n">
        <v>11</v>
      </c>
      <c r="B60" s="6">
        <f>IFERROR(INDEX('Watershed plans'!$G$12:$G$19,MATCH(11,'Watershed plans'!$AB$12:$AB$19,0)),"")</f>
        <v/>
      </c>
      <c r="C60" s="10">
        <f>IFERROR(INDEX('Watershed plans'!$B$12:$B$19,MATCH(11,'Watershed plans'!$AB$12:$AB$19,0)),"")</f>
        <v/>
      </c>
      <c r="D60" s="25">
        <f>IFERROR(INDEX('Watershed plans'!$K$12:$K$19,MATCH(11,'Watershed plans'!$AB$12:$AB$19,0)),"")</f>
        <v/>
      </c>
      <c r="E60" s="31">
        <f>IFERROR(INDEX('Watershed plans'!$L$12:$L$19,MATCH(11,'Watershed plans'!$AB$12:$AB$19,0)),"")</f>
        <v/>
      </c>
      <c r="F60" s="30">
        <f>IFERROR(INDEX('Watershed plans'!$J$12:$J$19,MATCH(11,'Watershed plans'!$AB$12:$AB$19,0)),"")</f>
        <v/>
      </c>
      <c r="G60" s="31">
        <f>IFERROR(INDEX('Watershed plans'!$Z$12:$Z$19,MATCH(11,'Watershed plans'!$AB$12:$AB$19,0)),"")</f>
        <v/>
      </c>
      <c r="H60" s="25">
        <f>IF(ISNUMBER(D60),D60-D59,"")</f>
        <v/>
      </c>
      <c r="I60" s="31">
        <f>IF(ISNUMBER(E60),E60-E59,"")</f>
        <v/>
      </c>
      <c r="J60" s="31">
        <f>IF(AND(ISNUMBER(H60),H60&lt;&gt;0),I60/H60,"")</f>
        <v/>
      </c>
      <c r="K60" s="15" t="inlineStr"/>
      <c r="L60" s="36" t="inlineStr"/>
    </row>
    <row r="61">
      <c r="A61" s="4" t="n">
        <v>12</v>
      </c>
      <c r="B61" s="6">
        <f>IFERROR(INDEX('Watershed plans'!$G$12:$G$19,MATCH(12,'Watershed plans'!$AB$12:$AB$19,0)),"")</f>
        <v/>
      </c>
      <c r="C61" s="10">
        <f>IFERROR(INDEX('Watershed plans'!$B$12:$B$19,MATCH(12,'Watershed plans'!$AB$12:$AB$19,0)),"")</f>
        <v/>
      </c>
      <c r="D61" s="25">
        <f>IFERROR(INDEX('Watershed plans'!$K$12:$K$19,MATCH(12,'Watershed plans'!$AB$12:$AB$19,0)),"")</f>
        <v/>
      </c>
      <c r="E61" s="31">
        <f>IFERROR(INDEX('Watershed plans'!$L$12:$L$19,MATCH(12,'Watershed plans'!$AB$12:$AB$19,0)),"")</f>
        <v/>
      </c>
      <c r="F61" s="30">
        <f>IFERROR(INDEX('Watershed plans'!$J$12:$J$19,MATCH(12,'Watershed plans'!$AB$12:$AB$19,0)),"")</f>
        <v/>
      </c>
      <c r="G61" s="31">
        <f>IFERROR(INDEX('Watershed plans'!$Z$12:$Z$19,MATCH(12,'Watershed plans'!$AB$12:$AB$19,0)),"")</f>
        <v/>
      </c>
      <c r="H61" s="25">
        <f>IF(ISNUMBER(D61),D61-D60,"")</f>
        <v/>
      </c>
      <c r="I61" s="31">
        <f>IF(ISNUMBER(E61),E61-E60,"")</f>
        <v/>
      </c>
      <c r="J61" s="31">
        <f>IF(AND(ISNUMBER(H61),H61&lt;&gt;0),I61/H61,"")</f>
        <v/>
      </c>
      <c r="K61" s="15" t="inlineStr"/>
      <c r="L61" s="36" t="inlineStr"/>
    </row>
    <row r="62">
      <c r="A62" s="4" t="n">
        <v>13</v>
      </c>
      <c r="B62" s="6">
        <f>IFERROR(INDEX('Watershed plans'!$G$12:$G$19,MATCH(13,'Watershed plans'!$AB$12:$AB$19,0)),"")</f>
        <v/>
      </c>
      <c r="C62" s="10">
        <f>IFERROR(INDEX('Watershed plans'!$B$12:$B$19,MATCH(13,'Watershed plans'!$AB$12:$AB$19,0)),"")</f>
        <v/>
      </c>
      <c r="D62" s="25">
        <f>IFERROR(INDEX('Watershed plans'!$K$12:$K$19,MATCH(13,'Watershed plans'!$AB$12:$AB$19,0)),"")</f>
        <v/>
      </c>
      <c r="E62" s="31">
        <f>IFERROR(INDEX('Watershed plans'!$L$12:$L$19,MATCH(13,'Watershed plans'!$AB$12:$AB$19,0)),"")</f>
        <v/>
      </c>
      <c r="F62" s="30">
        <f>IFERROR(INDEX('Watershed plans'!$J$12:$J$19,MATCH(13,'Watershed plans'!$AB$12:$AB$19,0)),"")</f>
        <v/>
      </c>
      <c r="G62" s="31">
        <f>IFERROR(INDEX('Watershed plans'!$Z$12:$Z$19,MATCH(13,'Watershed plans'!$AB$12:$AB$19,0)),"")</f>
        <v/>
      </c>
      <c r="H62" s="25">
        <f>IF(ISNUMBER(D62),D62-D61,"")</f>
        <v/>
      </c>
      <c r="I62" s="31">
        <f>IF(ISNUMBER(E62),E62-E61,"")</f>
        <v/>
      </c>
      <c r="J62" s="31">
        <f>IF(AND(ISNUMBER(H62),H62&lt;&gt;0),I62/H62,"")</f>
        <v/>
      </c>
      <c r="K62" s="15" t="inlineStr"/>
      <c r="L62" s="36" t="inlineStr"/>
    </row>
    <row r="63">
      <c r="A63" s="4" t="n">
        <v>14</v>
      </c>
      <c r="B63" s="6">
        <f>IFERROR(INDEX('Watershed plans'!$G$12:$G$19,MATCH(14,'Watershed plans'!$AB$12:$AB$19,0)),"")</f>
        <v/>
      </c>
      <c r="C63" s="10">
        <f>IFERROR(INDEX('Watershed plans'!$B$12:$B$19,MATCH(14,'Watershed plans'!$AB$12:$AB$19,0)),"")</f>
        <v/>
      </c>
      <c r="D63" s="25">
        <f>IFERROR(INDEX('Watershed plans'!$K$12:$K$19,MATCH(14,'Watershed plans'!$AB$12:$AB$19,0)),"")</f>
        <v/>
      </c>
      <c r="E63" s="31">
        <f>IFERROR(INDEX('Watershed plans'!$L$12:$L$19,MATCH(14,'Watershed plans'!$AB$12:$AB$19,0)),"")</f>
        <v/>
      </c>
      <c r="F63" s="30">
        <f>IFERROR(INDEX('Watershed plans'!$J$12:$J$19,MATCH(14,'Watershed plans'!$AB$12:$AB$19,0)),"")</f>
        <v/>
      </c>
      <c r="G63" s="31">
        <f>IFERROR(INDEX('Watershed plans'!$Z$12:$Z$19,MATCH(14,'Watershed plans'!$AB$12:$AB$19,0)),"")</f>
        <v/>
      </c>
      <c r="H63" s="25">
        <f>IF(ISNUMBER(D63),D63-D62,"")</f>
        <v/>
      </c>
      <c r="I63" s="31">
        <f>IF(ISNUMBER(E63),E63-E62,"")</f>
        <v/>
      </c>
      <c r="J63" s="31">
        <f>IF(AND(ISNUMBER(H63),H63&lt;&gt;0),I63/H63,"")</f>
        <v/>
      </c>
      <c r="K63" s="15" t="inlineStr"/>
      <c r="L63" s="36" t="inlineStr"/>
    </row>
    <row r="64">
      <c r="A64" s="4" t="n">
        <v>15</v>
      </c>
      <c r="B64" s="6">
        <f>IFERROR(INDEX('Watershed plans'!$G$12:$G$19,MATCH(15,'Watershed plans'!$AB$12:$AB$19,0)),"")</f>
        <v/>
      </c>
      <c r="C64" s="10">
        <f>IFERROR(INDEX('Watershed plans'!$B$12:$B$19,MATCH(15,'Watershed plans'!$AB$12:$AB$19,0)),"")</f>
        <v/>
      </c>
      <c r="D64" s="25">
        <f>IFERROR(INDEX('Watershed plans'!$K$12:$K$19,MATCH(15,'Watershed plans'!$AB$12:$AB$19,0)),"")</f>
        <v/>
      </c>
      <c r="E64" s="31">
        <f>IFERROR(INDEX('Watershed plans'!$L$12:$L$19,MATCH(15,'Watershed plans'!$AB$12:$AB$19,0)),"")</f>
        <v/>
      </c>
      <c r="F64" s="30">
        <f>IFERROR(INDEX('Watershed plans'!$J$12:$J$19,MATCH(15,'Watershed plans'!$AB$12:$AB$19,0)),"")</f>
        <v/>
      </c>
      <c r="G64" s="31">
        <f>IFERROR(INDEX('Watershed plans'!$Z$12:$Z$19,MATCH(15,'Watershed plans'!$AB$12:$AB$19,0)),"")</f>
        <v/>
      </c>
      <c r="H64" s="25">
        <f>IF(ISNUMBER(D64),D64-D63,"")</f>
        <v/>
      </c>
      <c r="I64" s="31">
        <f>IF(ISNUMBER(E64),E64-E63,"")</f>
        <v/>
      </c>
      <c r="J64" s="31">
        <f>IF(AND(ISNUMBER(H64),H64&lt;&gt;0),I64/H64,"")</f>
        <v/>
      </c>
      <c r="K64" s="15" t="inlineStr"/>
      <c r="L64" s="36" t="inlineStr"/>
    </row>
    <row r="65">
      <c r="A65" s="4" t="n">
        <v>16</v>
      </c>
      <c r="B65" s="6">
        <f>IFERROR(INDEX('Watershed plans'!$G$12:$G$19,MATCH(16,'Watershed plans'!$AB$12:$AB$19,0)),"")</f>
        <v/>
      </c>
      <c r="C65" s="10">
        <f>IFERROR(INDEX('Watershed plans'!$B$12:$B$19,MATCH(16,'Watershed plans'!$AB$12:$AB$19,0)),"")</f>
        <v/>
      </c>
      <c r="D65" s="25">
        <f>IFERROR(INDEX('Watershed plans'!$K$12:$K$19,MATCH(16,'Watershed plans'!$AB$12:$AB$19,0)),"")</f>
        <v/>
      </c>
      <c r="E65" s="31">
        <f>IFERROR(INDEX('Watershed plans'!$L$12:$L$19,MATCH(16,'Watershed plans'!$AB$12:$AB$19,0)),"")</f>
        <v/>
      </c>
      <c r="F65" s="30">
        <f>IFERROR(INDEX('Watershed plans'!$J$12:$J$19,MATCH(16,'Watershed plans'!$AB$12:$AB$19,0)),"")</f>
        <v/>
      </c>
      <c r="G65" s="31">
        <f>IFERROR(INDEX('Watershed plans'!$Z$12:$Z$19,MATCH(16,'Watershed plans'!$AB$12:$AB$19,0)),"")</f>
        <v/>
      </c>
      <c r="H65" s="25">
        <f>IF(ISNUMBER(D65),D65-D64,"")</f>
        <v/>
      </c>
      <c r="I65" s="31">
        <f>IF(ISNUMBER(E65),E65-E64,"")</f>
        <v/>
      </c>
      <c r="J65" s="31">
        <f>IF(AND(ISNUMBER(H65),H65&lt;&gt;0),I65/H65,"")</f>
        <v/>
      </c>
      <c r="K65" s="15" t="inlineStr"/>
      <c r="L65" s="36" t="inlineStr"/>
    </row>
    <row r="66">
      <c r="A66" s="4" t="n">
        <v>17</v>
      </c>
      <c r="B66" s="6">
        <f>IFERROR(INDEX('Watershed plans'!$G$12:$G$19,MATCH(17,'Watershed plans'!$AB$12:$AB$19,0)),"")</f>
        <v/>
      </c>
      <c r="C66" s="10">
        <f>IFERROR(INDEX('Watershed plans'!$B$12:$B$19,MATCH(17,'Watershed plans'!$AB$12:$AB$19,0)),"")</f>
        <v/>
      </c>
      <c r="D66" s="25">
        <f>IFERROR(INDEX('Watershed plans'!$K$12:$K$19,MATCH(17,'Watershed plans'!$AB$12:$AB$19,0)),"")</f>
        <v/>
      </c>
      <c r="E66" s="31">
        <f>IFERROR(INDEX('Watershed plans'!$L$12:$L$19,MATCH(17,'Watershed plans'!$AB$12:$AB$19,0)),"")</f>
        <v/>
      </c>
      <c r="F66" s="30">
        <f>IFERROR(INDEX('Watershed plans'!$J$12:$J$19,MATCH(17,'Watershed plans'!$AB$12:$AB$19,0)),"")</f>
        <v/>
      </c>
      <c r="G66" s="31">
        <f>IFERROR(INDEX('Watershed plans'!$Z$12:$Z$19,MATCH(17,'Watershed plans'!$AB$12:$AB$19,0)),"")</f>
        <v/>
      </c>
      <c r="H66" s="25">
        <f>IF(ISNUMBER(D66),D66-D65,"")</f>
        <v/>
      </c>
      <c r="I66" s="31">
        <f>IF(ISNUMBER(E66),E66-E65,"")</f>
        <v/>
      </c>
      <c r="J66" s="31">
        <f>IF(AND(ISNUMBER(H66),H66&lt;&gt;0),I66/H66,"")</f>
        <v/>
      </c>
      <c r="K66" s="15" t="inlineStr"/>
      <c r="L66" s="36" t="inlineStr"/>
    </row>
    <row r="67">
      <c r="A67" s="4" t="n">
        <v>18</v>
      </c>
      <c r="B67" s="6">
        <f>IFERROR(INDEX('Watershed plans'!$G$12:$G$19,MATCH(18,'Watershed plans'!$AB$12:$AB$19,0)),"")</f>
        <v/>
      </c>
      <c r="C67" s="10">
        <f>IFERROR(INDEX('Watershed plans'!$B$12:$B$19,MATCH(18,'Watershed plans'!$AB$12:$AB$19,0)),"")</f>
        <v/>
      </c>
      <c r="D67" s="25">
        <f>IFERROR(INDEX('Watershed plans'!$K$12:$K$19,MATCH(18,'Watershed plans'!$AB$12:$AB$19,0)),"")</f>
        <v/>
      </c>
      <c r="E67" s="31">
        <f>IFERROR(INDEX('Watershed plans'!$L$12:$L$19,MATCH(18,'Watershed plans'!$AB$12:$AB$19,0)),"")</f>
        <v/>
      </c>
      <c r="F67" s="30">
        <f>IFERROR(INDEX('Watershed plans'!$J$12:$J$19,MATCH(18,'Watershed plans'!$AB$12:$AB$19,0)),"")</f>
        <v/>
      </c>
      <c r="G67" s="31">
        <f>IFERROR(INDEX('Watershed plans'!$Z$12:$Z$19,MATCH(18,'Watershed plans'!$AB$12:$AB$19,0)),"")</f>
        <v/>
      </c>
      <c r="H67" s="25">
        <f>IF(ISNUMBER(D67),D67-D66,"")</f>
        <v/>
      </c>
      <c r="I67" s="31">
        <f>IF(ISNUMBER(E67),E67-E66,"")</f>
        <v/>
      </c>
      <c r="J67" s="31">
        <f>IF(AND(ISNUMBER(H67),H67&lt;&gt;0),I67/H67,"")</f>
        <v/>
      </c>
      <c r="K67" s="15" t="inlineStr"/>
      <c r="L67" s="36" t="inlineStr"/>
    </row>
    <row r="68">
      <c r="A68" s="4" t="n">
        <v>19</v>
      </c>
      <c r="B68" s="6">
        <f>IFERROR(INDEX('Watershed plans'!$G$12:$G$19,MATCH(19,'Watershed plans'!$AB$12:$AB$19,0)),"")</f>
        <v/>
      </c>
      <c r="C68" s="10">
        <f>IFERROR(INDEX('Watershed plans'!$B$12:$B$19,MATCH(19,'Watershed plans'!$AB$12:$AB$19,0)),"")</f>
        <v/>
      </c>
      <c r="D68" s="25">
        <f>IFERROR(INDEX('Watershed plans'!$K$12:$K$19,MATCH(19,'Watershed plans'!$AB$12:$AB$19,0)),"")</f>
        <v/>
      </c>
      <c r="E68" s="31">
        <f>IFERROR(INDEX('Watershed plans'!$L$12:$L$19,MATCH(19,'Watershed plans'!$AB$12:$AB$19,0)),"")</f>
        <v/>
      </c>
      <c r="F68" s="30">
        <f>IFERROR(INDEX('Watershed plans'!$J$12:$J$19,MATCH(19,'Watershed plans'!$AB$12:$AB$19,0)),"")</f>
        <v/>
      </c>
      <c r="G68" s="31">
        <f>IFERROR(INDEX('Watershed plans'!$Z$12:$Z$19,MATCH(19,'Watershed plans'!$AB$12:$AB$19,0)),"")</f>
        <v/>
      </c>
      <c r="H68" s="25">
        <f>IF(ISNUMBER(D68),D68-D67,"")</f>
        <v/>
      </c>
      <c r="I68" s="31">
        <f>IF(ISNUMBER(E68),E68-E67,"")</f>
        <v/>
      </c>
      <c r="J68" s="31">
        <f>IF(AND(ISNUMBER(H68),H68&lt;&gt;0),I68/H68,"")</f>
        <v/>
      </c>
      <c r="K68" s="15" t="inlineStr"/>
      <c r="L68" s="36" t="inlineStr"/>
    </row>
    <row r="69">
      <c r="A69" s="4" t="n">
        <v>20</v>
      </c>
      <c r="B69" s="6">
        <f>IFERROR(INDEX('Watershed plans'!$G$12:$G$19,MATCH(20,'Watershed plans'!$AB$12:$AB$19,0)),"")</f>
        <v/>
      </c>
      <c r="C69" s="10">
        <f>IFERROR(INDEX('Watershed plans'!$B$12:$B$19,MATCH(20,'Watershed plans'!$AB$12:$AB$19,0)),"")</f>
        <v/>
      </c>
      <c r="D69" s="25">
        <f>IFERROR(INDEX('Watershed plans'!$K$12:$K$19,MATCH(20,'Watershed plans'!$AB$12:$AB$19,0)),"")</f>
        <v/>
      </c>
      <c r="E69" s="31">
        <f>IFERROR(INDEX('Watershed plans'!$L$12:$L$19,MATCH(20,'Watershed plans'!$AB$12:$AB$19,0)),"")</f>
        <v/>
      </c>
      <c r="F69" s="30">
        <f>IFERROR(INDEX('Watershed plans'!$J$12:$J$19,MATCH(20,'Watershed plans'!$AB$12:$AB$19,0)),"")</f>
        <v/>
      </c>
      <c r="G69" s="31">
        <f>IFERROR(INDEX('Watershed plans'!$Z$12:$Z$19,MATCH(20,'Watershed plans'!$AB$12:$AB$19,0)),"")</f>
        <v/>
      </c>
      <c r="H69" s="25">
        <f>IF(ISNUMBER(D69),D69-D68,"")</f>
        <v/>
      </c>
      <c r="I69" s="31">
        <f>IF(ISNUMBER(E69),E69-E68,"")</f>
        <v/>
      </c>
      <c r="J69" s="31">
        <f>IF(AND(ISNUMBER(H69),H69&lt;&gt;0),I69/H69,"")</f>
        <v/>
      </c>
      <c r="K69" s="15" t="inlineStr"/>
      <c r="L69" s="36" t="inlineStr"/>
    </row>
    <row r="70">
      <c r="A70" s="4" t="n">
        <v>21</v>
      </c>
      <c r="B70" s="6">
        <f>IFERROR(INDEX('Watershed plans'!$G$12:$G$19,MATCH(21,'Watershed plans'!$AB$12:$AB$19,0)),"")</f>
        <v/>
      </c>
      <c r="C70" s="10">
        <f>IFERROR(INDEX('Watershed plans'!$B$12:$B$19,MATCH(21,'Watershed plans'!$AB$12:$AB$19,0)),"")</f>
        <v/>
      </c>
      <c r="D70" s="25">
        <f>IFERROR(INDEX('Watershed plans'!$K$12:$K$19,MATCH(21,'Watershed plans'!$AB$12:$AB$19,0)),"")</f>
        <v/>
      </c>
      <c r="E70" s="31">
        <f>IFERROR(INDEX('Watershed plans'!$L$12:$L$19,MATCH(21,'Watershed plans'!$AB$12:$AB$19,0)),"")</f>
        <v/>
      </c>
      <c r="F70" s="30">
        <f>IFERROR(INDEX('Watershed plans'!$J$12:$J$19,MATCH(21,'Watershed plans'!$AB$12:$AB$19,0)),"")</f>
        <v/>
      </c>
      <c r="G70" s="31">
        <f>IFERROR(INDEX('Watershed plans'!$Z$12:$Z$19,MATCH(21,'Watershed plans'!$AB$12:$AB$19,0)),"")</f>
        <v/>
      </c>
      <c r="H70" s="25">
        <f>IF(ISNUMBER(D70),D70-D69,"")</f>
        <v/>
      </c>
      <c r="I70" s="31">
        <f>IF(ISNUMBER(E70),E70-E69,"")</f>
        <v/>
      </c>
      <c r="J70" s="31">
        <f>IF(AND(ISNUMBER(H70),H70&lt;&gt;0),I70/H70,"")</f>
        <v/>
      </c>
      <c r="K70" s="15" t="inlineStr"/>
      <c r="L70" s="36" t="inlineStr"/>
    </row>
    <row r="71">
      <c r="A71" s="4" t="n">
        <v>22</v>
      </c>
      <c r="B71" s="6">
        <f>IFERROR(INDEX('Watershed plans'!$G$12:$G$19,MATCH(22,'Watershed plans'!$AB$12:$AB$19,0)),"")</f>
        <v/>
      </c>
      <c r="C71" s="10">
        <f>IFERROR(INDEX('Watershed plans'!$B$12:$B$19,MATCH(22,'Watershed plans'!$AB$12:$AB$19,0)),"")</f>
        <v/>
      </c>
      <c r="D71" s="25">
        <f>IFERROR(INDEX('Watershed plans'!$K$12:$K$19,MATCH(22,'Watershed plans'!$AB$12:$AB$19,0)),"")</f>
        <v/>
      </c>
      <c r="E71" s="31">
        <f>IFERROR(INDEX('Watershed plans'!$L$12:$L$19,MATCH(22,'Watershed plans'!$AB$12:$AB$19,0)),"")</f>
        <v/>
      </c>
      <c r="F71" s="30">
        <f>IFERROR(INDEX('Watershed plans'!$J$12:$J$19,MATCH(22,'Watershed plans'!$AB$12:$AB$19,0)),"")</f>
        <v/>
      </c>
      <c r="G71" s="31">
        <f>IFERROR(INDEX('Watershed plans'!$Z$12:$Z$19,MATCH(22,'Watershed plans'!$AB$12:$AB$19,0)),"")</f>
        <v/>
      </c>
      <c r="H71" s="25">
        <f>IF(ISNUMBER(D71),D71-D70,"")</f>
        <v/>
      </c>
      <c r="I71" s="31">
        <f>IF(ISNUMBER(E71),E71-E70,"")</f>
        <v/>
      </c>
      <c r="J71" s="31">
        <f>IF(AND(ISNUMBER(H71),H71&lt;&gt;0),I71/H71,"")</f>
        <v/>
      </c>
      <c r="K71" s="15" t="inlineStr"/>
      <c r="L71" s="36" t="inlineStr"/>
    </row>
    <row r="72">
      <c r="A72" s="4" t="n">
        <v>23</v>
      </c>
      <c r="B72" s="6">
        <f>IFERROR(INDEX('Watershed plans'!$G$12:$G$19,MATCH(23,'Watershed plans'!$AB$12:$AB$19,0)),"")</f>
        <v/>
      </c>
      <c r="C72" s="10">
        <f>IFERROR(INDEX('Watershed plans'!$B$12:$B$19,MATCH(23,'Watershed plans'!$AB$12:$AB$19,0)),"")</f>
        <v/>
      </c>
      <c r="D72" s="25">
        <f>IFERROR(INDEX('Watershed plans'!$K$12:$K$19,MATCH(23,'Watershed plans'!$AB$12:$AB$19,0)),"")</f>
        <v/>
      </c>
      <c r="E72" s="31">
        <f>IFERROR(INDEX('Watershed plans'!$L$12:$L$19,MATCH(23,'Watershed plans'!$AB$12:$AB$19,0)),"")</f>
        <v/>
      </c>
      <c r="F72" s="30">
        <f>IFERROR(INDEX('Watershed plans'!$J$12:$J$19,MATCH(23,'Watershed plans'!$AB$12:$AB$19,0)),"")</f>
        <v/>
      </c>
      <c r="G72" s="31">
        <f>IFERROR(INDEX('Watershed plans'!$Z$12:$Z$19,MATCH(23,'Watershed plans'!$AB$12:$AB$19,0)),"")</f>
        <v/>
      </c>
      <c r="H72" s="25">
        <f>IF(ISNUMBER(D72),D72-D71,"")</f>
        <v/>
      </c>
      <c r="I72" s="31">
        <f>IF(ISNUMBER(E72),E72-E71,"")</f>
        <v/>
      </c>
      <c r="J72" s="31">
        <f>IF(AND(ISNUMBER(H72),H72&lt;&gt;0),I72/H72,"")</f>
        <v/>
      </c>
      <c r="K72" s="15" t="inlineStr"/>
      <c r="L72" s="36" t="inlineStr"/>
    </row>
    <row r="73">
      <c r="A73" s="4" t="n">
        <v>24</v>
      </c>
      <c r="B73" s="6">
        <f>IFERROR(INDEX('Watershed plans'!$G$12:$G$19,MATCH(24,'Watershed plans'!$AB$12:$AB$19,0)),"")</f>
        <v/>
      </c>
      <c r="C73" s="10">
        <f>IFERROR(INDEX('Watershed plans'!$B$12:$B$19,MATCH(24,'Watershed plans'!$AB$12:$AB$19,0)),"")</f>
        <v/>
      </c>
      <c r="D73" s="25">
        <f>IFERROR(INDEX('Watershed plans'!$K$12:$K$19,MATCH(24,'Watershed plans'!$AB$12:$AB$19,0)),"")</f>
        <v/>
      </c>
      <c r="E73" s="31">
        <f>IFERROR(INDEX('Watershed plans'!$L$12:$L$19,MATCH(24,'Watershed plans'!$AB$12:$AB$19,0)),"")</f>
        <v/>
      </c>
      <c r="F73" s="30">
        <f>IFERROR(INDEX('Watershed plans'!$J$12:$J$19,MATCH(24,'Watershed plans'!$AB$12:$AB$19,0)),"")</f>
        <v/>
      </c>
      <c r="G73" s="31">
        <f>IFERROR(INDEX('Watershed plans'!$Z$12:$Z$19,MATCH(24,'Watershed plans'!$AB$12:$AB$19,0)),"")</f>
        <v/>
      </c>
      <c r="H73" s="25">
        <f>IF(ISNUMBER(D73),D73-D72,"")</f>
        <v/>
      </c>
      <c r="I73" s="31">
        <f>IF(ISNUMBER(E73),E73-E72,"")</f>
        <v/>
      </c>
      <c r="J73" s="31">
        <f>IF(AND(ISNUMBER(H73),H73&lt;&gt;0),I73/H73,"")</f>
        <v/>
      </c>
      <c r="K73" s="15" t="inlineStr"/>
      <c r="L73" s="36" t="inlineStr"/>
    </row>
    <row r="74">
      <c r="A74" s="4" t="n">
        <v>25</v>
      </c>
      <c r="B74" s="6">
        <f>IFERROR(INDEX('Watershed plans'!$G$12:$G$19,MATCH(25,'Watershed plans'!$AB$12:$AB$19,0)),"")</f>
        <v/>
      </c>
      <c r="C74" s="10">
        <f>IFERROR(INDEX('Watershed plans'!$B$12:$B$19,MATCH(25,'Watershed plans'!$AB$12:$AB$19,0)),"")</f>
        <v/>
      </c>
      <c r="D74" s="25">
        <f>IFERROR(INDEX('Watershed plans'!$K$12:$K$19,MATCH(25,'Watershed plans'!$AB$12:$AB$19,0)),"")</f>
        <v/>
      </c>
      <c r="E74" s="31">
        <f>IFERROR(INDEX('Watershed plans'!$L$12:$L$19,MATCH(25,'Watershed plans'!$AB$12:$AB$19,0)),"")</f>
        <v/>
      </c>
      <c r="F74" s="30">
        <f>IFERROR(INDEX('Watershed plans'!$J$12:$J$19,MATCH(25,'Watershed plans'!$AB$12:$AB$19,0)),"")</f>
        <v/>
      </c>
      <c r="G74" s="31">
        <f>IFERROR(INDEX('Watershed plans'!$Z$12:$Z$19,MATCH(25,'Watershed plans'!$AB$12:$AB$19,0)),"")</f>
        <v/>
      </c>
      <c r="H74" s="25">
        <f>IF(ISNUMBER(D74),D74-D73,"")</f>
        <v/>
      </c>
      <c r="I74" s="31">
        <f>IF(ISNUMBER(E74),E74-E73,"")</f>
        <v/>
      </c>
      <c r="J74" s="31">
        <f>IF(AND(ISNUMBER(H74),H74&lt;&gt;0),I74/H74,"")</f>
        <v/>
      </c>
      <c r="K74" s="15" t="inlineStr"/>
      <c r="L74" s="36" t="inlineStr"/>
    </row>
    <row r="75">
      <c r="A75" s="4" t="n">
        <v>26</v>
      </c>
      <c r="B75" s="6">
        <f>IFERROR(INDEX('Watershed plans'!$G$12:$G$19,MATCH(26,'Watershed plans'!$AB$12:$AB$19,0)),"")</f>
        <v/>
      </c>
      <c r="C75" s="10">
        <f>IFERROR(INDEX('Watershed plans'!$B$12:$B$19,MATCH(26,'Watershed plans'!$AB$12:$AB$19,0)),"")</f>
        <v/>
      </c>
      <c r="D75" s="25">
        <f>IFERROR(INDEX('Watershed plans'!$K$12:$K$19,MATCH(26,'Watershed plans'!$AB$12:$AB$19,0)),"")</f>
        <v/>
      </c>
      <c r="E75" s="31">
        <f>IFERROR(INDEX('Watershed plans'!$L$12:$L$19,MATCH(26,'Watershed plans'!$AB$12:$AB$19,0)),"")</f>
        <v/>
      </c>
      <c r="F75" s="30">
        <f>IFERROR(INDEX('Watershed plans'!$J$12:$J$19,MATCH(26,'Watershed plans'!$AB$12:$AB$19,0)),"")</f>
        <v/>
      </c>
      <c r="G75" s="31">
        <f>IFERROR(INDEX('Watershed plans'!$Z$12:$Z$19,MATCH(26,'Watershed plans'!$AB$12:$AB$19,0)),"")</f>
        <v/>
      </c>
      <c r="H75" s="25">
        <f>IF(ISNUMBER(D75),D75-D74,"")</f>
        <v/>
      </c>
      <c r="I75" s="31">
        <f>IF(ISNUMBER(E75),E75-E74,"")</f>
        <v/>
      </c>
      <c r="J75" s="31">
        <f>IF(AND(ISNUMBER(H75),H75&lt;&gt;0),I75/H75,"")</f>
        <v/>
      </c>
      <c r="K75" s="15" t="inlineStr"/>
      <c r="L75" s="36" t="inlineStr"/>
    </row>
    <row r="76">
      <c r="A76" s="4" t="n">
        <v>27</v>
      </c>
      <c r="B76" s="6">
        <f>IFERROR(INDEX('Watershed plans'!$G$12:$G$19,MATCH(27,'Watershed plans'!$AB$12:$AB$19,0)),"")</f>
        <v/>
      </c>
      <c r="C76" s="10">
        <f>IFERROR(INDEX('Watershed plans'!$B$12:$B$19,MATCH(27,'Watershed plans'!$AB$12:$AB$19,0)),"")</f>
        <v/>
      </c>
      <c r="D76" s="25">
        <f>IFERROR(INDEX('Watershed plans'!$K$12:$K$19,MATCH(27,'Watershed plans'!$AB$12:$AB$19,0)),"")</f>
        <v/>
      </c>
      <c r="E76" s="31">
        <f>IFERROR(INDEX('Watershed plans'!$L$12:$L$19,MATCH(27,'Watershed plans'!$AB$12:$AB$19,0)),"")</f>
        <v/>
      </c>
      <c r="F76" s="30">
        <f>IFERROR(INDEX('Watershed plans'!$J$12:$J$19,MATCH(27,'Watershed plans'!$AB$12:$AB$19,0)),"")</f>
        <v/>
      </c>
      <c r="G76" s="31">
        <f>IFERROR(INDEX('Watershed plans'!$Z$12:$Z$19,MATCH(27,'Watershed plans'!$AB$12:$AB$19,0)),"")</f>
        <v/>
      </c>
      <c r="H76" s="25">
        <f>IF(ISNUMBER(D76),D76-D75,"")</f>
        <v/>
      </c>
      <c r="I76" s="31">
        <f>IF(ISNUMBER(E76),E76-E75,"")</f>
        <v/>
      </c>
      <c r="J76" s="31">
        <f>IF(AND(ISNUMBER(H76),H76&lt;&gt;0),I76/H76,"")</f>
        <v/>
      </c>
      <c r="K76" s="15" t="inlineStr"/>
      <c r="L76" s="36" t="inlineStr"/>
    </row>
    <row r="77">
      <c r="A77" s="4" t="n">
        <v>28</v>
      </c>
      <c r="B77" s="6">
        <f>IFERROR(INDEX('Watershed plans'!$G$12:$G$19,MATCH(28,'Watershed plans'!$AB$12:$AB$19,0)),"")</f>
        <v/>
      </c>
      <c r="C77" s="10">
        <f>IFERROR(INDEX('Watershed plans'!$B$12:$B$19,MATCH(28,'Watershed plans'!$AB$12:$AB$19,0)),"")</f>
        <v/>
      </c>
      <c r="D77" s="25">
        <f>IFERROR(INDEX('Watershed plans'!$K$12:$K$19,MATCH(28,'Watershed plans'!$AB$12:$AB$19,0)),"")</f>
        <v/>
      </c>
      <c r="E77" s="31">
        <f>IFERROR(INDEX('Watershed plans'!$L$12:$L$19,MATCH(28,'Watershed plans'!$AB$12:$AB$19,0)),"")</f>
        <v/>
      </c>
      <c r="F77" s="30">
        <f>IFERROR(INDEX('Watershed plans'!$J$12:$J$19,MATCH(28,'Watershed plans'!$AB$12:$AB$19,0)),"")</f>
        <v/>
      </c>
      <c r="G77" s="31">
        <f>IFERROR(INDEX('Watershed plans'!$Z$12:$Z$19,MATCH(28,'Watershed plans'!$AB$12:$AB$19,0)),"")</f>
        <v/>
      </c>
      <c r="H77" s="25">
        <f>IF(ISNUMBER(D77),D77-D76,"")</f>
        <v/>
      </c>
      <c r="I77" s="31">
        <f>IF(ISNUMBER(E77),E77-E76,"")</f>
        <v/>
      </c>
      <c r="J77" s="31">
        <f>IF(AND(ISNUMBER(H77),H77&lt;&gt;0),I77/H77,"")</f>
        <v/>
      </c>
      <c r="K77" s="15" t="inlineStr"/>
      <c r="L77" s="36" t="inlineStr"/>
    </row>
    <row r="78">
      <c r="A78" s="4" t="n">
        <v>29</v>
      </c>
      <c r="B78" s="6">
        <f>IFERROR(INDEX('Watershed plans'!$G$12:$G$19,MATCH(29,'Watershed plans'!$AB$12:$AB$19,0)),"")</f>
        <v/>
      </c>
      <c r="C78" s="10">
        <f>IFERROR(INDEX('Watershed plans'!$B$12:$B$19,MATCH(29,'Watershed plans'!$AB$12:$AB$19,0)),"")</f>
        <v/>
      </c>
      <c r="D78" s="25">
        <f>IFERROR(INDEX('Watershed plans'!$K$12:$K$19,MATCH(29,'Watershed plans'!$AB$12:$AB$19,0)),"")</f>
        <v/>
      </c>
      <c r="E78" s="31">
        <f>IFERROR(INDEX('Watershed plans'!$L$12:$L$19,MATCH(29,'Watershed plans'!$AB$12:$AB$19,0)),"")</f>
        <v/>
      </c>
      <c r="F78" s="30">
        <f>IFERROR(INDEX('Watershed plans'!$J$12:$J$19,MATCH(29,'Watershed plans'!$AB$12:$AB$19,0)),"")</f>
        <v/>
      </c>
      <c r="G78" s="31">
        <f>IFERROR(INDEX('Watershed plans'!$Z$12:$Z$19,MATCH(29,'Watershed plans'!$AB$12:$AB$19,0)),"")</f>
        <v/>
      </c>
      <c r="H78" s="25">
        <f>IF(ISNUMBER(D78),D78-D77,"")</f>
        <v/>
      </c>
      <c r="I78" s="31">
        <f>IF(ISNUMBER(E78),E78-E77,"")</f>
        <v/>
      </c>
      <c r="J78" s="31">
        <f>IF(AND(ISNUMBER(H78),H78&lt;&gt;0),I78/H78,"")</f>
        <v/>
      </c>
      <c r="K78" s="15" t="inlineStr"/>
      <c r="L78" s="36" t="inlineStr"/>
    </row>
    <row r="79">
      <c r="A79" s="4" t="n">
        <v>30</v>
      </c>
      <c r="B79" s="6">
        <f>IFERROR(INDEX('Watershed plans'!$G$12:$G$19,MATCH(30,'Watershed plans'!$AB$12:$AB$19,0)),"")</f>
        <v/>
      </c>
      <c r="C79" s="10">
        <f>IFERROR(INDEX('Watershed plans'!$B$12:$B$19,MATCH(30,'Watershed plans'!$AB$12:$AB$19,0)),"")</f>
        <v/>
      </c>
      <c r="D79" s="25">
        <f>IFERROR(INDEX('Watershed plans'!$K$12:$K$19,MATCH(30,'Watershed plans'!$AB$12:$AB$19,0)),"")</f>
        <v/>
      </c>
      <c r="E79" s="31">
        <f>IFERROR(INDEX('Watershed plans'!$L$12:$L$19,MATCH(30,'Watershed plans'!$AB$12:$AB$19,0)),"")</f>
        <v/>
      </c>
      <c r="F79" s="30">
        <f>IFERROR(INDEX('Watershed plans'!$J$12:$J$19,MATCH(30,'Watershed plans'!$AB$12:$AB$19,0)),"")</f>
        <v/>
      </c>
      <c r="G79" s="31">
        <f>IFERROR(INDEX('Watershed plans'!$Z$12:$Z$19,MATCH(30,'Watershed plans'!$AB$12:$AB$19,0)),"")</f>
        <v/>
      </c>
      <c r="H79" s="25">
        <f>IF(ISNUMBER(D79),D79-D78,"")</f>
        <v/>
      </c>
      <c r="I79" s="31">
        <f>IF(ISNUMBER(E79),E79-E78,"")</f>
        <v/>
      </c>
      <c r="J79" s="31">
        <f>IF(AND(ISNUMBER(H79),H79&lt;&gt;0),I79/H79,"")</f>
        <v/>
      </c>
      <c r="K79" s="15" t="inlineStr"/>
      <c r="L79" s="36" t="inlineStr"/>
    </row>
    <row r="80">
      <c r="A80" s="4" t="n">
        <v>31</v>
      </c>
      <c r="B80" s="6">
        <f>IFERROR(INDEX('Watershed plans'!$G$12:$G$19,MATCH(31,'Watershed plans'!$AB$12:$AB$19,0)),"")</f>
        <v/>
      </c>
      <c r="C80" s="10">
        <f>IFERROR(INDEX('Watershed plans'!$B$12:$B$19,MATCH(31,'Watershed plans'!$AB$12:$AB$19,0)),"")</f>
        <v/>
      </c>
      <c r="D80" s="25">
        <f>IFERROR(INDEX('Watershed plans'!$K$12:$K$19,MATCH(31,'Watershed plans'!$AB$12:$AB$19,0)),"")</f>
        <v/>
      </c>
      <c r="E80" s="31">
        <f>IFERROR(INDEX('Watershed plans'!$L$12:$L$19,MATCH(31,'Watershed plans'!$AB$12:$AB$19,0)),"")</f>
        <v/>
      </c>
      <c r="F80" s="30">
        <f>IFERROR(INDEX('Watershed plans'!$J$12:$J$19,MATCH(31,'Watershed plans'!$AB$12:$AB$19,0)),"")</f>
        <v/>
      </c>
      <c r="G80" s="31">
        <f>IFERROR(INDEX('Watershed plans'!$Z$12:$Z$19,MATCH(31,'Watershed plans'!$AB$12:$AB$19,0)),"")</f>
        <v/>
      </c>
      <c r="H80" s="25">
        <f>IF(ISNUMBER(D80),D80-D79,"")</f>
        <v/>
      </c>
      <c r="I80" s="31">
        <f>IF(ISNUMBER(E80),E80-E79,"")</f>
        <v/>
      </c>
      <c r="J80" s="31">
        <f>IF(AND(ISNUMBER(H80),H80&lt;&gt;0),I80/H80,"")</f>
        <v/>
      </c>
      <c r="K80" s="15" t="inlineStr"/>
      <c r="L80" s="36" t="inlineStr"/>
    </row>
    <row r="81">
      <c r="A81" s="4" t="n">
        <v>32</v>
      </c>
      <c r="B81" s="6">
        <f>IFERROR(INDEX('Watershed plans'!$G$12:$G$19,MATCH(32,'Watershed plans'!$AB$12:$AB$19,0)),"")</f>
        <v/>
      </c>
      <c r="C81" s="10">
        <f>IFERROR(INDEX('Watershed plans'!$B$12:$B$19,MATCH(32,'Watershed plans'!$AB$12:$AB$19,0)),"")</f>
        <v/>
      </c>
      <c r="D81" s="25">
        <f>IFERROR(INDEX('Watershed plans'!$K$12:$K$19,MATCH(32,'Watershed plans'!$AB$12:$AB$19,0)),"")</f>
        <v/>
      </c>
      <c r="E81" s="31">
        <f>IFERROR(INDEX('Watershed plans'!$L$12:$L$19,MATCH(32,'Watershed plans'!$AB$12:$AB$19,0)),"")</f>
        <v/>
      </c>
      <c r="F81" s="30">
        <f>IFERROR(INDEX('Watershed plans'!$J$12:$J$19,MATCH(32,'Watershed plans'!$AB$12:$AB$19,0)),"")</f>
        <v/>
      </c>
      <c r="G81" s="31">
        <f>IFERROR(INDEX('Watershed plans'!$Z$12:$Z$19,MATCH(32,'Watershed plans'!$AB$12:$AB$19,0)),"")</f>
        <v/>
      </c>
      <c r="H81" s="25">
        <f>IF(ISNUMBER(D81),D81-D80,"")</f>
        <v/>
      </c>
      <c r="I81" s="31">
        <f>IF(ISNUMBER(E81),E81-E80,"")</f>
        <v/>
      </c>
      <c r="J81" s="31">
        <f>IF(AND(ISNUMBER(H81),H81&lt;&gt;0),I81/H81,"")</f>
        <v/>
      </c>
      <c r="K81" s="15" t="inlineStr"/>
      <c r="L81" s="36" t="inlineStr"/>
    </row>
    <row r="82">
      <c r="A82" s="4" t="n">
        <v>33</v>
      </c>
      <c r="B82" s="6">
        <f>IFERROR(INDEX('Watershed plans'!$G$12:$G$19,MATCH(33,'Watershed plans'!$AB$12:$AB$19,0)),"")</f>
        <v/>
      </c>
      <c r="C82" s="10">
        <f>IFERROR(INDEX('Watershed plans'!$B$12:$B$19,MATCH(33,'Watershed plans'!$AB$12:$AB$19,0)),"")</f>
        <v/>
      </c>
      <c r="D82" s="25">
        <f>IFERROR(INDEX('Watershed plans'!$K$12:$K$19,MATCH(33,'Watershed plans'!$AB$12:$AB$19,0)),"")</f>
        <v/>
      </c>
      <c r="E82" s="31">
        <f>IFERROR(INDEX('Watershed plans'!$L$12:$L$19,MATCH(33,'Watershed plans'!$AB$12:$AB$19,0)),"")</f>
        <v/>
      </c>
      <c r="F82" s="30">
        <f>IFERROR(INDEX('Watershed plans'!$J$12:$J$19,MATCH(33,'Watershed plans'!$AB$12:$AB$19,0)),"")</f>
        <v/>
      </c>
      <c r="G82" s="31">
        <f>IFERROR(INDEX('Watershed plans'!$Z$12:$Z$19,MATCH(33,'Watershed plans'!$AB$12:$AB$19,0)),"")</f>
        <v/>
      </c>
      <c r="H82" s="25">
        <f>IF(ISNUMBER(D82),D82-D81,"")</f>
        <v/>
      </c>
      <c r="I82" s="31">
        <f>IF(ISNUMBER(E82),E82-E81,"")</f>
        <v/>
      </c>
      <c r="J82" s="31">
        <f>IF(AND(ISNUMBER(H82),H82&lt;&gt;0),I82/H82,"")</f>
        <v/>
      </c>
      <c r="K82" s="15" t="inlineStr"/>
      <c r="L82" s="36" t="inlineStr"/>
    </row>
    <row r="83">
      <c r="A83" s="4" t="n">
        <v>34</v>
      </c>
      <c r="B83" s="6">
        <f>IFERROR(INDEX('Watershed plans'!$G$12:$G$19,MATCH(34,'Watershed plans'!$AB$12:$AB$19,0)),"")</f>
        <v/>
      </c>
      <c r="C83" s="10">
        <f>IFERROR(INDEX('Watershed plans'!$B$12:$B$19,MATCH(34,'Watershed plans'!$AB$12:$AB$19,0)),"")</f>
        <v/>
      </c>
      <c r="D83" s="25">
        <f>IFERROR(INDEX('Watershed plans'!$K$12:$K$19,MATCH(34,'Watershed plans'!$AB$12:$AB$19,0)),"")</f>
        <v/>
      </c>
      <c r="E83" s="31">
        <f>IFERROR(INDEX('Watershed plans'!$L$12:$L$19,MATCH(34,'Watershed plans'!$AB$12:$AB$19,0)),"")</f>
        <v/>
      </c>
      <c r="F83" s="30">
        <f>IFERROR(INDEX('Watershed plans'!$J$12:$J$19,MATCH(34,'Watershed plans'!$AB$12:$AB$19,0)),"")</f>
        <v/>
      </c>
      <c r="G83" s="31">
        <f>IFERROR(INDEX('Watershed plans'!$Z$12:$Z$19,MATCH(34,'Watershed plans'!$AB$12:$AB$19,0)),"")</f>
        <v/>
      </c>
      <c r="H83" s="25">
        <f>IF(ISNUMBER(D83),D83-D82,"")</f>
        <v/>
      </c>
      <c r="I83" s="31">
        <f>IF(ISNUMBER(E83),E83-E82,"")</f>
        <v/>
      </c>
      <c r="J83" s="31">
        <f>IF(AND(ISNUMBER(H83),H83&lt;&gt;0),I83/H83,"")</f>
        <v/>
      </c>
      <c r="K83" s="15" t="inlineStr"/>
      <c r="L83" s="36" t="inlineStr"/>
    </row>
    <row r="84">
      <c r="A84" s="4" t="n">
        <v>35</v>
      </c>
      <c r="B84" s="6">
        <f>IFERROR(INDEX('Watershed plans'!$G$12:$G$19,MATCH(35,'Watershed plans'!$AB$12:$AB$19,0)),"")</f>
        <v/>
      </c>
      <c r="C84" s="10">
        <f>IFERROR(INDEX('Watershed plans'!$B$12:$B$19,MATCH(35,'Watershed plans'!$AB$12:$AB$19,0)),"")</f>
        <v/>
      </c>
      <c r="D84" s="25">
        <f>IFERROR(INDEX('Watershed plans'!$K$12:$K$19,MATCH(35,'Watershed plans'!$AB$12:$AB$19,0)),"")</f>
        <v/>
      </c>
      <c r="E84" s="31">
        <f>IFERROR(INDEX('Watershed plans'!$L$12:$L$19,MATCH(35,'Watershed plans'!$AB$12:$AB$19,0)),"")</f>
        <v/>
      </c>
      <c r="F84" s="30">
        <f>IFERROR(INDEX('Watershed plans'!$J$12:$J$19,MATCH(35,'Watershed plans'!$AB$12:$AB$19,0)),"")</f>
        <v/>
      </c>
      <c r="G84" s="31">
        <f>IFERROR(INDEX('Watershed plans'!$Z$12:$Z$19,MATCH(35,'Watershed plans'!$AB$12:$AB$19,0)),"")</f>
        <v/>
      </c>
      <c r="H84" s="25">
        <f>IF(ISNUMBER(D84),D84-D83,"")</f>
        <v/>
      </c>
      <c r="I84" s="31">
        <f>IF(ISNUMBER(E84),E84-E83,"")</f>
        <v/>
      </c>
      <c r="J84" s="31">
        <f>IF(AND(ISNUMBER(H84),H84&lt;&gt;0),I84/H84,"")</f>
        <v/>
      </c>
      <c r="K84" s="15" t="inlineStr"/>
      <c r="L84" s="36" t="inlineStr"/>
    </row>
    <row r="85">
      <c r="A85" s="4" t="n">
        <v>36</v>
      </c>
      <c r="B85" s="6">
        <f>IFERROR(INDEX('Watershed plans'!$G$12:$G$19,MATCH(36,'Watershed plans'!$AB$12:$AB$19,0)),"")</f>
        <v/>
      </c>
      <c r="C85" s="10">
        <f>IFERROR(INDEX('Watershed plans'!$B$12:$B$19,MATCH(36,'Watershed plans'!$AB$12:$AB$19,0)),"")</f>
        <v/>
      </c>
      <c r="D85" s="25">
        <f>IFERROR(INDEX('Watershed plans'!$K$12:$K$19,MATCH(36,'Watershed plans'!$AB$12:$AB$19,0)),"")</f>
        <v/>
      </c>
      <c r="E85" s="31">
        <f>IFERROR(INDEX('Watershed plans'!$L$12:$L$19,MATCH(36,'Watershed plans'!$AB$12:$AB$19,0)),"")</f>
        <v/>
      </c>
      <c r="F85" s="30">
        <f>IFERROR(INDEX('Watershed plans'!$J$12:$J$19,MATCH(36,'Watershed plans'!$AB$12:$AB$19,0)),"")</f>
        <v/>
      </c>
      <c r="G85" s="31">
        <f>IFERROR(INDEX('Watershed plans'!$Z$12:$Z$19,MATCH(36,'Watershed plans'!$AB$12:$AB$19,0)),"")</f>
        <v/>
      </c>
      <c r="H85" s="25">
        <f>IF(ISNUMBER(D85),D85-D84,"")</f>
        <v/>
      </c>
      <c r="I85" s="31">
        <f>IF(ISNUMBER(E85),E85-E84,"")</f>
        <v/>
      </c>
      <c r="J85" s="31">
        <f>IF(AND(ISNUMBER(H85),H85&lt;&gt;0),I85/H85,"")</f>
        <v/>
      </c>
      <c r="K85" s="15" t="inlineStr"/>
      <c r="L85" s="36" t="inlineStr"/>
    </row>
    <row r="86">
      <c r="A86" s="4" t="n">
        <v>37</v>
      </c>
      <c r="B86" s="6">
        <f>IFERROR(INDEX('Watershed plans'!$G$12:$G$19,MATCH(37,'Watershed plans'!$AB$12:$AB$19,0)),"")</f>
        <v/>
      </c>
      <c r="C86" s="10">
        <f>IFERROR(INDEX('Watershed plans'!$B$12:$B$19,MATCH(37,'Watershed plans'!$AB$12:$AB$19,0)),"")</f>
        <v/>
      </c>
      <c r="D86" s="25">
        <f>IFERROR(INDEX('Watershed plans'!$K$12:$K$19,MATCH(37,'Watershed plans'!$AB$12:$AB$19,0)),"")</f>
        <v/>
      </c>
      <c r="E86" s="31">
        <f>IFERROR(INDEX('Watershed plans'!$L$12:$L$19,MATCH(37,'Watershed plans'!$AB$12:$AB$19,0)),"")</f>
        <v/>
      </c>
      <c r="F86" s="30">
        <f>IFERROR(INDEX('Watershed plans'!$J$12:$J$19,MATCH(37,'Watershed plans'!$AB$12:$AB$19,0)),"")</f>
        <v/>
      </c>
      <c r="G86" s="31">
        <f>IFERROR(INDEX('Watershed plans'!$Z$12:$Z$19,MATCH(37,'Watershed plans'!$AB$12:$AB$19,0)),"")</f>
        <v/>
      </c>
      <c r="H86" s="25">
        <f>IF(ISNUMBER(D86),D86-D85,"")</f>
        <v/>
      </c>
      <c r="I86" s="31">
        <f>IF(ISNUMBER(E86),E86-E85,"")</f>
        <v/>
      </c>
      <c r="J86" s="31">
        <f>IF(AND(ISNUMBER(H86),H86&lt;&gt;0),I86/H86,"")</f>
        <v/>
      </c>
      <c r="K86" s="15" t="inlineStr"/>
      <c r="L86" s="36" t="inlineStr"/>
    </row>
    <row r="87">
      <c r="A87" s="4" t="n">
        <v>38</v>
      </c>
      <c r="B87" s="6">
        <f>IFERROR(INDEX('Watershed plans'!$G$12:$G$19,MATCH(38,'Watershed plans'!$AB$12:$AB$19,0)),"")</f>
        <v/>
      </c>
      <c r="C87" s="10">
        <f>IFERROR(INDEX('Watershed plans'!$B$12:$B$19,MATCH(38,'Watershed plans'!$AB$12:$AB$19,0)),"")</f>
        <v/>
      </c>
      <c r="D87" s="25">
        <f>IFERROR(INDEX('Watershed plans'!$K$12:$K$19,MATCH(38,'Watershed plans'!$AB$12:$AB$19,0)),"")</f>
        <v/>
      </c>
      <c r="E87" s="31">
        <f>IFERROR(INDEX('Watershed plans'!$L$12:$L$19,MATCH(38,'Watershed plans'!$AB$12:$AB$19,0)),"")</f>
        <v/>
      </c>
      <c r="F87" s="30">
        <f>IFERROR(INDEX('Watershed plans'!$J$12:$J$19,MATCH(38,'Watershed plans'!$AB$12:$AB$19,0)),"")</f>
        <v/>
      </c>
      <c r="G87" s="31">
        <f>IFERROR(INDEX('Watershed plans'!$Z$12:$Z$19,MATCH(38,'Watershed plans'!$AB$12:$AB$19,0)),"")</f>
        <v/>
      </c>
      <c r="H87" s="25">
        <f>IF(ISNUMBER(D87),D87-D86,"")</f>
        <v/>
      </c>
      <c r="I87" s="31">
        <f>IF(ISNUMBER(E87),E87-E86,"")</f>
        <v/>
      </c>
      <c r="J87" s="31">
        <f>IF(AND(ISNUMBER(H87),H87&lt;&gt;0),I87/H87,"")</f>
        <v/>
      </c>
      <c r="K87" s="15" t="inlineStr"/>
      <c r="L87" s="36" t="inlineStr"/>
    </row>
    <row r="88">
      <c r="A88" s="4" t="n">
        <v>39</v>
      </c>
      <c r="B88" s="6">
        <f>IFERROR(INDEX('Watershed plans'!$G$12:$G$19,MATCH(39,'Watershed plans'!$AB$12:$AB$19,0)),"")</f>
        <v/>
      </c>
      <c r="C88" s="10">
        <f>IFERROR(INDEX('Watershed plans'!$B$12:$B$19,MATCH(39,'Watershed plans'!$AB$12:$AB$19,0)),"")</f>
        <v/>
      </c>
      <c r="D88" s="25">
        <f>IFERROR(INDEX('Watershed plans'!$K$12:$K$19,MATCH(39,'Watershed plans'!$AB$12:$AB$19,0)),"")</f>
        <v/>
      </c>
      <c r="E88" s="31">
        <f>IFERROR(INDEX('Watershed plans'!$L$12:$L$19,MATCH(39,'Watershed plans'!$AB$12:$AB$19,0)),"")</f>
        <v/>
      </c>
      <c r="F88" s="30">
        <f>IFERROR(INDEX('Watershed plans'!$J$12:$J$19,MATCH(39,'Watershed plans'!$AB$12:$AB$19,0)),"")</f>
        <v/>
      </c>
      <c r="G88" s="31">
        <f>IFERROR(INDEX('Watershed plans'!$Z$12:$Z$19,MATCH(39,'Watershed plans'!$AB$12:$AB$19,0)),"")</f>
        <v/>
      </c>
      <c r="H88" s="25">
        <f>IF(ISNUMBER(D88),D88-D87,"")</f>
        <v/>
      </c>
      <c r="I88" s="31">
        <f>IF(ISNUMBER(E88),E88-E87,"")</f>
        <v/>
      </c>
      <c r="J88" s="31">
        <f>IF(AND(ISNUMBER(H88),H88&lt;&gt;0),I88/H88,"")</f>
        <v/>
      </c>
      <c r="K88" s="15" t="inlineStr"/>
      <c r="L88" s="36" t="inlineStr"/>
    </row>
    <row r="89">
      <c r="A89" s="4" t="n">
        <v>40</v>
      </c>
      <c r="B89" s="6">
        <f>IFERROR(INDEX('Watershed plans'!$G$12:$G$19,MATCH(40,'Watershed plans'!$AB$12:$AB$19,0)),"")</f>
        <v/>
      </c>
      <c r="C89" s="10">
        <f>IFERROR(INDEX('Watershed plans'!$B$12:$B$19,MATCH(40,'Watershed plans'!$AB$12:$AB$19,0)),"")</f>
        <v/>
      </c>
      <c r="D89" s="25">
        <f>IFERROR(INDEX('Watershed plans'!$K$12:$K$19,MATCH(40,'Watershed plans'!$AB$12:$AB$19,0)),"")</f>
        <v/>
      </c>
      <c r="E89" s="31">
        <f>IFERROR(INDEX('Watershed plans'!$L$12:$L$19,MATCH(40,'Watershed plans'!$AB$12:$AB$19,0)),"")</f>
        <v/>
      </c>
      <c r="F89" s="30">
        <f>IFERROR(INDEX('Watershed plans'!$J$12:$J$19,MATCH(40,'Watershed plans'!$AB$12:$AB$19,0)),"")</f>
        <v/>
      </c>
      <c r="G89" s="31">
        <f>IFERROR(INDEX('Watershed plans'!$Z$12:$Z$19,MATCH(40,'Watershed plans'!$AB$12:$AB$19,0)),"")</f>
        <v/>
      </c>
      <c r="H89" s="25">
        <f>IF(ISNUMBER(D89),D89-D88,"")</f>
        <v/>
      </c>
      <c r="I89" s="31">
        <f>IF(ISNUMBER(E89),E89-E88,"")</f>
        <v/>
      </c>
      <c r="J89" s="31">
        <f>IF(AND(ISNUMBER(H89),H89&lt;&gt;0),I89/H89,"")</f>
        <v/>
      </c>
      <c r="K89" s="15" t="inlineStr"/>
      <c r="L89" s="36" t="inlineStr"/>
    </row>
    <row r="92">
      <c r="A92" s="7" t="inlineStr">
        <is>
          <t>Tentatively selected plan</t>
        </is>
      </c>
    </row>
    <row r="93">
      <c r="A93" s="4" t="inlineStr">
        <is>
          <t>Plan number</t>
        </is>
      </c>
      <c r="B93" s="14" t="n"/>
    </row>
    <row r="94">
      <c r="A94" s="4" t="inlineStr">
        <is>
          <t>Plan</t>
        </is>
      </c>
      <c r="B94" s="10">
        <f>IFERROR(INDEX('Watershed plans'!$B$12:$B$19,MATCH($B$93,'Watershed plans'!$G$12:$G$19,0)),"n/a")</f>
        <v/>
      </c>
    </row>
    <row r="95">
      <c r="A95" s="4" t="inlineStr">
        <is>
          <t>Lift (AACU)</t>
        </is>
      </c>
      <c r="B95" s="25">
        <f>IFERROR(INDEX('Watershed plans'!$K$12:$K$19,MATCH($B$93,'Watershed plans'!$G$12:$G$19,0)),"n/a")</f>
        <v/>
      </c>
    </row>
    <row r="96">
      <c r="A96" s="4" t="inlineStr">
        <is>
          <t>Average annual cost</t>
        </is>
      </c>
      <c r="B96" s="31">
        <f>IFERROR(INDEX('Watershed plans'!$L$12:$L$19,MATCH($B$93,'Watershed plans'!$G$12:$G$19,0)),"n/a")</f>
        <v/>
      </c>
    </row>
    <row r="97">
      <c r="A97" s="4" t="inlineStr">
        <is>
          <t>Construction cost</t>
        </is>
      </c>
      <c r="B97" s="30">
        <f>IFERROR(INDEX('Watershed plans'!$J$12:$J$19,MATCH($B$93,'Watershed plans'!$G$12:$G$19,0)),"n/a")</f>
        <v/>
      </c>
    </row>
    <row r="98">
      <c r="A98" s="4" t="inlineStr">
        <is>
          <t>Unit cost</t>
        </is>
      </c>
      <c r="B98" s="31">
        <f>IFERROR(INDEX('Watershed plans'!$Z$12:$Z$19,MATCH($B$93,'Watershed plans'!$G$12:$G$19,0)),"n/a")</f>
        <v/>
      </c>
    </row>
    <row r="99">
      <c r="A99" s="4" t="inlineStr">
        <is>
          <t>In the final array</t>
        </is>
      </c>
      <c r="B99" s="10">
        <f>IFERROR(INDEX('Watershed plans'!$AA$12:$AA$19,MATCH($B$93,'Watershed plans'!$G$12:$G$19,0)),"n/a")</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K50:L89">
    <cfRule type="expression" priority="1" dxfId="0" stopIfTrue="0">
      <formula>K50&lt;&gt;'snap Watershed summary'!K50</formula>
    </cfRule>
  </conditionalFormatting>
  <conditionalFormatting sqref="B93">
    <cfRule type="expression" priority="2" dxfId="0" stopIfTrue="0">
      <formula>B93&lt;&gt;'snap Watershed summary'!B93</formula>
    </cfRule>
  </conditionalFormatting>
  <dataValidations count="2">
    <dataValidation sqref="K51:K89" showDropDown="0" showInputMessage="0" showErrorMessage="0" allowBlank="1" type="list">
      <formula1>"Yes,No"</formula1>
    </dataValidation>
    <dataValidation sqref="B93" showDropDown="0" showInputMessage="0" showErrorMessage="0" allowBlank="1" type="list">
      <formula1>='Watershed summary'!$B$50:$B$89</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9" customWidth="1" style="8" min="1" max="1"/>
    <col width="16" customWidth="1" style="8" min="2" max="2"/>
    <col width="20" customWidth="1" style="8" min="3" max="3"/>
    <col width="22" customWidth="1" style="8" min="4" max="4"/>
  </cols>
  <sheetData>
    <row r="1">
      <c r="A1" s="1" t="inlineStr">
        <is>
          <t>IWR Planning Suite II input</t>
        </is>
      </c>
    </row>
    <row r="2">
      <c r="A2" s="2" t="inlineStr">
        <is>
          <t>Paste-ready plan, output and cost columns for an independent re-run in IWR Planning Suite II (user-entered planning set; No Action is the first plan).</t>
        </is>
      </c>
    </row>
    <row r="4">
      <c r="A4" s="7" t="inlineStr">
        <is>
          <t>Site planning sets</t>
        </is>
      </c>
    </row>
    <row r="5">
      <c r="A5" s="12" t="inlineStr">
        <is>
          <t>Site</t>
        </is>
      </c>
      <c r="B5" s="12" t="inlineStr">
        <is>
          <t>Plan</t>
        </is>
      </c>
      <c r="C5" s="12" t="inlineStr">
        <is>
          <t>Output (AACU above No Action)</t>
        </is>
      </c>
      <c r="D5" s="12" t="inlineStr">
        <is>
          <t>Cost (average annual, above No Action)</t>
        </is>
      </c>
    </row>
    <row r="6">
      <c r="A6" s="4" t="inlineStr">
        <is>
          <t>R1</t>
        </is>
      </c>
      <c r="B6" s="4" t="inlineStr">
        <is>
          <t>FWOP</t>
        </is>
      </c>
      <c r="C6" s="25">
        <f>'Site CE-ICA'!I6/10^in_out_dp</f>
        <v/>
      </c>
      <c r="D6" s="31">
        <f>'Site CE-ICA'!J6/10^in_cost_dp</f>
        <v/>
      </c>
    </row>
    <row r="7">
      <c r="A7" s="4" t="inlineStr">
        <is>
          <t>R1</t>
        </is>
      </c>
      <c r="B7" s="4" t="inlineStr">
        <is>
          <t>A1</t>
        </is>
      </c>
      <c r="C7" s="25">
        <f>'Site CE-ICA'!I7/10^in_out_dp</f>
        <v/>
      </c>
      <c r="D7" s="31">
        <f>'Site CE-ICA'!J7/10^in_cost_dp</f>
        <v/>
      </c>
    </row>
    <row r="8">
      <c r="A8" s="4" t="inlineStr">
        <is>
          <t>R1</t>
        </is>
      </c>
      <c r="B8" s="4" t="inlineStr">
        <is>
          <t>A2</t>
        </is>
      </c>
      <c r="C8" s="25">
        <f>'Site CE-ICA'!I8/10^in_out_dp</f>
        <v/>
      </c>
      <c r="D8" s="31">
        <f>'Site CE-ICA'!J8/10^in_cost_dp</f>
        <v/>
      </c>
    </row>
    <row r="9">
      <c r="A9" s="4" t="inlineStr">
        <is>
          <t>R1</t>
        </is>
      </c>
      <c r="B9" s="4" t="inlineStr">
        <is>
          <t>A3</t>
        </is>
      </c>
      <c r="C9" s="25">
        <f>'Site CE-ICA'!I9/10^in_out_dp</f>
        <v/>
      </c>
      <c r="D9" s="31">
        <f>'Site CE-ICA'!J9/10^in_cost_dp</f>
        <v/>
      </c>
    </row>
    <row r="10">
      <c r="A10" s="4" t="inlineStr">
        <is>
          <t>R2</t>
        </is>
      </c>
      <c r="B10" s="4" t="inlineStr">
        <is>
          <t>FWOP</t>
        </is>
      </c>
      <c r="C10" s="25">
        <f>'Site CE-ICA'!I12/10^in_out_dp</f>
        <v/>
      </c>
      <c r="D10" s="31">
        <f>'Site CE-ICA'!J12/10^in_cost_dp</f>
        <v/>
      </c>
    </row>
    <row r="11">
      <c r="A11" s="4" t="inlineStr">
        <is>
          <t>R2</t>
        </is>
      </c>
      <c r="B11" s="4" t="inlineStr">
        <is>
          <t>A1</t>
        </is>
      </c>
      <c r="C11" s="25">
        <f>'Site CE-ICA'!I13/10^in_out_dp</f>
        <v/>
      </c>
      <c r="D11" s="31">
        <f>'Site CE-ICA'!J13/10^in_cost_dp</f>
        <v/>
      </c>
    </row>
    <row r="12">
      <c r="A12" s="4" t="inlineStr">
        <is>
          <t>R2</t>
        </is>
      </c>
      <c r="B12" s="4" t="inlineStr">
        <is>
          <t>A2</t>
        </is>
      </c>
      <c r="C12" s="25">
        <f>'Site CE-ICA'!I14/10^in_out_dp</f>
        <v/>
      </c>
      <c r="D12" s="31">
        <f>'Site CE-ICA'!J14/10^in_cost_dp</f>
        <v/>
      </c>
    </row>
    <row r="13">
      <c r="A13" s="4" t="inlineStr">
        <is>
          <t>R3</t>
        </is>
      </c>
      <c r="B13" s="4" t="inlineStr">
        <is>
          <t>FWOP</t>
        </is>
      </c>
      <c r="C13" s="25">
        <f>'Site CE-ICA'!I17/10^in_out_dp</f>
        <v/>
      </c>
      <c r="D13" s="31">
        <f>'Site CE-ICA'!J17/10^in_cost_dp</f>
        <v/>
      </c>
    </row>
    <row r="14">
      <c r="A14" s="4" t="inlineStr">
        <is>
          <t>R3</t>
        </is>
      </c>
      <c r="B14" s="4" t="inlineStr">
        <is>
          <t>A1</t>
        </is>
      </c>
      <c r="C14" s="25">
        <f>'Site CE-ICA'!I18/10^in_out_dp</f>
        <v/>
      </c>
      <c r="D14" s="31">
        <f>'Site CE-ICA'!J18/10^in_cost_dp</f>
        <v/>
      </c>
    </row>
    <row r="15">
      <c r="A15" s="4" t="inlineStr">
        <is>
          <t>R3</t>
        </is>
      </c>
      <c r="B15" s="4" t="inlineStr">
        <is>
          <t>A2</t>
        </is>
      </c>
      <c r="C15" s="25">
        <f>'Site CE-ICA'!I19/10^in_out_dp</f>
        <v/>
      </c>
      <c r="D15" s="31">
        <f>'Site CE-ICA'!J19/10^in_cost_dp</f>
        <v/>
      </c>
    </row>
    <row r="17">
      <c r="A17" s="7" t="inlineStr">
        <is>
          <t>Watershed planning set (valid plans)</t>
        </is>
      </c>
    </row>
    <row r="18">
      <c r="A18" s="12" t="inlineStr">
        <is>
          <t>Plan number</t>
        </is>
      </c>
      <c r="B18" s="12" t="inlineStr">
        <is>
          <t>Plan</t>
        </is>
      </c>
      <c r="C18" s="12" t="inlineStr">
        <is>
          <t>Output</t>
        </is>
      </c>
      <c r="D18" s="12" t="inlineStr">
        <is>
          <t>Cost</t>
        </is>
      </c>
    </row>
    <row r="19">
      <c r="A19" s="6">
        <f>'Watershed plans'!G12</f>
        <v/>
      </c>
      <c r="B19" s="10">
        <f>'Watershed plans'!B12</f>
        <v/>
      </c>
      <c r="C19" s="25">
        <f>IF('Watershed plans'!C12=1,'Watershed plans'!K12,"")</f>
        <v/>
      </c>
      <c r="D19" s="31">
        <f>IF('Watershed plans'!C12=1,'Watershed plans'!L12,"")</f>
        <v/>
      </c>
    </row>
    <row r="20">
      <c r="A20" s="6">
        <f>'Watershed plans'!G13</f>
        <v/>
      </c>
      <c r="B20" s="10">
        <f>'Watershed plans'!B13</f>
        <v/>
      </c>
      <c r="C20" s="25">
        <f>IF('Watershed plans'!C13=1,'Watershed plans'!K13,"")</f>
        <v/>
      </c>
      <c r="D20" s="31">
        <f>IF('Watershed plans'!C13=1,'Watershed plans'!L13,"")</f>
        <v/>
      </c>
    </row>
    <row r="21">
      <c r="A21" s="6">
        <f>'Watershed plans'!G14</f>
        <v/>
      </c>
      <c r="B21" s="10">
        <f>'Watershed plans'!B14</f>
        <v/>
      </c>
      <c r="C21" s="25">
        <f>IF('Watershed plans'!C14=1,'Watershed plans'!K14,"")</f>
        <v/>
      </c>
      <c r="D21" s="31">
        <f>IF('Watershed plans'!C14=1,'Watershed plans'!L14,"")</f>
        <v/>
      </c>
    </row>
    <row r="22">
      <c r="A22" s="6">
        <f>'Watershed plans'!G15</f>
        <v/>
      </c>
      <c r="B22" s="10">
        <f>'Watershed plans'!B15</f>
        <v/>
      </c>
      <c r="C22" s="25">
        <f>IF('Watershed plans'!C15=1,'Watershed plans'!K15,"")</f>
        <v/>
      </c>
      <c r="D22" s="31">
        <f>IF('Watershed plans'!C15=1,'Watershed plans'!L15,"")</f>
        <v/>
      </c>
    </row>
    <row r="23">
      <c r="A23" s="6">
        <f>'Watershed plans'!G16</f>
        <v/>
      </c>
      <c r="B23" s="10">
        <f>'Watershed plans'!B16</f>
        <v/>
      </c>
      <c r="C23" s="25">
        <f>IF('Watershed plans'!C16=1,'Watershed plans'!K16,"")</f>
        <v/>
      </c>
      <c r="D23" s="31">
        <f>IF('Watershed plans'!C16=1,'Watershed plans'!L16,"")</f>
        <v/>
      </c>
    </row>
    <row r="24">
      <c r="A24" s="6">
        <f>'Watershed plans'!G17</f>
        <v/>
      </c>
      <c r="B24" s="10">
        <f>'Watershed plans'!B17</f>
        <v/>
      </c>
      <c r="C24" s="25">
        <f>IF('Watershed plans'!C17=1,'Watershed plans'!K17,"")</f>
        <v/>
      </c>
      <c r="D24" s="31">
        <f>IF('Watershed plans'!C17=1,'Watershed plans'!L17,"")</f>
        <v/>
      </c>
    </row>
    <row r="25">
      <c r="A25" s="6">
        <f>'Watershed plans'!G18</f>
        <v/>
      </c>
      <c r="B25" s="10">
        <f>'Watershed plans'!B18</f>
        <v/>
      </c>
      <c r="C25" s="25">
        <f>IF('Watershed plans'!C18=1,'Watershed plans'!K18,"")</f>
        <v/>
      </c>
      <c r="D25" s="31">
        <f>IF('Watershed plans'!C18=1,'Watershed plans'!L18,"")</f>
        <v/>
      </c>
    </row>
    <row r="26">
      <c r="A26" s="6">
        <f>'Watershed plans'!G19</f>
        <v/>
      </c>
      <c r="B26" s="10">
        <f>'Watershed plans'!B19</f>
        <v/>
      </c>
      <c r="C26" s="25">
        <f>IF('Watershed plans'!C19=1,'Watershed plans'!K19,"")</f>
        <v/>
      </c>
      <c r="D26" s="31">
        <f>IF('Watershed plans'!C19=1,'Watershed plans'!L19,"")</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1"/>
  <sheetViews>
    <sheetView showGridLines="0" workbookViewId="0">
      <selection activeCell="A1" sqref="A1"/>
    </sheetView>
  </sheetViews>
  <sheetFormatPr baseColWidth="8" defaultRowHeight="15"/>
  <cols>
    <col width="13" customWidth="1" style="8" min="1" max="1"/>
    <col width="13" customWidth="1" style="8" min="2" max="2"/>
    <col width="13" customWidth="1" style="8" min="3" max="3"/>
    <col width="13" customWidth="1" style="8" min="4" max="4"/>
    <col width="13" customWidth="1" style="8" min="5" max="5"/>
    <col width="13" customWidth="1" style="8" min="6" max="6"/>
    <col width="13" customWidth="1" style="8" min="7" max="7"/>
    <col width="13" customWidth="1" style="8" min="8" max="8"/>
    <col width="10" customWidth="1" style="8" min="11" max="11"/>
  </cols>
  <sheetData>
    <row r="1">
      <c r="A1" s="1" t="inlineStr">
        <is>
          <t>Charts: watershed cost-effectiveness and incremental cost</t>
        </is>
      </c>
    </row>
    <row r="2">
      <c r="A2" s="2" t="inlineStr">
        <is>
          <t>Built from the watershed plans sheet; they update with the inputs.</t>
        </is>
      </c>
    </row>
    <row r="30">
      <c r="A30" s="12" t="inlineStr">
        <is>
          <t>All plans: lift</t>
        </is>
      </c>
      <c r="B30" s="12" t="inlineStr">
        <is>
          <t>All plans: cost</t>
        </is>
      </c>
      <c r="C30" s="12" t="inlineStr">
        <is>
          <t>Frontier: lift</t>
        </is>
      </c>
      <c r="D30" s="12" t="inlineStr">
        <is>
          <t>Frontier: cost</t>
        </is>
      </c>
      <c r="E30" s="12" t="inlineStr">
        <is>
          <t>Best buys: lift</t>
        </is>
      </c>
      <c r="F30" s="12" t="inlineStr">
        <is>
          <t>Best buys: cost</t>
        </is>
      </c>
      <c r="G30" s="12" t="inlineStr">
        <is>
          <t>Steps: output</t>
        </is>
      </c>
      <c r="H30" s="12" t="inlineStr">
        <is>
          <t>Steps: incremental cost</t>
        </is>
      </c>
      <c r="K30" s="12" t="inlineStr">
        <is>
          <t>(frontier order)</t>
        </is>
      </c>
    </row>
    <row r="31">
      <c r="A31" s="25">
        <f>IF('Watershed plans'!C12=1,'Watershed plans'!K12,NA())</f>
        <v/>
      </c>
      <c r="B31" s="30">
        <f>IF('Watershed plans'!C12=1,'Watershed plans'!L12,NA())</f>
        <v/>
      </c>
      <c r="C31" s="25">
        <f>IFERROR(INDEX('Watershed plans'!$K$12:$K$19,MATCH(1,$K$31:$K$38,0)),NA())</f>
        <v/>
      </c>
      <c r="D31" s="30">
        <f>IFERROR(INDEX('Watershed plans'!$L$12:$L$19,MATCH(1,$K$31:$K$38,0)),NA())</f>
        <v/>
      </c>
      <c r="E31" s="25">
        <f>IFERROR(INDEX('Watershed plans'!$K$12:$K$19,MATCH(1,'Watershed plans'!$T$12:$T$19,0)),NA())</f>
        <v/>
      </c>
      <c r="F31" s="30">
        <f>IFERROR(INDEX('Watershed plans'!$L$12:$L$19,MATCH(1,'Watershed plans'!$T$12:$T$19,0)),NA())</f>
        <v/>
      </c>
      <c r="G31" s="25">
        <f>E31</f>
        <v/>
      </c>
      <c r="H31" s="30">
        <f>IFERROR(INDEX('Watershed plans'!$Y$12:$Y$19,MATCH(2,'Watershed plans'!$T$12:$T$19,0)),NA())</f>
        <v/>
      </c>
      <c r="K31" s="10">
        <f>IF('Watershed plans'!O12=1,1+SUMPRODUCT('Watershed plans'!$O$12:$O$19*(('Watershed plans'!$H$12:$H$19&lt;'Watershed plans'!H12)+('Watershed plans'!$H$12:$H$19='Watershed plans'!H12)*('Watershed plans'!$A$12:$A$19&lt;'Watershed plans'!A12))),0)</f>
        <v/>
      </c>
    </row>
    <row r="32">
      <c r="A32" s="25">
        <f>IF('Watershed plans'!C13=1,'Watershed plans'!K13,NA())</f>
        <v/>
      </c>
      <c r="B32" s="30">
        <f>IF('Watershed plans'!C13=1,'Watershed plans'!L13,NA())</f>
        <v/>
      </c>
      <c r="C32" s="25">
        <f>IFERROR(INDEX('Watershed plans'!$K$12:$K$19,MATCH(2,$K$31:$K$38,0)),NA())</f>
        <v/>
      </c>
      <c r="D32" s="30">
        <f>IFERROR(INDEX('Watershed plans'!$L$12:$L$19,MATCH(2,$K$31:$K$38,0)),NA())</f>
        <v/>
      </c>
      <c r="E32" s="25">
        <f>IFERROR(INDEX('Watershed plans'!$K$12:$K$19,MATCH(2,'Watershed plans'!$T$12:$T$19,0)),NA())</f>
        <v/>
      </c>
      <c r="F32" s="30">
        <f>IFERROR(INDEX('Watershed plans'!$L$12:$L$19,MATCH(2,'Watershed plans'!$T$12:$T$19,0)),NA())</f>
        <v/>
      </c>
      <c r="G32" s="25">
        <f>E32</f>
        <v/>
      </c>
      <c r="H32" s="30">
        <f>IFERROR(INDEX('Watershed plans'!$Y$12:$Y$19,MATCH(2,'Watershed plans'!$T$12:$T$19,0)),NA())</f>
        <v/>
      </c>
      <c r="K32" s="10">
        <f>IF('Watershed plans'!O13=1,1+SUMPRODUCT('Watershed plans'!$O$12:$O$19*(('Watershed plans'!$H$12:$H$19&lt;'Watershed plans'!H13)+('Watershed plans'!$H$12:$H$19='Watershed plans'!H13)*('Watershed plans'!$A$12:$A$19&lt;'Watershed plans'!A13))),0)</f>
        <v/>
      </c>
    </row>
    <row r="33">
      <c r="A33" s="25">
        <f>IF('Watershed plans'!C14=1,'Watershed plans'!K14,NA())</f>
        <v/>
      </c>
      <c r="B33" s="30">
        <f>IF('Watershed plans'!C14=1,'Watershed plans'!L14,NA())</f>
        <v/>
      </c>
      <c r="C33" s="25">
        <f>IFERROR(INDEX('Watershed plans'!$K$12:$K$19,MATCH(3,$K$31:$K$38,0)),NA())</f>
        <v/>
      </c>
      <c r="D33" s="30">
        <f>IFERROR(INDEX('Watershed plans'!$L$12:$L$19,MATCH(3,$K$31:$K$38,0)),NA())</f>
        <v/>
      </c>
      <c r="E33" s="25">
        <f>IFERROR(INDEX('Watershed plans'!$K$12:$K$19,MATCH(3,'Watershed plans'!$T$12:$T$19,0)),NA())</f>
        <v/>
      </c>
      <c r="F33" s="30">
        <f>IFERROR(INDEX('Watershed plans'!$L$12:$L$19,MATCH(3,'Watershed plans'!$T$12:$T$19,0)),NA())</f>
        <v/>
      </c>
      <c r="G33" s="10">
        <f>NA()</f>
        <v/>
      </c>
      <c r="H33" s="10">
        <f>NA()</f>
        <v/>
      </c>
      <c r="K33" s="10">
        <f>IF('Watershed plans'!O14=1,1+SUMPRODUCT('Watershed plans'!$O$12:$O$19*(('Watershed plans'!$H$12:$H$19&lt;'Watershed plans'!H14)+('Watershed plans'!$H$12:$H$19='Watershed plans'!H14)*('Watershed plans'!$A$12:$A$19&lt;'Watershed plans'!A14))),0)</f>
        <v/>
      </c>
    </row>
    <row r="34">
      <c r="A34" s="25">
        <f>IF('Watershed plans'!C15=1,'Watershed plans'!K15,NA())</f>
        <v/>
      </c>
      <c r="B34" s="30">
        <f>IF('Watershed plans'!C15=1,'Watershed plans'!L15,NA())</f>
        <v/>
      </c>
      <c r="C34" s="25">
        <f>IFERROR(INDEX('Watershed plans'!$K$12:$K$19,MATCH(4,$K$31:$K$38,0)),NA())</f>
        <v/>
      </c>
      <c r="D34" s="30">
        <f>IFERROR(INDEX('Watershed plans'!$L$12:$L$19,MATCH(4,$K$31:$K$38,0)),NA())</f>
        <v/>
      </c>
      <c r="E34" s="25">
        <f>IFERROR(INDEX('Watershed plans'!$K$12:$K$19,MATCH(4,'Watershed plans'!$T$12:$T$19,0)),NA())</f>
        <v/>
      </c>
      <c r="F34" s="30">
        <f>IFERROR(INDEX('Watershed plans'!$L$12:$L$19,MATCH(4,'Watershed plans'!$T$12:$T$19,0)),NA())</f>
        <v/>
      </c>
      <c r="G34" s="25">
        <f>E32</f>
        <v/>
      </c>
      <c r="H34" s="30">
        <f>IFERROR(INDEX('Watershed plans'!$Y$12:$Y$19,MATCH(3,'Watershed plans'!$T$12:$T$19,0)),NA())</f>
        <v/>
      </c>
      <c r="K34" s="10">
        <f>IF('Watershed plans'!O15=1,1+SUMPRODUCT('Watershed plans'!$O$12:$O$19*(('Watershed plans'!$H$12:$H$19&lt;'Watershed plans'!H15)+('Watershed plans'!$H$12:$H$19='Watershed plans'!H15)*('Watershed plans'!$A$12:$A$19&lt;'Watershed plans'!A15))),0)</f>
        <v/>
      </c>
    </row>
    <row r="35">
      <c r="A35" s="25">
        <f>IF('Watershed plans'!C16=1,'Watershed plans'!K16,NA())</f>
        <v/>
      </c>
      <c r="B35" s="30">
        <f>IF('Watershed plans'!C16=1,'Watershed plans'!L16,NA())</f>
        <v/>
      </c>
      <c r="C35" s="25">
        <f>IFERROR(INDEX('Watershed plans'!$K$12:$K$19,MATCH(5,$K$31:$K$38,0)),NA())</f>
        <v/>
      </c>
      <c r="D35" s="30">
        <f>IFERROR(INDEX('Watershed plans'!$L$12:$L$19,MATCH(5,$K$31:$K$38,0)),NA())</f>
        <v/>
      </c>
      <c r="E35" s="25">
        <f>IFERROR(INDEX('Watershed plans'!$K$12:$K$19,MATCH(5,'Watershed plans'!$T$12:$T$19,0)),NA())</f>
        <v/>
      </c>
      <c r="F35" s="30">
        <f>IFERROR(INDEX('Watershed plans'!$L$12:$L$19,MATCH(5,'Watershed plans'!$T$12:$T$19,0)),NA())</f>
        <v/>
      </c>
      <c r="G35" s="25">
        <f>E33</f>
        <v/>
      </c>
      <c r="H35" s="30">
        <f>IFERROR(INDEX('Watershed plans'!$Y$12:$Y$19,MATCH(3,'Watershed plans'!$T$12:$T$19,0)),NA())</f>
        <v/>
      </c>
      <c r="K35" s="10">
        <f>IF('Watershed plans'!O16=1,1+SUMPRODUCT('Watershed plans'!$O$12:$O$19*(('Watershed plans'!$H$12:$H$19&lt;'Watershed plans'!H16)+('Watershed plans'!$H$12:$H$19='Watershed plans'!H16)*('Watershed plans'!$A$12:$A$19&lt;'Watershed plans'!A16))),0)</f>
        <v/>
      </c>
    </row>
    <row r="36">
      <c r="A36" s="25">
        <f>IF('Watershed plans'!C17=1,'Watershed plans'!K17,NA())</f>
        <v/>
      </c>
      <c r="B36" s="30">
        <f>IF('Watershed plans'!C17=1,'Watershed plans'!L17,NA())</f>
        <v/>
      </c>
      <c r="C36" s="25">
        <f>IFERROR(INDEX('Watershed plans'!$K$12:$K$19,MATCH(6,$K$31:$K$38,0)),NA())</f>
        <v/>
      </c>
      <c r="D36" s="30">
        <f>IFERROR(INDEX('Watershed plans'!$L$12:$L$19,MATCH(6,$K$31:$K$38,0)),NA())</f>
        <v/>
      </c>
      <c r="E36" s="25">
        <f>IFERROR(INDEX('Watershed plans'!$K$12:$K$19,MATCH(6,'Watershed plans'!$T$12:$T$19,0)),NA())</f>
        <v/>
      </c>
      <c r="F36" s="30">
        <f>IFERROR(INDEX('Watershed plans'!$L$12:$L$19,MATCH(6,'Watershed plans'!$T$12:$T$19,0)),NA())</f>
        <v/>
      </c>
      <c r="G36" s="10">
        <f>NA()</f>
        <v/>
      </c>
      <c r="H36" s="10">
        <f>NA()</f>
        <v/>
      </c>
      <c r="K36" s="10">
        <f>IF('Watershed plans'!O17=1,1+SUMPRODUCT('Watershed plans'!$O$12:$O$19*(('Watershed plans'!$H$12:$H$19&lt;'Watershed plans'!H17)+('Watershed plans'!$H$12:$H$19='Watershed plans'!H17)*('Watershed plans'!$A$12:$A$19&lt;'Watershed plans'!A17))),0)</f>
        <v/>
      </c>
    </row>
    <row r="37">
      <c r="A37" s="25">
        <f>IF('Watershed plans'!C18=1,'Watershed plans'!K18,NA())</f>
        <v/>
      </c>
      <c r="B37" s="30">
        <f>IF('Watershed plans'!C18=1,'Watershed plans'!L18,NA())</f>
        <v/>
      </c>
      <c r="C37" s="25">
        <f>IFERROR(INDEX('Watershed plans'!$K$12:$K$19,MATCH(7,$K$31:$K$38,0)),NA())</f>
        <v/>
      </c>
      <c r="D37" s="30">
        <f>IFERROR(INDEX('Watershed plans'!$L$12:$L$19,MATCH(7,$K$31:$K$38,0)),NA())</f>
        <v/>
      </c>
      <c r="E37" s="25">
        <f>IFERROR(INDEX('Watershed plans'!$K$12:$K$19,MATCH(7,'Watershed plans'!$T$12:$T$19,0)),NA())</f>
        <v/>
      </c>
      <c r="F37" s="30">
        <f>IFERROR(INDEX('Watershed plans'!$L$12:$L$19,MATCH(7,'Watershed plans'!$T$12:$T$19,0)),NA())</f>
        <v/>
      </c>
      <c r="G37" s="25">
        <f>E33</f>
        <v/>
      </c>
      <c r="H37" s="30">
        <f>IFERROR(INDEX('Watershed plans'!$Y$12:$Y$19,MATCH(4,'Watershed plans'!$T$12:$T$19,0)),NA())</f>
        <v/>
      </c>
      <c r="K37" s="10">
        <f>IF('Watershed plans'!O18=1,1+SUMPRODUCT('Watershed plans'!$O$12:$O$19*(('Watershed plans'!$H$12:$H$19&lt;'Watershed plans'!H18)+('Watershed plans'!$H$12:$H$19='Watershed plans'!H18)*('Watershed plans'!$A$12:$A$19&lt;'Watershed plans'!A18))),0)</f>
        <v/>
      </c>
    </row>
    <row r="38">
      <c r="A38" s="25">
        <f>IF('Watershed plans'!C19=1,'Watershed plans'!K19,NA())</f>
        <v/>
      </c>
      <c r="B38" s="30">
        <f>IF('Watershed plans'!C19=1,'Watershed plans'!L19,NA())</f>
        <v/>
      </c>
      <c r="C38" s="25">
        <f>IFERROR(INDEX('Watershed plans'!$K$12:$K$19,MATCH(8,$K$31:$K$38,0)),NA())</f>
        <v/>
      </c>
      <c r="D38" s="30">
        <f>IFERROR(INDEX('Watershed plans'!$L$12:$L$19,MATCH(8,$K$31:$K$38,0)),NA())</f>
        <v/>
      </c>
      <c r="E38" s="25">
        <f>IFERROR(INDEX('Watershed plans'!$K$12:$K$19,MATCH(8,'Watershed plans'!$T$12:$T$19,0)),NA())</f>
        <v/>
      </c>
      <c r="F38" s="30">
        <f>IFERROR(INDEX('Watershed plans'!$L$12:$L$19,MATCH(8,'Watershed plans'!$T$12:$T$19,0)),NA())</f>
        <v/>
      </c>
      <c r="G38" s="25">
        <f>E34</f>
        <v/>
      </c>
      <c r="H38" s="30">
        <f>IFERROR(INDEX('Watershed plans'!$Y$12:$Y$19,MATCH(4,'Watershed plans'!$T$12:$T$19,0)),NA())</f>
        <v/>
      </c>
      <c r="K38" s="10">
        <f>IF('Watershed plans'!O19=1,1+SUMPRODUCT('Watershed plans'!$O$12:$O$19*(('Watershed plans'!$H$12:$H$19&lt;'Watershed plans'!H19)+('Watershed plans'!$H$12:$H$19='Watershed plans'!H19)*('Watershed plans'!$A$12:$A$19&lt;'Watershed plans'!A19))),0)</f>
        <v/>
      </c>
    </row>
    <row r="39">
      <c r="G39" s="10">
        <f>NA()</f>
        <v/>
      </c>
      <c r="H39" s="10">
        <f>NA()</f>
        <v/>
      </c>
    </row>
    <row r="40">
      <c r="G40" s="25">
        <f>E34</f>
        <v/>
      </c>
      <c r="H40" s="30">
        <f>IFERROR(INDEX('Watershed plans'!$Y$12:$Y$19,MATCH(5,'Watershed plans'!$T$12:$T$19,0)),NA())</f>
        <v/>
      </c>
    </row>
    <row r="41">
      <c r="G41" s="25">
        <f>E35</f>
        <v/>
      </c>
      <c r="H41" s="30">
        <f>IFERROR(INDEX('Watershed plans'!$Y$12:$Y$19,MATCH(5,'Watershed plans'!$T$12:$T$19,0)),NA())</f>
        <v/>
      </c>
    </row>
    <row r="42">
      <c r="G42" s="10">
        <f>NA()</f>
        <v/>
      </c>
      <c r="H42" s="10">
        <f>NA()</f>
        <v/>
      </c>
    </row>
    <row r="43">
      <c r="G43" s="25">
        <f>E35</f>
        <v/>
      </c>
      <c r="H43" s="30">
        <f>IFERROR(INDEX('Watershed plans'!$Y$12:$Y$19,MATCH(6,'Watershed plans'!$T$12:$T$19,0)),NA())</f>
        <v/>
      </c>
    </row>
    <row r="44">
      <c r="G44" s="25">
        <f>E36</f>
        <v/>
      </c>
      <c r="H44" s="30">
        <f>IFERROR(INDEX('Watershed plans'!$Y$12:$Y$19,MATCH(6,'Watershed plans'!$T$12:$T$19,0)),NA())</f>
        <v/>
      </c>
    </row>
    <row r="45">
      <c r="G45" s="10">
        <f>NA()</f>
        <v/>
      </c>
      <c r="H45" s="10">
        <f>NA()</f>
        <v/>
      </c>
    </row>
    <row r="46">
      <c r="G46" s="25">
        <f>E36</f>
        <v/>
      </c>
      <c r="H46" s="30">
        <f>IFERROR(INDEX('Watershed plans'!$Y$12:$Y$19,MATCH(7,'Watershed plans'!$T$12:$T$19,0)),NA())</f>
        <v/>
      </c>
    </row>
    <row r="47">
      <c r="G47" s="25">
        <f>E37</f>
        <v/>
      </c>
      <c r="H47" s="30">
        <f>IFERROR(INDEX('Watershed plans'!$Y$12:$Y$19,MATCH(7,'Watershed plans'!$T$12:$T$19,0)),NA())</f>
        <v/>
      </c>
    </row>
    <row r="48">
      <c r="G48" s="10">
        <f>NA()</f>
        <v/>
      </c>
      <c r="H48" s="10">
        <f>NA()</f>
        <v/>
      </c>
    </row>
    <row r="49">
      <c r="G49" s="25">
        <f>E37</f>
        <v/>
      </c>
      <c r="H49" s="30">
        <f>IFERROR(INDEX('Watershed plans'!$Y$12:$Y$19,MATCH(8,'Watershed plans'!$T$12:$T$19,0)),NA())</f>
        <v/>
      </c>
    </row>
    <row r="50">
      <c r="G50" s="25">
        <f>E38</f>
        <v/>
      </c>
      <c r="H50" s="30">
        <f>IFERROR(INDEX('Watershed plans'!$Y$12:$Y$19,MATCH(8,'Watershed plans'!$T$12:$T$19,0)),NA())</f>
        <v/>
      </c>
    </row>
    <row r="51">
      <c r="G51" s="10">
        <f>NA()</f>
        <v/>
      </c>
      <c r="H51" s="10">
        <f>NA()</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B4:G14"/>
  <sheetViews>
    <sheetView workbookViewId="0">
      <selection activeCell="A1" sqref="A1"/>
    </sheetView>
  </sheetViews>
  <sheetFormatPr baseColWidth="8" defaultRowHeight="15"/>
  <sheetData>
    <row r="4">
      <c r="B4" t="n">
        <v>0.03</v>
      </c>
    </row>
    <row r="5">
      <c r="B5" t="n">
        <v>50</v>
      </c>
    </row>
    <row r="6">
      <c r="B6" t="n">
        <v>12</v>
      </c>
    </row>
    <row r="7">
      <c r="B7" t="inlineStr">
        <is>
          <t>END</t>
        </is>
      </c>
    </row>
    <row r="8">
      <c r="B8" t="inlineStr">
        <is>
          <t>END_OF_YEAR</t>
        </is>
      </c>
    </row>
    <row r="9">
      <c r="B9" t="n">
        <v>2</v>
      </c>
    </row>
    <row r="10">
      <c r="B10" t="n">
        <v>3</v>
      </c>
    </row>
    <row r="14">
      <c r="B14" t="n">
        <v>0</v>
      </c>
      <c r="C14" t="n">
        <v>1</v>
      </c>
      <c r="D14" t="n">
        <v>5</v>
      </c>
      <c r="E14" t="n">
        <v>10</v>
      </c>
      <c r="F14" t="n">
        <v>25</v>
      </c>
      <c r="G14" t="n">
        <v>50</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6.xml><?xml version="1.0" encoding="utf-8"?>
<worksheet xmlns="http://schemas.openxmlformats.org/spreadsheetml/2006/main">
  <sheetPr>
    <outlinePr summaryBelow="1" summaryRight="1"/>
    <pageSetUpPr/>
  </sheetPr>
  <dimension ref="E10:Y74"/>
  <sheetViews>
    <sheetView workbookViewId="0">
      <selection activeCell="A1" sqref="A1"/>
    </sheetView>
  </sheetViews>
  <sheetFormatPr baseColWidth="8" defaultRowHeight="15"/>
  <sheetData>
    <row r="10">
      <c r="F10" t="n">
        <v>1</v>
      </c>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row>
    <row r="11">
      <c r="F11" t="n">
        <v>1</v>
      </c>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row>
    <row r="12">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0</v>
      </c>
    </row>
    <row r="15">
      <c r="E15" t="n">
        <v>1000</v>
      </c>
      <c r="F15" t="n">
        <v>8</v>
      </c>
      <c r="G15" t="n">
        <v>15</v>
      </c>
      <c r="H15" t="n">
        <v>7</v>
      </c>
      <c r="I15" t="n">
        <v>12</v>
      </c>
      <c r="J15" t="n">
        <v>4</v>
      </c>
      <c r="K15" t="n">
        <v>11</v>
      </c>
      <c r="L15" t="n">
        <v>9</v>
      </c>
      <c r="M15" t="n">
        <v>13</v>
      </c>
      <c r="N15" t="n">
        <v>5</v>
      </c>
      <c r="O15" t="n">
        <v>10</v>
      </c>
      <c r="P15" t="n">
        <v>6</v>
      </c>
      <c r="Q15" t="n">
        <v>5</v>
      </c>
      <c r="R15" t="n">
        <v>12</v>
      </c>
      <c r="S15" t="n">
        <v>13</v>
      </c>
      <c r="T15" t="n">
        <v>13</v>
      </c>
      <c r="U15" t="n">
        <v>10</v>
      </c>
      <c r="V15" t="n">
        <v>2</v>
      </c>
      <c r="W15" t="n">
        <v>3</v>
      </c>
      <c r="X15" t="n">
        <v>4</v>
      </c>
      <c r="Y15" t="n">
        <v>1</v>
      </c>
    </row>
    <row r="16">
      <c r="E16" t="n">
        <v>1000</v>
      </c>
      <c r="F16" t="n">
        <v>8</v>
      </c>
      <c r="G16" t="n">
        <v>15</v>
      </c>
      <c r="H16" t="n">
        <v>7</v>
      </c>
      <c r="I16" t="n">
        <v>12</v>
      </c>
      <c r="J16" t="n">
        <v>4</v>
      </c>
      <c r="K16" t="n">
        <v>11</v>
      </c>
      <c r="L16" t="n">
        <v>9</v>
      </c>
      <c r="M16" t="n">
        <v>13</v>
      </c>
      <c r="N16" t="n">
        <v>5</v>
      </c>
      <c r="O16" t="n">
        <v>10</v>
      </c>
      <c r="P16" t="n">
        <v>6</v>
      </c>
      <c r="Q16" t="n">
        <v>5</v>
      </c>
      <c r="R16" t="n">
        <v>12</v>
      </c>
      <c r="S16" t="n">
        <v>13</v>
      </c>
      <c r="T16" t="n">
        <v>13</v>
      </c>
      <c r="U16" t="n">
        <v>10</v>
      </c>
      <c r="V16" t="n">
        <v>2</v>
      </c>
      <c r="W16" t="n">
        <v>3</v>
      </c>
      <c r="X16" t="n">
        <v>4</v>
      </c>
      <c r="Y16" t="n">
        <v>1</v>
      </c>
    </row>
    <row r="17">
      <c r="E17" t="n">
        <v>1000</v>
      </c>
      <c r="F17" t="n">
        <v>8</v>
      </c>
      <c r="G17" t="n">
        <v>15</v>
      </c>
      <c r="H17" t="n">
        <v>7</v>
      </c>
      <c r="I17" t="n">
        <v>12</v>
      </c>
      <c r="J17" t="n">
        <v>4</v>
      </c>
      <c r="K17" t="n">
        <v>11</v>
      </c>
      <c r="L17" t="n">
        <v>9</v>
      </c>
      <c r="M17" t="n">
        <v>13</v>
      </c>
      <c r="N17" t="n">
        <v>4.9</v>
      </c>
      <c r="O17" t="n">
        <v>10</v>
      </c>
      <c r="P17" t="n">
        <v>6</v>
      </c>
      <c r="Q17" t="n">
        <v>4.9</v>
      </c>
      <c r="R17" t="n">
        <v>12</v>
      </c>
      <c r="S17" t="n">
        <v>13</v>
      </c>
      <c r="T17" t="n">
        <v>13</v>
      </c>
      <c r="U17" t="n">
        <v>10</v>
      </c>
      <c r="V17" t="n">
        <v>2</v>
      </c>
      <c r="W17" t="n">
        <v>2.9</v>
      </c>
      <c r="X17" t="n">
        <v>3.9</v>
      </c>
      <c r="Y17" t="n">
        <v>1</v>
      </c>
    </row>
    <row r="18">
      <c r="E18" t="n">
        <v>1000</v>
      </c>
      <c r="F18" t="n">
        <v>8</v>
      </c>
      <c r="G18" t="n">
        <v>15</v>
      </c>
      <c r="H18" t="n">
        <v>7</v>
      </c>
      <c r="I18" t="n">
        <v>12</v>
      </c>
      <c r="J18" t="n">
        <v>4</v>
      </c>
      <c r="K18" t="n">
        <v>11</v>
      </c>
      <c r="L18" t="n">
        <v>9</v>
      </c>
      <c r="M18" t="n">
        <v>13</v>
      </c>
      <c r="N18" t="n">
        <v>4.8</v>
      </c>
      <c r="O18" t="n">
        <v>10</v>
      </c>
      <c r="P18" t="n">
        <v>6</v>
      </c>
      <c r="Q18" t="n">
        <v>4.8</v>
      </c>
      <c r="R18" t="n">
        <v>12</v>
      </c>
      <c r="S18" t="n">
        <v>13</v>
      </c>
      <c r="T18" t="n">
        <v>13</v>
      </c>
      <c r="U18" t="n">
        <v>10</v>
      </c>
      <c r="V18" t="n">
        <v>2</v>
      </c>
      <c r="W18" t="n">
        <v>2.8</v>
      </c>
      <c r="X18" t="n">
        <v>3.8</v>
      </c>
      <c r="Y18" t="n">
        <v>1</v>
      </c>
    </row>
    <row r="19">
      <c r="E19" t="n">
        <v>1000</v>
      </c>
      <c r="F19" t="n">
        <v>8</v>
      </c>
      <c r="G19" t="n">
        <v>15</v>
      </c>
      <c r="H19" t="n">
        <v>7</v>
      </c>
      <c r="I19" t="n">
        <v>12</v>
      </c>
      <c r="J19" t="n">
        <v>4</v>
      </c>
      <c r="K19" t="n">
        <v>11</v>
      </c>
      <c r="L19" t="n">
        <v>9</v>
      </c>
      <c r="M19" t="n">
        <v>13</v>
      </c>
      <c r="N19" t="n">
        <v>4.5</v>
      </c>
      <c r="O19" t="n">
        <v>10</v>
      </c>
      <c r="P19" t="n">
        <v>6</v>
      </c>
      <c r="Q19" t="n">
        <v>4.5</v>
      </c>
      <c r="R19" t="n">
        <v>12</v>
      </c>
      <c r="S19" t="n">
        <v>13</v>
      </c>
      <c r="T19" t="n">
        <v>13</v>
      </c>
      <c r="U19" t="n">
        <v>10</v>
      </c>
      <c r="V19" t="n">
        <v>2</v>
      </c>
      <c r="W19" t="n">
        <v>2.5</v>
      </c>
      <c r="X19" t="n">
        <v>3.5</v>
      </c>
      <c r="Y19" t="n">
        <v>1</v>
      </c>
    </row>
    <row r="20">
      <c r="E20" t="n">
        <v>1000</v>
      </c>
      <c r="F20" t="n">
        <v>8</v>
      </c>
      <c r="G20" t="n">
        <v>15</v>
      </c>
      <c r="H20" t="n">
        <v>7</v>
      </c>
      <c r="I20" t="n">
        <v>12</v>
      </c>
      <c r="J20" t="n">
        <v>4</v>
      </c>
      <c r="K20" t="n">
        <v>11</v>
      </c>
      <c r="L20" t="n">
        <v>9</v>
      </c>
      <c r="M20" t="n">
        <v>13</v>
      </c>
      <c r="N20" t="n">
        <v>4</v>
      </c>
      <c r="O20" t="n">
        <v>10</v>
      </c>
      <c r="P20" t="n">
        <v>6</v>
      </c>
      <c r="Q20" t="n">
        <v>4</v>
      </c>
      <c r="R20" t="n">
        <v>12</v>
      </c>
      <c r="S20" t="n">
        <v>13</v>
      </c>
      <c r="T20" t="n">
        <v>13</v>
      </c>
      <c r="U20" t="n">
        <v>10</v>
      </c>
      <c r="V20" t="n">
        <v>2</v>
      </c>
      <c r="W20" t="n">
        <v>2</v>
      </c>
      <c r="X20" t="n">
        <v>3</v>
      </c>
      <c r="Y20" t="n">
        <v>1</v>
      </c>
    </row>
    <row r="21">
      <c r="E21" t="n">
        <v>1000</v>
      </c>
      <c r="F21" t="n">
        <v>8</v>
      </c>
      <c r="G21" t="n">
        <v>15</v>
      </c>
      <c r="H21" t="n">
        <v>7</v>
      </c>
      <c r="I21" t="n">
        <v>12</v>
      </c>
      <c r="J21" t="n">
        <v>4</v>
      </c>
      <c r="K21" t="n">
        <v>11</v>
      </c>
      <c r="L21" t="n">
        <v>9</v>
      </c>
      <c r="M21" t="n">
        <v>13</v>
      </c>
      <c r="N21" t="n">
        <v>5</v>
      </c>
      <c r="O21" t="n">
        <v>10</v>
      </c>
      <c r="P21" t="n">
        <v>6</v>
      </c>
      <c r="Q21" t="n">
        <v>5</v>
      </c>
      <c r="R21" t="n">
        <v>12</v>
      </c>
      <c r="S21" t="n">
        <v>13</v>
      </c>
      <c r="T21" t="n">
        <v>13</v>
      </c>
      <c r="U21" t="n">
        <v>10</v>
      </c>
      <c r="V21" t="n">
        <v>2</v>
      </c>
      <c r="W21" t="n">
        <v>3</v>
      </c>
      <c r="X21" t="n">
        <v>4</v>
      </c>
      <c r="Y21" t="n">
        <v>1</v>
      </c>
    </row>
    <row r="22">
      <c r="E22" t="n">
        <v>1000</v>
      </c>
      <c r="F22" t="n">
        <v>8</v>
      </c>
      <c r="G22" t="n">
        <v>15</v>
      </c>
      <c r="H22" t="n">
        <v>7</v>
      </c>
      <c r="I22" t="n">
        <v>12</v>
      </c>
      <c r="J22" t="n">
        <v>4</v>
      </c>
      <c r="K22" t="n">
        <v>11</v>
      </c>
      <c r="L22" t="n">
        <v>9</v>
      </c>
      <c r="M22" t="n">
        <v>13</v>
      </c>
      <c r="N22" t="n">
        <v>5</v>
      </c>
      <c r="O22" t="n">
        <v>10</v>
      </c>
      <c r="P22" t="n">
        <v>6</v>
      </c>
      <c r="Q22" t="n">
        <v>5</v>
      </c>
      <c r="R22" t="n">
        <v>12.2</v>
      </c>
      <c r="S22" t="n">
        <v>13.1</v>
      </c>
      <c r="T22" t="n">
        <v>13.1</v>
      </c>
      <c r="U22" t="n">
        <v>10.2</v>
      </c>
      <c r="V22" t="n">
        <v>2</v>
      </c>
      <c r="W22" t="n">
        <v>3</v>
      </c>
      <c r="X22" t="n">
        <v>4</v>
      </c>
      <c r="Y22" t="n">
        <v>1</v>
      </c>
    </row>
    <row r="23">
      <c r="E23" t="n">
        <v>1000</v>
      </c>
      <c r="F23" t="n">
        <v>8</v>
      </c>
      <c r="G23" t="n">
        <v>15</v>
      </c>
      <c r="H23" t="n">
        <v>7</v>
      </c>
      <c r="I23" t="n">
        <v>12</v>
      </c>
      <c r="J23" t="n">
        <v>4</v>
      </c>
      <c r="K23" t="n">
        <v>11</v>
      </c>
      <c r="L23" t="n">
        <v>9</v>
      </c>
      <c r="M23" t="n">
        <v>13</v>
      </c>
      <c r="N23" t="n">
        <v>4.9</v>
      </c>
      <c r="O23" t="n">
        <v>10</v>
      </c>
      <c r="P23" t="n">
        <v>6</v>
      </c>
      <c r="Q23" t="n">
        <v>4.9</v>
      </c>
      <c r="R23" t="n">
        <v>13</v>
      </c>
      <c r="S23" t="n">
        <v>13.5</v>
      </c>
      <c r="T23" t="n">
        <v>13.5</v>
      </c>
      <c r="U23" t="n">
        <v>11</v>
      </c>
      <c r="V23" t="n">
        <v>2.8</v>
      </c>
      <c r="W23" t="n">
        <v>3.4</v>
      </c>
      <c r="X23" t="n">
        <v>4.4</v>
      </c>
      <c r="Y23" t="n">
        <v>1</v>
      </c>
    </row>
    <row r="24">
      <c r="E24" t="n">
        <v>1000</v>
      </c>
      <c r="F24" t="n">
        <v>8</v>
      </c>
      <c r="G24" t="n">
        <v>15</v>
      </c>
      <c r="H24" t="n">
        <v>7</v>
      </c>
      <c r="I24" t="n">
        <v>12</v>
      </c>
      <c r="J24" t="n">
        <v>4</v>
      </c>
      <c r="K24" t="n">
        <v>11</v>
      </c>
      <c r="L24" t="n">
        <v>9</v>
      </c>
      <c r="M24" t="n">
        <v>13</v>
      </c>
      <c r="N24" t="n">
        <v>4.8</v>
      </c>
      <c r="O24" t="n">
        <v>10</v>
      </c>
      <c r="P24" t="n">
        <v>6</v>
      </c>
      <c r="Q24" t="n">
        <v>4.8</v>
      </c>
      <c r="R24" t="n">
        <v>13.6</v>
      </c>
      <c r="S24" t="n">
        <v>13.8</v>
      </c>
      <c r="T24" t="n">
        <v>13.8</v>
      </c>
      <c r="U24" t="n">
        <v>11.6</v>
      </c>
      <c r="V24" t="n">
        <v>3.4</v>
      </c>
      <c r="W24" t="n">
        <v>3.7</v>
      </c>
      <c r="X24" t="n">
        <v>4.7</v>
      </c>
      <c r="Y24" t="n">
        <v>1</v>
      </c>
    </row>
    <row r="25">
      <c r="E25" t="n">
        <v>1000</v>
      </c>
      <c r="F25" t="n">
        <v>8</v>
      </c>
      <c r="G25" t="n">
        <v>15</v>
      </c>
      <c r="H25" t="n">
        <v>7</v>
      </c>
      <c r="I25" t="n">
        <v>12</v>
      </c>
      <c r="J25" t="n">
        <v>4</v>
      </c>
      <c r="K25" t="n">
        <v>11</v>
      </c>
      <c r="L25" t="n">
        <v>9</v>
      </c>
      <c r="M25" t="n">
        <v>13</v>
      </c>
      <c r="N25" t="n">
        <v>4.5</v>
      </c>
      <c r="O25" t="n">
        <v>10</v>
      </c>
      <c r="P25" t="n">
        <v>6</v>
      </c>
      <c r="Q25" t="n">
        <v>4.5</v>
      </c>
      <c r="R25" t="n">
        <v>14</v>
      </c>
      <c r="S25" t="n">
        <v>14</v>
      </c>
      <c r="T25" t="n">
        <v>14</v>
      </c>
      <c r="U25" t="n">
        <v>12</v>
      </c>
      <c r="V25" t="n">
        <v>4</v>
      </c>
      <c r="W25" t="n">
        <v>4</v>
      </c>
      <c r="X25" t="n">
        <v>5</v>
      </c>
      <c r="Y25" t="n">
        <v>1</v>
      </c>
    </row>
    <row r="26">
      <c r="E26" t="n">
        <v>1000</v>
      </c>
      <c r="F26" t="n">
        <v>8</v>
      </c>
      <c r="G26" t="n">
        <v>15</v>
      </c>
      <c r="H26" t="n">
        <v>7</v>
      </c>
      <c r="I26" t="n">
        <v>12</v>
      </c>
      <c r="J26" t="n">
        <v>4</v>
      </c>
      <c r="K26" t="n">
        <v>11</v>
      </c>
      <c r="L26" t="n">
        <v>9</v>
      </c>
      <c r="M26" t="n">
        <v>13</v>
      </c>
      <c r="N26" t="n">
        <v>4</v>
      </c>
      <c r="O26" t="n">
        <v>10</v>
      </c>
      <c r="P26" t="n">
        <v>6</v>
      </c>
      <c r="Q26" t="n">
        <v>4</v>
      </c>
      <c r="R26" t="n">
        <v>14</v>
      </c>
      <c r="S26" t="n">
        <v>14</v>
      </c>
      <c r="T26" t="n">
        <v>14</v>
      </c>
      <c r="U26" t="n">
        <v>12</v>
      </c>
      <c r="V26" t="n">
        <v>4</v>
      </c>
      <c r="W26" t="n">
        <v>4</v>
      </c>
      <c r="X26" t="n">
        <v>5</v>
      </c>
      <c r="Y26" t="n">
        <v>1</v>
      </c>
    </row>
    <row r="27">
      <c r="E27" t="n">
        <v>1000</v>
      </c>
      <c r="F27" t="n">
        <v>8</v>
      </c>
      <c r="G27" t="n">
        <v>15</v>
      </c>
      <c r="H27" t="n">
        <v>7</v>
      </c>
      <c r="I27" t="n">
        <v>12</v>
      </c>
      <c r="J27" t="n">
        <v>4</v>
      </c>
      <c r="K27" t="n">
        <v>11</v>
      </c>
      <c r="L27" t="n">
        <v>9</v>
      </c>
      <c r="M27" t="n">
        <v>13</v>
      </c>
      <c r="N27" t="n">
        <v>5</v>
      </c>
      <c r="O27" t="n">
        <v>10</v>
      </c>
      <c r="P27" t="n">
        <v>6</v>
      </c>
      <c r="Q27" t="n">
        <v>5</v>
      </c>
      <c r="R27" t="n">
        <v>12</v>
      </c>
      <c r="S27" t="n">
        <v>13</v>
      </c>
      <c r="T27" t="n">
        <v>13</v>
      </c>
      <c r="U27" t="n">
        <v>10</v>
      </c>
      <c r="V27" t="n">
        <v>2</v>
      </c>
      <c r="W27" t="n">
        <v>3</v>
      </c>
      <c r="X27" t="n">
        <v>4</v>
      </c>
      <c r="Y27" t="n">
        <v>1</v>
      </c>
    </row>
    <row r="28">
      <c r="E28" t="n">
        <v>1000</v>
      </c>
      <c r="F28" t="n">
        <v>8</v>
      </c>
      <c r="G28" t="n">
        <v>15</v>
      </c>
      <c r="H28" t="n">
        <v>7</v>
      </c>
      <c r="I28" t="n">
        <v>12</v>
      </c>
      <c r="J28" t="n">
        <v>4</v>
      </c>
      <c r="K28" t="n">
        <v>12.6</v>
      </c>
      <c r="L28" t="n">
        <v>12.2</v>
      </c>
      <c r="M28" t="n">
        <v>13.8</v>
      </c>
      <c r="N28" t="n">
        <v>5</v>
      </c>
      <c r="O28" t="n">
        <v>11.6</v>
      </c>
      <c r="P28" t="n">
        <v>6</v>
      </c>
      <c r="Q28" t="n">
        <v>5</v>
      </c>
      <c r="R28" t="n">
        <v>12.2</v>
      </c>
      <c r="S28" t="n">
        <v>13.1</v>
      </c>
      <c r="T28" t="n">
        <v>13.1</v>
      </c>
      <c r="U28" t="n">
        <v>10.2</v>
      </c>
      <c r="V28" t="n">
        <v>2</v>
      </c>
      <c r="W28" t="n">
        <v>3</v>
      </c>
      <c r="X28" t="n">
        <v>4</v>
      </c>
      <c r="Y28" t="n">
        <v>1</v>
      </c>
    </row>
    <row r="29">
      <c r="E29" t="n">
        <v>1000</v>
      </c>
      <c r="F29" t="n">
        <v>8</v>
      </c>
      <c r="G29" t="n">
        <v>15</v>
      </c>
      <c r="H29" t="n">
        <v>7</v>
      </c>
      <c r="I29" t="n">
        <v>12</v>
      </c>
      <c r="J29" t="n">
        <v>4</v>
      </c>
      <c r="K29" t="n">
        <v>13</v>
      </c>
      <c r="L29" t="n">
        <v>13</v>
      </c>
      <c r="M29" t="n">
        <v>14</v>
      </c>
      <c r="N29" t="n">
        <v>5</v>
      </c>
      <c r="O29" t="n">
        <v>12</v>
      </c>
      <c r="P29" t="n">
        <v>6</v>
      </c>
      <c r="Q29" t="n">
        <v>5</v>
      </c>
      <c r="R29" t="n">
        <v>13</v>
      </c>
      <c r="S29" t="n">
        <v>13.5</v>
      </c>
      <c r="T29" t="n">
        <v>13.5</v>
      </c>
      <c r="U29" t="n">
        <v>11</v>
      </c>
      <c r="V29" t="n">
        <v>4</v>
      </c>
      <c r="W29" t="n">
        <v>4.2</v>
      </c>
      <c r="X29" t="n">
        <v>5.2</v>
      </c>
      <c r="Y29" t="n">
        <v>1</v>
      </c>
    </row>
    <row r="30">
      <c r="E30" t="n">
        <v>1000</v>
      </c>
      <c r="F30" t="n">
        <v>8</v>
      </c>
      <c r="G30" t="n">
        <v>15</v>
      </c>
      <c r="H30" t="n">
        <v>7</v>
      </c>
      <c r="I30" t="n">
        <v>12</v>
      </c>
      <c r="J30" t="n">
        <v>4</v>
      </c>
      <c r="K30" t="n">
        <v>13</v>
      </c>
      <c r="L30" t="n">
        <v>13</v>
      </c>
      <c r="M30" t="n">
        <v>14</v>
      </c>
      <c r="N30" t="n">
        <v>5</v>
      </c>
      <c r="O30" t="n">
        <v>12</v>
      </c>
      <c r="P30" t="n">
        <v>6</v>
      </c>
      <c r="Q30" t="n">
        <v>5</v>
      </c>
      <c r="R30" t="n">
        <v>13.6</v>
      </c>
      <c r="S30" t="n">
        <v>13.8</v>
      </c>
      <c r="T30" t="n">
        <v>13.8</v>
      </c>
      <c r="U30" t="n">
        <v>11.6</v>
      </c>
      <c r="V30" t="n">
        <v>5.5</v>
      </c>
      <c r="W30" t="n">
        <v>5.1</v>
      </c>
      <c r="X30" t="n">
        <v>6.1</v>
      </c>
      <c r="Y30" t="n">
        <v>1</v>
      </c>
    </row>
    <row r="31">
      <c r="E31" t="n">
        <v>1000</v>
      </c>
      <c r="F31" t="n">
        <v>8</v>
      </c>
      <c r="G31" t="n">
        <v>15</v>
      </c>
      <c r="H31" t="n">
        <v>7</v>
      </c>
      <c r="I31" t="n">
        <v>12</v>
      </c>
      <c r="J31" t="n">
        <v>4</v>
      </c>
      <c r="K31" t="n">
        <v>13</v>
      </c>
      <c r="L31" t="n">
        <v>13</v>
      </c>
      <c r="M31" t="n">
        <v>14</v>
      </c>
      <c r="N31" t="n">
        <v>5</v>
      </c>
      <c r="O31" t="n">
        <v>12</v>
      </c>
      <c r="P31" t="n">
        <v>6</v>
      </c>
      <c r="Q31" t="n">
        <v>5</v>
      </c>
      <c r="R31" t="n">
        <v>14</v>
      </c>
      <c r="S31" t="n">
        <v>14</v>
      </c>
      <c r="T31" t="n">
        <v>14</v>
      </c>
      <c r="U31" t="n">
        <v>12</v>
      </c>
      <c r="V31" t="n">
        <v>7</v>
      </c>
      <c r="W31" t="n">
        <v>6</v>
      </c>
      <c r="X31" t="n">
        <v>7</v>
      </c>
      <c r="Y31" t="n">
        <v>1</v>
      </c>
    </row>
    <row r="32">
      <c r="E32" t="n">
        <v>1000</v>
      </c>
      <c r="F32" t="n">
        <v>8</v>
      </c>
      <c r="G32" t="n">
        <v>15</v>
      </c>
      <c r="H32" t="n">
        <v>7</v>
      </c>
      <c r="I32" t="n">
        <v>12</v>
      </c>
      <c r="J32" t="n">
        <v>4</v>
      </c>
      <c r="K32" t="n">
        <v>13</v>
      </c>
      <c r="L32" t="n">
        <v>13</v>
      </c>
      <c r="M32" t="n">
        <v>14</v>
      </c>
      <c r="N32" t="n">
        <v>5</v>
      </c>
      <c r="O32" t="n">
        <v>12</v>
      </c>
      <c r="P32" t="n">
        <v>6</v>
      </c>
      <c r="Q32" t="n">
        <v>5</v>
      </c>
      <c r="R32" t="n">
        <v>14</v>
      </c>
      <c r="S32" t="n">
        <v>14</v>
      </c>
      <c r="T32" t="n">
        <v>14</v>
      </c>
      <c r="U32" t="n">
        <v>12</v>
      </c>
      <c r="V32" t="n">
        <v>7</v>
      </c>
      <c r="W32" t="n">
        <v>6</v>
      </c>
      <c r="X32" t="n">
        <v>7</v>
      </c>
      <c r="Y32" t="n">
        <v>1</v>
      </c>
    </row>
    <row r="33">
      <c r="E33" t="n">
        <v>1000</v>
      </c>
      <c r="F33" t="n">
        <v>8</v>
      </c>
      <c r="G33" t="n">
        <v>15</v>
      </c>
      <c r="H33" t="n">
        <v>7</v>
      </c>
      <c r="I33" t="n">
        <v>12</v>
      </c>
      <c r="J33" t="n">
        <v>4</v>
      </c>
      <c r="K33" t="n">
        <v>11</v>
      </c>
      <c r="L33" t="n">
        <v>9</v>
      </c>
      <c r="M33" t="n">
        <v>13</v>
      </c>
      <c r="N33" t="n">
        <v>5</v>
      </c>
      <c r="O33" t="n">
        <v>10</v>
      </c>
      <c r="P33" t="n">
        <v>6</v>
      </c>
      <c r="Q33" t="n">
        <v>5</v>
      </c>
      <c r="R33" t="n">
        <v>12</v>
      </c>
      <c r="S33" t="n">
        <v>13</v>
      </c>
      <c r="T33" t="n">
        <v>13</v>
      </c>
      <c r="U33" t="n">
        <v>10</v>
      </c>
      <c r="V33" t="n">
        <v>2</v>
      </c>
      <c r="W33" t="n">
        <v>3</v>
      </c>
      <c r="X33" t="n">
        <v>4</v>
      </c>
      <c r="Y33" t="n">
        <v>1</v>
      </c>
    </row>
    <row r="34">
      <c r="E34" t="n">
        <v>1000</v>
      </c>
      <c r="F34" t="n">
        <v>8</v>
      </c>
      <c r="G34" t="n">
        <v>15</v>
      </c>
      <c r="H34" t="n">
        <v>7</v>
      </c>
      <c r="I34" t="n">
        <v>12</v>
      </c>
      <c r="J34" t="n">
        <v>6.4</v>
      </c>
      <c r="K34" t="n">
        <v>12.6</v>
      </c>
      <c r="L34" t="n">
        <v>12.2</v>
      </c>
      <c r="M34" t="n">
        <v>13.8</v>
      </c>
      <c r="N34" t="n">
        <v>5</v>
      </c>
      <c r="O34" t="n">
        <v>11.6</v>
      </c>
      <c r="P34" t="n">
        <v>7.6</v>
      </c>
      <c r="Q34" t="n">
        <v>9</v>
      </c>
      <c r="R34" t="n">
        <v>12.2</v>
      </c>
      <c r="S34" t="n">
        <v>13.1</v>
      </c>
      <c r="T34" t="n">
        <v>13.1</v>
      </c>
      <c r="U34" t="n">
        <v>10.2</v>
      </c>
      <c r="V34" t="n">
        <v>2</v>
      </c>
      <c r="W34" t="n">
        <v>3</v>
      </c>
      <c r="X34" t="n">
        <v>4</v>
      </c>
      <c r="Y34" t="n">
        <v>1</v>
      </c>
    </row>
    <row r="35">
      <c r="E35" t="n">
        <v>1000</v>
      </c>
      <c r="F35" t="n">
        <v>8</v>
      </c>
      <c r="G35" t="n">
        <v>15</v>
      </c>
      <c r="H35" t="n">
        <v>7</v>
      </c>
      <c r="I35" t="n">
        <v>12</v>
      </c>
      <c r="J35" t="n">
        <v>7</v>
      </c>
      <c r="K35" t="n">
        <v>13</v>
      </c>
      <c r="L35" t="n">
        <v>13</v>
      </c>
      <c r="M35" t="n">
        <v>14</v>
      </c>
      <c r="N35" t="n">
        <v>5</v>
      </c>
      <c r="O35" t="n">
        <v>12</v>
      </c>
      <c r="P35" t="n">
        <v>8</v>
      </c>
      <c r="Q35" t="n">
        <v>10</v>
      </c>
      <c r="R35" t="n">
        <v>13</v>
      </c>
      <c r="S35" t="n">
        <v>13.5</v>
      </c>
      <c r="T35" t="n">
        <v>13.5</v>
      </c>
      <c r="U35" t="n">
        <v>11</v>
      </c>
      <c r="V35" t="n">
        <v>5.2</v>
      </c>
      <c r="W35" t="n">
        <v>5</v>
      </c>
      <c r="X35" t="n">
        <v>5.6</v>
      </c>
      <c r="Y35" t="n">
        <v>1</v>
      </c>
    </row>
    <row r="36">
      <c r="E36" t="n">
        <v>1000</v>
      </c>
      <c r="F36" t="n">
        <v>8</v>
      </c>
      <c r="G36" t="n">
        <v>15</v>
      </c>
      <c r="H36" t="n">
        <v>7</v>
      </c>
      <c r="I36" t="n">
        <v>12</v>
      </c>
      <c r="J36" t="n">
        <v>7</v>
      </c>
      <c r="K36" t="n">
        <v>13</v>
      </c>
      <c r="L36" t="n">
        <v>13</v>
      </c>
      <c r="M36" t="n">
        <v>14</v>
      </c>
      <c r="N36" t="n">
        <v>5</v>
      </c>
      <c r="O36" t="n">
        <v>12</v>
      </c>
      <c r="P36" t="n">
        <v>8</v>
      </c>
      <c r="Q36" t="n">
        <v>10</v>
      </c>
      <c r="R36" t="n">
        <v>13.6</v>
      </c>
      <c r="S36" t="n">
        <v>13.8</v>
      </c>
      <c r="T36" t="n">
        <v>13.8</v>
      </c>
      <c r="U36" t="n">
        <v>11.6</v>
      </c>
      <c r="V36" t="n">
        <v>7.6</v>
      </c>
      <c r="W36" t="n">
        <v>6.5</v>
      </c>
      <c r="X36" t="n">
        <v>6.8</v>
      </c>
      <c r="Y36" t="n">
        <v>1</v>
      </c>
    </row>
    <row r="37">
      <c r="E37" t="n">
        <v>1000</v>
      </c>
      <c r="F37" t="n">
        <v>8</v>
      </c>
      <c r="G37" t="n">
        <v>15</v>
      </c>
      <c r="H37" t="n">
        <v>7</v>
      </c>
      <c r="I37" t="n">
        <v>12</v>
      </c>
      <c r="J37" t="n">
        <v>7</v>
      </c>
      <c r="K37" t="n">
        <v>13</v>
      </c>
      <c r="L37" t="n">
        <v>13</v>
      </c>
      <c r="M37" t="n">
        <v>14</v>
      </c>
      <c r="N37" t="n">
        <v>5</v>
      </c>
      <c r="O37" t="n">
        <v>12</v>
      </c>
      <c r="P37" t="n">
        <v>8</v>
      </c>
      <c r="Q37" t="n">
        <v>10</v>
      </c>
      <c r="R37" t="n">
        <v>14</v>
      </c>
      <c r="S37" t="n">
        <v>14</v>
      </c>
      <c r="T37" t="n">
        <v>14</v>
      </c>
      <c r="U37" t="n">
        <v>12</v>
      </c>
      <c r="V37" t="n">
        <v>10</v>
      </c>
      <c r="W37" t="n">
        <v>8</v>
      </c>
      <c r="X37" t="n">
        <v>8</v>
      </c>
      <c r="Y37" t="n">
        <v>1</v>
      </c>
    </row>
    <row r="38">
      <c r="E38" t="n">
        <v>1000</v>
      </c>
      <c r="F38" t="n">
        <v>8</v>
      </c>
      <c r="G38" t="n">
        <v>15</v>
      </c>
      <c r="H38" t="n">
        <v>7</v>
      </c>
      <c r="I38" t="n">
        <v>12</v>
      </c>
      <c r="J38" t="n">
        <v>7</v>
      </c>
      <c r="K38" t="n">
        <v>13</v>
      </c>
      <c r="L38" t="n">
        <v>13</v>
      </c>
      <c r="M38" t="n">
        <v>14</v>
      </c>
      <c r="N38" t="n">
        <v>5</v>
      </c>
      <c r="O38" t="n">
        <v>12</v>
      </c>
      <c r="P38" t="n">
        <v>8</v>
      </c>
      <c r="Q38" t="n">
        <v>10</v>
      </c>
      <c r="R38" t="n">
        <v>14</v>
      </c>
      <c r="S38" t="n">
        <v>14</v>
      </c>
      <c r="T38" t="n">
        <v>14</v>
      </c>
      <c r="U38" t="n">
        <v>12</v>
      </c>
      <c r="V38" t="n">
        <v>10</v>
      </c>
      <c r="W38" t="n">
        <v>8</v>
      </c>
      <c r="X38" t="n">
        <v>8</v>
      </c>
      <c r="Y38" t="n">
        <v>1</v>
      </c>
    </row>
    <row r="39">
      <c r="E39" t="n">
        <v>2400</v>
      </c>
      <c r="F39" t="n">
        <v>3</v>
      </c>
      <c r="G39" t="n">
        <v>4</v>
      </c>
      <c r="H39" t="n">
        <v>3</v>
      </c>
      <c r="I39" t="n">
        <v>4</v>
      </c>
      <c r="J39" t="n">
        <v>3</v>
      </c>
      <c r="K39" t="n">
        <v>3</v>
      </c>
      <c r="L39" t="n">
        <v>2</v>
      </c>
      <c r="M39" t="n">
        <v>4</v>
      </c>
      <c r="N39" t="n">
        <v>3</v>
      </c>
      <c r="O39" t="n">
        <v>3</v>
      </c>
      <c r="P39" t="n">
        <v>4</v>
      </c>
      <c r="Q39" t="n">
        <v>3</v>
      </c>
      <c r="R39" t="n">
        <v>5</v>
      </c>
      <c r="S39" t="n">
        <v>5</v>
      </c>
      <c r="T39" t="n">
        <v>6</v>
      </c>
      <c r="U39" t="n">
        <v>4</v>
      </c>
      <c r="V39" t="n">
        <v>2</v>
      </c>
      <c r="W39" t="n">
        <v>2</v>
      </c>
      <c r="X39" t="n">
        <v>2</v>
      </c>
      <c r="Y39" t="n">
        <v>3</v>
      </c>
    </row>
    <row r="40">
      <c r="E40" t="n">
        <v>2400</v>
      </c>
      <c r="F40" t="n">
        <v>3</v>
      </c>
      <c r="G40" t="n">
        <v>4</v>
      </c>
      <c r="H40" t="n">
        <v>3</v>
      </c>
      <c r="I40" t="n">
        <v>4</v>
      </c>
      <c r="J40" t="n">
        <v>3</v>
      </c>
      <c r="K40" t="n">
        <v>3</v>
      </c>
      <c r="L40" t="n">
        <v>2</v>
      </c>
      <c r="M40" t="n">
        <v>4</v>
      </c>
      <c r="N40" t="n">
        <v>3</v>
      </c>
      <c r="O40" t="n">
        <v>3</v>
      </c>
      <c r="P40" t="n">
        <v>4</v>
      </c>
      <c r="Q40" t="n">
        <v>3</v>
      </c>
      <c r="R40" t="n">
        <v>5</v>
      </c>
      <c r="S40" t="n">
        <v>5</v>
      </c>
      <c r="T40" t="n">
        <v>6</v>
      </c>
      <c r="U40" t="n">
        <v>4</v>
      </c>
      <c r="V40" t="n">
        <v>2</v>
      </c>
      <c r="W40" t="n">
        <v>2</v>
      </c>
      <c r="X40" t="n">
        <v>2</v>
      </c>
      <c r="Y40" t="n">
        <v>3</v>
      </c>
    </row>
    <row r="41">
      <c r="E41" t="n">
        <v>2400</v>
      </c>
      <c r="F41" t="n">
        <v>3</v>
      </c>
      <c r="G41" t="n">
        <v>4</v>
      </c>
      <c r="H41" t="n">
        <v>3</v>
      </c>
      <c r="I41" t="n">
        <v>4</v>
      </c>
      <c r="J41" t="n">
        <v>3</v>
      </c>
      <c r="K41" t="n">
        <v>3</v>
      </c>
      <c r="L41" t="n">
        <v>2</v>
      </c>
      <c r="M41" t="n">
        <v>4</v>
      </c>
      <c r="N41" t="n">
        <v>2.9</v>
      </c>
      <c r="O41" t="n">
        <v>2.9</v>
      </c>
      <c r="P41" t="n">
        <v>4</v>
      </c>
      <c r="Q41" t="n">
        <v>3</v>
      </c>
      <c r="R41" t="n">
        <v>5</v>
      </c>
      <c r="S41" t="n">
        <v>5</v>
      </c>
      <c r="T41" t="n">
        <v>6</v>
      </c>
      <c r="U41" t="n">
        <v>3.9</v>
      </c>
      <c r="V41" t="n">
        <v>2</v>
      </c>
      <c r="W41" t="n">
        <v>2</v>
      </c>
      <c r="X41" t="n">
        <v>2</v>
      </c>
      <c r="Y41" t="n">
        <v>3</v>
      </c>
    </row>
    <row r="42">
      <c r="E42" t="n">
        <v>2400</v>
      </c>
      <c r="F42" t="n">
        <v>3</v>
      </c>
      <c r="G42" t="n">
        <v>4</v>
      </c>
      <c r="H42" t="n">
        <v>3</v>
      </c>
      <c r="I42" t="n">
        <v>4</v>
      </c>
      <c r="J42" t="n">
        <v>3</v>
      </c>
      <c r="K42" t="n">
        <v>3</v>
      </c>
      <c r="L42" t="n">
        <v>2</v>
      </c>
      <c r="M42" t="n">
        <v>4</v>
      </c>
      <c r="N42" t="n">
        <v>2.8</v>
      </c>
      <c r="O42" t="n">
        <v>2.8</v>
      </c>
      <c r="P42" t="n">
        <v>4</v>
      </c>
      <c r="Q42" t="n">
        <v>3</v>
      </c>
      <c r="R42" t="n">
        <v>5</v>
      </c>
      <c r="S42" t="n">
        <v>5</v>
      </c>
      <c r="T42" t="n">
        <v>6</v>
      </c>
      <c r="U42" t="n">
        <v>3.8</v>
      </c>
      <c r="V42" t="n">
        <v>2</v>
      </c>
      <c r="W42" t="n">
        <v>2</v>
      </c>
      <c r="X42" t="n">
        <v>2</v>
      </c>
      <c r="Y42" t="n">
        <v>3</v>
      </c>
    </row>
    <row r="43">
      <c r="E43" t="n">
        <v>2400</v>
      </c>
      <c r="F43" t="n">
        <v>3</v>
      </c>
      <c r="G43" t="n">
        <v>4</v>
      </c>
      <c r="H43" t="n">
        <v>3</v>
      </c>
      <c r="I43" t="n">
        <v>4</v>
      </c>
      <c r="J43" t="n">
        <v>3</v>
      </c>
      <c r="K43" t="n">
        <v>3</v>
      </c>
      <c r="L43" t="n">
        <v>2</v>
      </c>
      <c r="M43" t="n">
        <v>4</v>
      </c>
      <c r="N43" t="n">
        <v>2.5</v>
      </c>
      <c r="O43" t="n">
        <v>2.5</v>
      </c>
      <c r="P43" t="n">
        <v>4</v>
      </c>
      <c r="Q43" t="n">
        <v>3</v>
      </c>
      <c r="R43" t="n">
        <v>5</v>
      </c>
      <c r="S43" t="n">
        <v>5</v>
      </c>
      <c r="T43" t="n">
        <v>6</v>
      </c>
      <c r="U43" t="n">
        <v>3.5</v>
      </c>
      <c r="V43" t="n">
        <v>2</v>
      </c>
      <c r="W43" t="n">
        <v>2</v>
      </c>
      <c r="X43" t="n">
        <v>2</v>
      </c>
      <c r="Y43" t="n">
        <v>3</v>
      </c>
    </row>
    <row r="44">
      <c r="E44" t="n">
        <v>2400</v>
      </c>
      <c r="F44" t="n">
        <v>3</v>
      </c>
      <c r="G44" t="n">
        <v>4</v>
      </c>
      <c r="H44" t="n">
        <v>3</v>
      </c>
      <c r="I44" t="n">
        <v>4</v>
      </c>
      <c r="J44" t="n">
        <v>3</v>
      </c>
      <c r="K44" t="n">
        <v>3</v>
      </c>
      <c r="L44" t="n">
        <v>2</v>
      </c>
      <c r="M44" t="n">
        <v>4</v>
      </c>
      <c r="N44" t="n">
        <v>2</v>
      </c>
      <c r="O44" t="n">
        <v>2</v>
      </c>
      <c r="P44" t="n">
        <v>4</v>
      </c>
      <c r="Q44" t="n">
        <v>3</v>
      </c>
      <c r="R44" t="n">
        <v>5</v>
      </c>
      <c r="S44" t="n">
        <v>5</v>
      </c>
      <c r="T44" t="n">
        <v>6</v>
      </c>
      <c r="U44" t="n">
        <v>3</v>
      </c>
      <c r="V44" t="n">
        <v>2</v>
      </c>
      <c r="W44" t="n">
        <v>2</v>
      </c>
      <c r="X44" t="n">
        <v>2</v>
      </c>
      <c r="Y44" t="n">
        <v>3</v>
      </c>
    </row>
    <row r="45">
      <c r="E45" t="n">
        <v>2400</v>
      </c>
      <c r="F45" t="n">
        <v>3</v>
      </c>
      <c r="G45" t="n">
        <v>4</v>
      </c>
      <c r="H45" t="n">
        <v>3</v>
      </c>
      <c r="I45" t="n">
        <v>4</v>
      </c>
      <c r="J45" t="n">
        <v>3</v>
      </c>
      <c r="K45" t="n">
        <v>3</v>
      </c>
      <c r="L45" t="n">
        <v>2</v>
      </c>
      <c r="M45" t="n">
        <v>4</v>
      </c>
      <c r="N45" t="n">
        <v>3</v>
      </c>
      <c r="O45" t="n">
        <v>3</v>
      </c>
      <c r="P45" t="n">
        <v>4</v>
      </c>
      <c r="Q45" t="n">
        <v>3</v>
      </c>
      <c r="R45" t="n">
        <v>5</v>
      </c>
      <c r="S45" t="n">
        <v>5</v>
      </c>
      <c r="T45" t="n">
        <v>6</v>
      </c>
      <c r="U45" t="n">
        <v>4</v>
      </c>
      <c r="V45" t="n">
        <v>2</v>
      </c>
      <c r="W45" t="n">
        <v>2</v>
      </c>
      <c r="X45" t="n">
        <v>2</v>
      </c>
      <c r="Y45" t="n">
        <v>3</v>
      </c>
    </row>
    <row r="46">
      <c r="E46" t="n">
        <v>2400</v>
      </c>
      <c r="F46" t="n">
        <v>3</v>
      </c>
      <c r="G46" t="n">
        <v>4</v>
      </c>
      <c r="H46" t="n">
        <v>3</v>
      </c>
      <c r="I46" t="n">
        <v>4</v>
      </c>
      <c r="J46" t="n">
        <v>3</v>
      </c>
      <c r="K46" t="n">
        <v>3</v>
      </c>
      <c r="L46" t="n">
        <v>2</v>
      </c>
      <c r="M46" t="n">
        <v>4</v>
      </c>
      <c r="N46" t="n">
        <v>3</v>
      </c>
      <c r="O46" t="n">
        <v>6.2</v>
      </c>
      <c r="P46" t="n">
        <v>5.6</v>
      </c>
      <c r="Q46" t="n">
        <v>3</v>
      </c>
      <c r="R46" t="n">
        <v>5.4</v>
      </c>
      <c r="S46" t="n">
        <v>5.3</v>
      </c>
      <c r="T46" t="n">
        <v>6.2</v>
      </c>
      <c r="U46" t="n">
        <v>4.2</v>
      </c>
      <c r="V46" t="n">
        <v>2</v>
      </c>
      <c r="W46" t="n">
        <v>2</v>
      </c>
      <c r="X46" t="n">
        <v>2</v>
      </c>
      <c r="Y46" t="n">
        <v>3</v>
      </c>
    </row>
    <row r="47">
      <c r="E47" t="n">
        <v>2400</v>
      </c>
      <c r="F47" t="n">
        <v>3</v>
      </c>
      <c r="G47" t="n">
        <v>4</v>
      </c>
      <c r="H47" t="n">
        <v>3</v>
      </c>
      <c r="I47" t="n">
        <v>4</v>
      </c>
      <c r="J47" t="n">
        <v>3</v>
      </c>
      <c r="K47" t="n">
        <v>3</v>
      </c>
      <c r="L47" t="n">
        <v>2</v>
      </c>
      <c r="M47" t="n">
        <v>4</v>
      </c>
      <c r="N47" t="n">
        <v>2.9</v>
      </c>
      <c r="O47" t="n">
        <v>7</v>
      </c>
      <c r="P47" t="n">
        <v>6</v>
      </c>
      <c r="Q47" t="n">
        <v>3</v>
      </c>
      <c r="R47" t="n">
        <v>7</v>
      </c>
      <c r="S47" t="n">
        <v>6.5</v>
      </c>
      <c r="T47" t="n">
        <v>7</v>
      </c>
      <c r="U47" t="n">
        <v>5</v>
      </c>
      <c r="V47" t="n">
        <v>3.2</v>
      </c>
      <c r="W47" t="n">
        <v>2.4</v>
      </c>
      <c r="X47" t="n">
        <v>2.4</v>
      </c>
      <c r="Y47" t="n">
        <v>3</v>
      </c>
    </row>
    <row r="48">
      <c r="E48" t="n">
        <v>2400</v>
      </c>
      <c r="F48" t="n">
        <v>3</v>
      </c>
      <c r="G48" t="n">
        <v>4</v>
      </c>
      <c r="H48" t="n">
        <v>3</v>
      </c>
      <c r="I48" t="n">
        <v>4</v>
      </c>
      <c r="J48" t="n">
        <v>3</v>
      </c>
      <c r="K48" t="n">
        <v>3</v>
      </c>
      <c r="L48" t="n">
        <v>2</v>
      </c>
      <c r="M48" t="n">
        <v>4</v>
      </c>
      <c r="N48" t="n">
        <v>2.8</v>
      </c>
      <c r="O48" t="n">
        <v>7</v>
      </c>
      <c r="P48" t="n">
        <v>6</v>
      </c>
      <c r="Q48" t="n">
        <v>3</v>
      </c>
      <c r="R48" t="n">
        <v>8.199999999999999</v>
      </c>
      <c r="S48" t="n">
        <v>7.4</v>
      </c>
      <c r="T48" t="n">
        <v>7.6</v>
      </c>
      <c r="U48" t="n">
        <v>5.6</v>
      </c>
      <c r="V48" t="n">
        <v>4.1</v>
      </c>
      <c r="W48" t="n">
        <v>2.7</v>
      </c>
      <c r="X48" t="n">
        <v>2.7</v>
      </c>
      <c r="Y48" t="n">
        <v>3</v>
      </c>
    </row>
    <row r="49">
      <c r="E49" t="n">
        <v>2400</v>
      </c>
      <c r="F49" t="n">
        <v>3</v>
      </c>
      <c r="G49" t="n">
        <v>4</v>
      </c>
      <c r="H49" t="n">
        <v>3</v>
      </c>
      <c r="I49" t="n">
        <v>4</v>
      </c>
      <c r="J49" t="n">
        <v>3</v>
      </c>
      <c r="K49" t="n">
        <v>3</v>
      </c>
      <c r="L49" t="n">
        <v>2</v>
      </c>
      <c r="M49" t="n">
        <v>4</v>
      </c>
      <c r="N49" t="n">
        <v>2.5</v>
      </c>
      <c r="O49" t="n">
        <v>7</v>
      </c>
      <c r="P49" t="n">
        <v>6</v>
      </c>
      <c r="Q49" t="n">
        <v>3</v>
      </c>
      <c r="R49" t="n">
        <v>9</v>
      </c>
      <c r="S49" t="n">
        <v>8</v>
      </c>
      <c r="T49" t="n">
        <v>8</v>
      </c>
      <c r="U49" t="n">
        <v>6</v>
      </c>
      <c r="V49" t="n">
        <v>5</v>
      </c>
      <c r="W49" t="n">
        <v>3</v>
      </c>
      <c r="X49" t="n">
        <v>3</v>
      </c>
      <c r="Y49" t="n">
        <v>3</v>
      </c>
    </row>
    <row r="50">
      <c r="E50" t="n">
        <v>2400</v>
      </c>
      <c r="F50" t="n">
        <v>3</v>
      </c>
      <c r="G50" t="n">
        <v>4</v>
      </c>
      <c r="H50" t="n">
        <v>3</v>
      </c>
      <c r="I50" t="n">
        <v>4</v>
      </c>
      <c r="J50" t="n">
        <v>3</v>
      </c>
      <c r="K50" t="n">
        <v>3</v>
      </c>
      <c r="L50" t="n">
        <v>2</v>
      </c>
      <c r="M50" t="n">
        <v>4</v>
      </c>
      <c r="N50" t="n">
        <v>2</v>
      </c>
      <c r="O50" t="n">
        <v>7</v>
      </c>
      <c r="P50" t="n">
        <v>6</v>
      </c>
      <c r="Q50" t="n">
        <v>3</v>
      </c>
      <c r="R50" t="n">
        <v>9</v>
      </c>
      <c r="S50" t="n">
        <v>8</v>
      </c>
      <c r="T50" t="n">
        <v>8</v>
      </c>
      <c r="U50" t="n">
        <v>6</v>
      </c>
      <c r="V50" t="n">
        <v>5</v>
      </c>
      <c r="W50" t="n">
        <v>3</v>
      </c>
      <c r="X50" t="n">
        <v>3</v>
      </c>
      <c r="Y50" t="n">
        <v>3</v>
      </c>
    </row>
    <row r="51">
      <c r="E51" t="n">
        <v>2400</v>
      </c>
      <c r="F51" t="n">
        <v>3</v>
      </c>
      <c r="G51" t="n">
        <v>4</v>
      </c>
      <c r="H51" t="n">
        <v>3</v>
      </c>
      <c r="I51" t="n">
        <v>4</v>
      </c>
      <c r="J51" t="n">
        <v>3</v>
      </c>
      <c r="K51" t="n">
        <v>3</v>
      </c>
      <c r="L51" t="n">
        <v>2</v>
      </c>
      <c r="M51" t="n">
        <v>4</v>
      </c>
      <c r="N51" t="n">
        <v>3</v>
      </c>
      <c r="O51" t="n">
        <v>3</v>
      </c>
      <c r="P51" t="n">
        <v>4</v>
      </c>
      <c r="Q51" t="n">
        <v>3</v>
      </c>
      <c r="R51" t="n">
        <v>5</v>
      </c>
      <c r="S51" t="n">
        <v>5</v>
      </c>
      <c r="T51" t="n">
        <v>6</v>
      </c>
      <c r="U51" t="n">
        <v>4</v>
      </c>
      <c r="V51" t="n">
        <v>2</v>
      </c>
      <c r="W51" t="n">
        <v>2</v>
      </c>
      <c r="X51" t="n">
        <v>2</v>
      </c>
      <c r="Y51" t="n">
        <v>3</v>
      </c>
    </row>
    <row r="52">
      <c r="E52" t="n">
        <v>2400</v>
      </c>
      <c r="F52" t="n">
        <v>3</v>
      </c>
      <c r="G52" t="n">
        <v>4</v>
      </c>
      <c r="H52" t="n">
        <v>3</v>
      </c>
      <c r="I52" t="n">
        <v>4</v>
      </c>
      <c r="J52" t="n">
        <v>5.4</v>
      </c>
      <c r="K52" t="n">
        <v>7</v>
      </c>
      <c r="L52" t="n">
        <v>8.4</v>
      </c>
      <c r="M52" t="n">
        <v>8</v>
      </c>
      <c r="N52" t="n">
        <v>7</v>
      </c>
      <c r="O52" t="n">
        <v>8.6</v>
      </c>
      <c r="P52" t="n">
        <v>7.2</v>
      </c>
      <c r="Q52" t="n">
        <v>7.8</v>
      </c>
      <c r="R52" t="n">
        <v>5.6</v>
      </c>
      <c r="S52" t="n">
        <v>5.5</v>
      </c>
      <c r="T52" t="n">
        <v>6.4</v>
      </c>
      <c r="U52" t="n">
        <v>4.4</v>
      </c>
      <c r="V52" t="n">
        <v>2</v>
      </c>
      <c r="W52" t="n">
        <v>2</v>
      </c>
      <c r="X52" t="n">
        <v>2</v>
      </c>
      <c r="Y52" t="n">
        <v>3</v>
      </c>
    </row>
    <row r="53">
      <c r="E53" t="n">
        <v>2400</v>
      </c>
      <c r="F53" t="n">
        <v>3</v>
      </c>
      <c r="G53" t="n">
        <v>4</v>
      </c>
      <c r="H53" t="n">
        <v>3</v>
      </c>
      <c r="I53" t="n">
        <v>4</v>
      </c>
      <c r="J53" t="n">
        <v>6</v>
      </c>
      <c r="K53" t="n">
        <v>8</v>
      </c>
      <c r="L53" t="n">
        <v>10</v>
      </c>
      <c r="M53" t="n">
        <v>9</v>
      </c>
      <c r="N53" t="n">
        <v>8</v>
      </c>
      <c r="O53" t="n">
        <v>10</v>
      </c>
      <c r="P53" t="n">
        <v>8</v>
      </c>
      <c r="Q53" t="n">
        <v>9</v>
      </c>
      <c r="R53" t="n">
        <v>8</v>
      </c>
      <c r="S53" t="n">
        <v>7.5</v>
      </c>
      <c r="T53" t="n">
        <v>8</v>
      </c>
      <c r="U53" t="n">
        <v>6</v>
      </c>
      <c r="V53" t="n">
        <v>4.8</v>
      </c>
      <c r="W53" t="n">
        <v>3.6</v>
      </c>
      <c r="X53" t="n">
        <v>3.6</v>
      </c>
      <c r="Y53" t="n">
        <v>3.8</v>
      </c>
    </row>
    <row r="54">
      <c r="E54" t="n">
        <v>2400</v>
      </c>
      <c r="F54" t="n">
        <v>3</v>
      </c>
      <c r="G54" t="n">
        <v>4</v>
      </c>
      <c r="H54" t="n">
        <v>3</v>
      </c>
      <c r="I54" t="n">
        <v>4</v>
      </c>
      <c r="J54" t="n">
        <v>6</v>
      </c>
      <c r="K54" t="n">
        <v>8</v>
      </c>
      <c r="L54" t="n">
        <v>10</v>
      </c>
      <c r="M54" t="n">
        <v>9</v>
      </c>
      <c r="N54" t="n">
        <v>8</v>
      </c>
      <c r="O54" t="n">
        <v>10</v>
      </c>
      <c r="P54" t="n">
        <v>8</v>
      </c>
      <c r="Q54" t="n">
        <v>9</v>
      </c>
      <c r="R54" t="n">
        <v>9.800000000000001</v>
      </c>
      <c r="S54" t="n">
        <v>9</v>
      </c>
      <c r="T54" t="n">
        <v>9.199999999999999</v>
      </c>
      <c r="U54" t="n">
        <v>7.2</v>
      </c>
      <c r="V54" t="n">
        <v>6.9</v>
      </c>
      <c r="W54" t="n">
        <v>4.8</v>
      </c>
      <c r="X54" t="n">
        <v>4.8</v>
      </c>
      <c r="Y54" t="n">
        <v>4.4</v>
      </c>
    </row>
    <row r="55">
      <c r="E55" t="n">
        <v>2400</v>
      </c>
      <c r="F55" t="n">
        <v>3</v>
      </c>
      <c r="G55" t="n">
        <v>4</v>
      </c>
      <c r="H55" t="n">
        <v>3</v>
      </c>
      <c r="I55" t="n">
        <v>4</v>
      </c>
      <c r="J55" t="n">
        <v>6</v>
      </c>
      <c r="K55" t="n">
        <v>8</v>
      </c>
      <c r="L55" t="n">
        <v>10</v>
      </c>
      <c r="M55" t="n">
        <v>9</v>
      </c>
      <c r="N55" t="n">
        <v>8</v>
      </c>
      <c r="O55" t="n">
        <v>10</v>
      </c>
      <c r="P55" t="n">
        <v>8</v>
      </c>
      <c r="Q55" t="n">
        <v>9</v>
      </c>
      <c r="R55" t="n">
        <v>11</v>
      </c>
      <c r="S55" t="n">
        <v>10</v>
      </c>
      <c r="T55" t="n">
        <v>10</v>
      </c>
      <c r="U55" t="n">
        <v>8</v>
      </c>
      <c r="V55" t="n">
        <v>9</v>
      </c>
      <c r="W55" t="n">
        <v>6</v>
      </c>
      <c r="X55" t="n">
        <v>6</v>
      </c>
      <c r="Y55" t="n">
        <v>5</v>
      </c>
    </row>
    <row r="56">
      <c r="E56" t="n">
        <v>2400</v>
      </c>
      <c r="F56" t="n">
        <v>3</v>
      </c>
      <c r="G56" t="n">
        <v>4</v>
      </c>
      <c r="H56" t="n">
        <v>3</v>
      </c>
      <c r="I56" t="n">
        <v>4</v>
      </c>
      <c r="J56" t="n">
        <v>6</v>
      </c>
      <c r="K56" t="n">
        <v>8</v>
      </c>
      <c r="L56" t="n">
        <v>10</v>
      </c>
      <c r="M56" t="n">
        <v>9</v>
      </c>
      <c r="N56" t="n">
        <v>8</v>
      </c>
      <c r="O56" t="n">
        <v>10</v>
      </c>
      <c r="P56" t="n">
        <v>8</v>
      </c>
      <c r="Q56" t="n">
        <v>9</v>
      </c>
      <c r="R56" t="n">
        <v>11</v>
      </c>
      <c r="S56" t="n">
        <v>10</v>
      </c>
      <c r="T56" t="n">
        <v>10</v>
      </c>
      <c r="U56" t="n">
        <v>8</v>
      </c>
      <c r="V56" t="n">
        <v>9</v>
      </c>
      <c r="W56" t="n">
        <v>6</v>
      </c>
      <c r="X56" t="n">
        <v>6</v>
      </c>
      <c r="Y56" t="n">
        <v>5</v>
      </c>
    </row>
    <row r="57">
      <c r="E57" t="n">
        <v>1600</v>
      </c>
      <c r="F57" t="n">
        <v>11</v>
      </c>
      <c r="G57" t="n">
        <v>12</v>
      </c>
      <c r="H57" t="n">
        <v>10</v>
      </c>
      <c r="I57" t="n">
        <v>11</v>
      </c>
      <c r="J57" t="n">
        <v>9</v>
      </c>
      <c r="K57" t="n">
        <v>10</v>
      </c>
      <c r="L57" t="n">
        <v>10</v>
      </c>
      <c r="M57" t="n">
        <v>11</v>
      </c>
      <c r="N57" t="n">
        <v>9</v>
      </c>
      <c r="O57" t="n">
        <v>8</v>
      </c>
      <c r="P57" t="n">
        <v>8</v>
      </c>
      <c r="Q57" t="n">
        <v>7</v>
      </c>
      <c r="R57" t="n">
        <v>10</v>
      </c>
      <c r="S57" t="n">
        <v>11</v>
      </c>
      <c r="T57" t="n">
        <v>10</v>
      </c>
      <c r="U57" t="n">
        <v>9</v>
      </c>
      <c r="V57" t="n">
        <v>6</v>
      </c>
      <c r="W57" t="n">
        <v>5</v>
      </c>
      <c r="X57" t="n">
        <v>6</v>
      </c>
    </row>
    <row r="58">
      <c r="E58" t="n">
        <v>1600</v>
      </c>
      <c r="F58" t="n">
        <v>11</v>
      </c>
      <c r="G58" t="n">
        <v>12</v>
      </c>
      <c r="H58" t="n">
        <v>10</v>
      </c>
      <c r="I58" t="n">
        <v>11</v>
      </c>
      <c r="J58" t="n">
        <v>9</v>
      </c>
      <c r="K58" t="n">
        <v>10</v>
      </c>
      <c r="L58" t="n">
        <v>10</v>
      </c>
      <c r="M58" t="n">
        <v>11</v>
      </c>
      <c r="N58" t="n">
        <v>9</v>
      </c>
      <c r="O58" t="n">
        <v>8</v>
      </c>
      <c r="P58" t="n">
        <v>8</v>
      </c>
      <c r="Q58" t="n">
        <v>7</v>
      </c>
      <c r="R58" t="n">
        <v>10</v>
      </c>
      <c r="S58" t="n">
        <v>11</v>
      </c>
      <c r="T58" t="n">
        <v>10</v>
      </c>
      <c r="U58" t="n">
        <v>9</v>
      </c>
      <c r="V58" t="n">
        <v>6</v>
      </c>
      <c r="W58" t="n">
        <v>5</v>
      </c>
      <c r="X58" t="n">
        <v>6</v>
      </c>
    </row>
    <row r="59">
      <c r="E59" t="n">
        <v>1600</v>
      </c>
      <c r="F59" t="n">
        <v>11</v>
      </c>
      <c r="G59" t="n">
        <v>12</v>
      </c>
      <c r="H59" t="n">
        <v>10</v>
      </c>
      <c r="I59" t="n">
        <v>11</v>
      </c>
      <c r="J59" t="n">
        <v>9</v>
      </c>
      <c r="K59" t="n">
        <v>10</v>
      </c>
      <c r="L59" t="n">
        <v>10</v>
      </c>
      <c r="M59" t="n">
        <v>11</v>
      </c>
      <c r="N59" t="n">
        <v>9</v>
      </c>
      <c r="O59" t="n">
        <v>8</v>
      </c>
      <c r="P59" t="n">
        <v>8</v>
      </c>
      <c r="Q59" t="n">
        <v>7</v>
      </c>
      <c r="R59" t="n">
        <v>10</v>
      </c>
      <c r="S59" t="n">
        <v>11</v>
      </c>
      <c r="T59" t="n">
        <v>10</v>
      </c>
      <c r="U59" t="n">
        <v>8.9</v>
      </c>
      <c r="V59" t="n">
        <v>5.9</v>
      </c>
      <c r="W59" t="n">
        <v>5</v>
      </c>
      <c r="X59" t="n">
        <v>6</v>
      </c>
    </row>
    <row r="60">
      <c r="E60" t="n">
        <v>1600</v>
      </c>
      <c r="F60" t="n">
        <v>11</v>
      </c>
      <c r="G60" t="n">
        <v>12</v>
      </c>
      <c r="H60" t="n">
        <v>10</v>
      </c>
      <c r="I60" t="n">
        <v>11</v>
      </c>
      <c r="J60" t="n">
        <v>9</v>
      </c>
      <c r="K60" t="n">
        <v>10</v>
      </c>
      <c r="L60" t="n">
        <v>10</v>
      </c>
      <c r="M60" t="n">
        <v>11</v>
      </c>
      <c r="N60" t="n">
        <v>9</v>
      </c>
      <c r="O60" t="n">
        <v>8</v>
      </c>
      <c r="P60" t="n">
        <v>8</v>
      </c>
      <c r="Q60" t="n">
        <v>7</v>
      </c>
      <c r="R60" t="n">
        <v>10</v>
      </c>
      <c r="S60" t="n">
        <v>11</v>
      </c>
      <c r="T60" t="n">
        <v>10</v>
      </c>
      <c r="U60" t="n">
        <v>8.800000000000001</v>
      </c>
      <c r="V60" t="n">
        <v>5.8</v>
      </c>
      <c r="W60" t="n">
        <v>5</v>
      </c>
      <c r="X60" t="n">
        <v>6</v>
      </c>
    </row>
    <row r="61">
      <c r="E61" t="n">
        <v>1600</v>
      </c>
      <c r="F61" t="n">
        <v>11</v>
      </c>
      <c r="G61" t="n">
        <v>12</v>
      </c>
      <c r="H61" t="n">
        <v>10</v>
      </c>
      <c r="I61" t="n">
        <v>11</v>
      </c>
      <c r="J61" t="n">
        <v>9</v>
      </c>
      <c r="K61" t="n">
        <v>10</v>
      </c>
      <c r="L61" t="n">
        <v>10</v>
      </c>
      <c r="M61" t="n">
        <v>11</v>
      </c>
      <c r="N61" t="n">
        <v>9</v>
      </c>
      <c r="O61" t="n">
        <v>8</v>
      </c>
      <c r="P61" t="n">
        <v>8</v>
      </c>
      <c r="Q61" t="n">
        <v>7</v>
      </c>
      <c r="R61" t="n">
        <v>10</v>
      </c>
      <c r="S61" t="n">
        <v>11</v>
      </c>
      <c r="T61" t="n">
        <v>10</v>
      </c>
      <c r="U61" t="n">
        <v>8.5</v>
      </c>
      <c r="V61" t="n">
        <v>5.5</v>
      </c>
      <c r="W61" t="n">
        <v>5</v>
      </c>
      <c r="X61" t="n">
        <v>6</v>
      </c>
    </row>
    <row r="62">
      <c r="E62" t="n">
        <v>1600</v>
      </c>
      <c r="F62" t="n">
        <v>11</v>
      </c>
      <c r="G62" t="n">
        <v>12</v>
      </c>
      <c r="H62" t="n">
        <v>10</v>
      </c>
      <c r="I62" t="n">
        <v>11</v>
      </c>
      <c r="J62" t="n">
        <v>9</v>
      </c>
      <c r="K62" t="n">
        <v>10</v>
      </c>
      <c r="L62" t="n">
        <v>10</v>
      </c>
      <c r="M62" t="n">
        <v>11</v>
      </c>
      <c r="N62" t="n">
        <v>9</v>
      </c>
      <c r="O62" t="n">
        <v>8</v>
      </c>
      <c r="P62" t="n">
        <v>8</v>
      </c>
      <c r="Q62" t="n">
        <v>7</v>
      </c>
      <c r="R62" t="n">
        <v>10</v>
      </c>
      <c r="S62" t="n">
        <v>11</v>
      </c>
      <c r="T62" t="n">
        <v>10</v>
      </c>
      <c r="U62" t="n">
        <v>8</v>
      </c>
      <c r="V62" t="n">
        <v>5</v>
      </c>
      <c r="W62" t="n">
        <v>5</v>
      </c>
      <c r="X62" t="n">
        <v>6</v>
      </c>
    </row>
    <row r="63">
      <c r="E63" t="n">
        <v>1600</v>
      </c>
      <c r="F63" t="n">
        <v>11</v>
      </c>
      <c r="G63" t="n">
        <v>12</v>
      </c>
      <c r="H63" t="n">
        <v>10</v>
      </c>
      <c r="I63" t="n">
        <v>11</v>
      </c>
      <c r="J63" t="n">
        <v>9</v>
      </c>
      <c r="K63" t="n">
        <v>10</v>
      </c>
      <c r="L63" t="n">
        <v>10</v>
      </c>
      <c r="M63" t="n">
        <v>11</v>
      </c>
      <c r="N63" t="n">
        <v>9</v>
      </c>
      <c r="O63" t="n">
        <v>8</v>
      </c>
      <c r="P63" t="n">
        <v>8</v>
      </c>
      <c r="Q63" t="n">
        <v>7</v>
      </c>
      <c r="R63" t="n">
        <v>10</v>
      </c>
      <c r="S63" t="n">
        <v>11</v>
      </c>
      <c r="T63" t="n">
        <v>10</v>
      </c>
      <c r="U63" t="n">
        <v>9</v>
      </c>
      <c r="V63" t="n">
        <v>6</v>
      </c>
      <c r="W63" t="n">
        <v>5</v>
      </c>
      <c r="X63" t="n">
        <v>6</v>
      </c>
    </row>
    <row r="64">
      <c r="E64" t="n">
        <v>1600</v>
      </c>
      <c r="F64" t="n">
        <v>11</v>
      </c>
      <c r="G64" t="n">
        <v>12</v>
      </c>
      <c r="H64" t="n">
        <v>10</v>
      </c>
      <c r="I64" t="n">
        <v>11</v>
      </c>
      <c r="J64" t="n">
        <v>9</v>
      </c>
      <c r="K64" t="n">
        <v>10</v>
      </c>
      <c r="L64" t="n">
        <v>10</v>
      </c>
      <c r="M64" t="n">
        <v>11</v>
      </c>
      <c r="N64" t="n">
        <v>9</v>
      </c>
      <c r="O64" t="n">
        <v>9.6</v>
      </c>
      <c r="P64" t="n">
        <v>9.6</v>
      </c>
      <c r="Q64" t="n">
        <v>7</v>
      </c>
      <c r="R64" t="n">
        <v>10.3</v>
      </c>
      <c r="S64" t="n">
        <v>11.1</v>
      </c>
      <c r="T64" t="n">
        <v>10.2</v>
      </c>
      <c r="U64" t="n">
        <v>9.300000000000001</v>
      </c>
      <c r="V64" t="n">
        <v>6</v>
      </c>
      <c r="W64" t="n">
        <v>5</v>
      </c>
      <c r="X64" t="n">
        <v>6</v>
      </c>
    </row>
    <row r="65">
      <c r="E65" t="n">
        <v>1600</v>
      </c>
      <c r="F65" t="n">
        <v>11</v>
      </c>
      <c r="G65" t="n">
        <v>12</v>
      </c>
      <c r="H65" t="n">
        <v>10</v>
      </c>
      <c r="I65" t="n">
        <v>11</v>
      </c>
      <c r="J65" t="n">
        <v>9</v>
      </c>
      <c r="K65" t="n">
        <v>10</v>
      </c>
      <c r="L65" t="n">
        <v>10</v>
      </c>
      <c r="M65" t="n">
        <v>11</v>
      </c>
      <c r="N65" t="n">
        <v>9</v>
      </c>
      <c r="O65" t="n">
        <v>10</v>
      </c>
      <c r="P65" t="n">
        <v>10</v>
      </c>
      <c r="Q65" t="n">
        <v>7</v>
      </c>
      <c r="R65" t="n">
        <v>11.5</v>
      </c>
      <c r="S65" t="n">
        <v>11.5</v>
      </c>
      <c r="T65" t="n">
        <v>11</v>
      </c>
      <c r="U65" t="n">
        <v>10.5</v>
      </c>
      <c r="V65" t="n">
        <v>7.2</v>
      </c>
      <c r="W65" t="n">
        <v>5.8</v>
      </c>
      <c r="X65" t="n">
        <v>6.8</v>
      </c>
    </row>
    <row r="66">
      <c r="E66" t="n">
        <v>1600</v>
      </c>
      <c r="F66" t="n">
        <v>11</v>
      </c>
      <c r="G66" t="n">
        <v>12</v>
      </c>
      <c r="H66" t="n">
        <v>10</v>
      </c>
      <c r="I66" t="n">
        <v>11</v>
      </c>
      <c r="J66" t="n">
        <v>9</v>
      </c>
      <c r="K66" t="n">
        <v>10</v>
      </c>
      <c r="L66" t="n">
        <v>10</v>
      </c>
      <c r="M66" t="n">
        <v>11</v>
      </c>
      <c r="N66" t="n">
        <v>9</v>
      </c>
      <c r="O66" t="n">
        <v>10</v>
      </c>
      <c r="P66" t="n">
        <v>10</v>
      </c>
      <c r="Q66" t="n">
        <v>7</v>
      </c>
      <c r="R66" t="n">
        <v>12.4</v>
      </c>
      <c r="S66" t="n">
        <v>11.8</v>
      </c>
      <c r="T66" t="n">
        <v>11.6</v>
      </c>
      <c r="U66" t="n">
        <v>11.4</v>
      </c>
      <c r="V66" t="n">
        <v>8.1</v>
      </c>
      <c r="W66" t="n">
        <v>6.4</v>
      </c>
      <c r="X66" t="n">
        <v>7.4</v>
      </c>
    </row>
    <row r="67">
      <c r="E67" t="n">
        <v>1600</v>
      </c>
      <c r="F67" t="n">
        <v>11</v>
      </c>
      <c r="G67" t="n">
        <v>12</v>
      </c>
      <c r="H67" t="n">
        <v>10</v>
      </c>
      <c r="I67" t="n">
        <v>11</v>
      </c>
      <c r="J67" t="n">
        <v>9</v>
      </c>
      <c r="K67" t="n">
        <v>10</v>
      </c>
      <c r="L67" t="n">
        <v>10</v>
      </c>
      <c r="M67" t="n">
        <v>11</v>
      </c>
      <c r="N67" t="n">
        <v>9</v>
      </c>
      <c r="O67" t="n">
        <v>10</v>
      </c>
      <c r="P67" t="n">
        <v>10</v>
      </c>
      <c r="Q67" t="n">
        <v>7</v>
      </c>
      <c r="R67" t="n">
        <v>13</v>
      </c>
      <c r="S67" t="n">
        <v>12</v>
      </c>
      <c r="T67" t="n">
        <v>12</v>
      </c>
      <c r="U67" t="n">
        <v>12</v>
      </c>
      <c r="V67" t="n">
        <v>9</v>
      </c>
      <c r="W67" t="n">
        <v>7</v>
      </c>
      <c r="X67" t="n">
        <v>8</v>
      </c>
    </row>
    <row r="68">
      <c r="E68" t="n">
        <v>1600</v>
      </c>
      <c r="F68" t="n">
        <v>11</v>
      </c>
      <c r="G68" t="n">
        <v>12</v>
      </c>
      <c r="H68" t="n">
        <v>10</v>
      </c>
      <c r="I68" t="n">
        <v>11</v>
      </c>
      <c r="J68" t="n">
        <v>9</v>
      </c>
      <c r="K68" t="n">
        <v>10</v>
      </c>
      <c r="L68" t="n">
        <v>10</v>
      </c>
      <c r="M68" t="n">
        <v>11</v>
      </c>
      <c r="N68" t="n">
        <v>9</v>
      </c>
      <c r="O68" t="n">
        <v>10</v>
      </c>
      <c r="P68" t="n">
        <v>10</v>
      </c>
      <c r="Q68" t="n">
        <v>7</v>
      </c>
      <c r="R68" t="n">
        <v>13</v>
      </c>
      <c r="S68" t="n">
        <v>12</v>
      </c>
      <c r="T68" t="n">
        <v>12</v>
      </c>
      <c r="U68" t="n">
        <v>12</v>
      </c>
      <c r="V68" t="n">
        <v>9</v>
      </c>
      <c r="W68" t="n">
        <v>7</v>
      </c>
      <c r="X68" t="n">
        <v>8</v>
      </c>
    </row>
    <row r="69">
      <c r="E69" t="n">
        <v>1600</v>
      </c>
      <c r="F69" t="n">
        <v>11</v>
      </c>
      <c r="G69" t="n">
        <v>12</v>
      </c>
      <c r="H69" t="n">
        <v>10</v>
      </c>
      <c r="I69" t="n">
        <v>11</v>
      </c>
      <c r="J69" t="n">
        <v>9</v>
      </c>
      <c r="K69" t="n">
        <v>10</v>
      </c>
      <c r="L69" t="n">
        <v>10</v>
      </c>
      <c r="M69" t="n">
        <v>11</v>
      </c>
      <c r="N69" t="n">
        <v>9</v>
      </c>
      <c r="O69" t="n">
        <v>8</v>
      </c>
      <c r="P69" t="n">
        <v>8</v>
      </c>
      <c r="Q69" t="n">
        <v>7</v>
      </c>
      <c r="R69" t="n">
        <v>10</v>
      </c>
      <c r="S69" t="n">
        <v>11</v>
      </c>
      <c r="T69" t="n">
        <v>10</v>
      </c>
      <c r="U69" t="n">
        <v>9</v>
      </c>
      <c r="V69" t="n">
        <v>6</v>
      </c>
      <c r="W69" t="n">
        <v>5</v>
      </c>
      <c r="X69" t="n">
        <v>6</v>
      </c>
    </row>
    <row r="70">
      <c r="E70" t="n">
        <v>1600</v>
      </c>
      <c r="F70" t="n">
        <v>11</v>
      </c>
      <c r="G70" t="n">
        <v>12</v>
      </c>
      <c r="H70" t="n">
        <v>10</v>
      </c>
      <c r="I70" t="n">
        <v>11</v>
      </c>
      <c r="J70" t="n">
        <v>9</v>
      </c>
      <c r="K70" t="n">
        <v>10</v>
      </c>
      <c r="L70" t="n">
        <v>10</v>
      </c>
      <c r="M70" t="n">
        <v>11</v>
      </c>
      <c r="N70" t="n">
        <v>9</v>
      </c>
      <c r="O70" t="n">
        <v>9.6</v>
      </c>
      <c r="P70" t="n">
        <v>11.2</v>
      </c>
      <c r="Q70" t="n">
        <v>9.4</v>
      </c>
      <c r="R70" t="n">
        <v>10.3</v>
      </c>
      <c r="S70" t="n">
        <v>11.1</v>
      </c>
      <c r="T70" t="n">
        <v>10.2</v>
      </c>
      <c r="U70" t="n">
        <v>9.300000000000001</v>
      </c>
      <c r="V70" t="n">
        <v>6</v>
      </c>
      <c r="W70" t="n">
        <v>5</v>
      </c>
      <c r="X70" t="n">
        <v>6</v>
      </c>
    </row>
    <row r="71">
      <c r="E71" t="n">
        <v>1600</v>
      </c>
      <c r="F71" t="n">
        <v>11</v>
      </c>
      <c r="G71" t="n">
        <v>12</v>
      </c>
      <c r="H71" t="n">
        <v>10</v>
      </c>
      <c r="I71" t="n">
        <v>11</v>
      </c>
      <c r="J71" t="n">
        <v>9</v>
      </c>
      <c r="K71" t="n">
        <v>10</v>
      </c>
      <c r="L71" t="n">
        <v>10</v>
      </c>
      <c r="M71" t="n">
        <v>11</v>
      </c>
      <c r="N71" t="n">
        <v>9</v>
      </c>
      <c r="O71" t="n">
        <v>10</v>
      </c>
      <c r="P71" t="n">
        <v>12</v>
      </c>
      <c r="Q71" t="n">
        <v>10</v>
      </c>
      <c r="R71" t="n">
        <v>11.5</v>
      </c>
      <c r="S71" t="n">
        <v>11.5</v>
      </c>
      <c r="T71" t="n">
        <v>11</v>
      </c>
      <c r="U71" t="n">
        <v>10.5</v>
      </c>
      <c r="V71" t="n">
        <v>7.2</v>
      </c>
      <c r="W71" t="n">
        <v>6.6</v>
      </c>
      <c r="X71" t="n">
        <v>7.2</v>
      </c>
    </row>
    <row r="72">
      <c r="E72" t="n">
        <v>1600</v>
      </c>
      <c r="F72" t="n">
        <v>11</v>
      </c>
      <c r="G72" t="n">
        <v>12</v>
      </c>
      <c r="H72" t="n">
        <v>10</v>
      </c>
      <c r="I72" t="n">
        <v>11</v>
      </c>
      <c r="J72" t="n">
        <v>9</v>
      </c>
      <c r="K72" t="n">
        <v>10</v>
      </c>
      <c r="L72" t="n">
        <v>10</v>
      </c>
      <c r="M72" t="n">
        <v>11</v>
      </c>
      <c r="N72" t="n">
        <v>9</v>
      </c>
      <c r="O72" t="n">
        <v>10</v>
      </c>
      <c r="P72" t="n">
        <v>12</v>
      </c>
      <c r="Q72" t="n">
        <v>10</v>
      </c>
      <c r="R72" t="n">
        <v>12.4</v>
      </c>
      <c r="S72" t="n">
        <v>11.8</v>
      </c>
      <c r="T72" t="n">
        <v>11.6</v>
      </c>
      <c r="U72" t="n">
        <v>11.4</v>
      </c>
      <c r="V72" t="n">
        <v>8.1</v>
      </c>
      <c r="W72" t="n">
        <v>7.8</v>
      </c>
      <c r="X72" t="n">
        <v>8.1</v>
      </c>
    </row>
    <row r="73">
      <c r="E73" t="n">
        <v>1600</v>
      </c>
      <c r="F73" t="n">
        <v>11</v>
      </c>
      <c r="G73" t="n">
        <v>12</v>
      </c>
      <c r="H73" t="n">
        <v>10</v>
      </c>
      <c r="I73" t="n">
        <v>11</v>
      </c>
      <c r="J73" t="n">
        <v>9</v>
      </c>
      <c r="K73" t="n">
        <v>10</v>
      </c>
      <c r="L73" t="n">
        <v>10</v>
      </c>
      <c r="M73" t="n">
        <v>11</v>
      </c>
      <c r="N73" t="n">
        <v>9</v>
      </c>
      <c r="O73" t="n">
        <v>10</v>
      </c>
      <c r="P73" t="n">
        <v>12</v>
      </c>
      <c r="Q73" t="n">
        <v>10</v>
      </c>
      <c r="R73" t="n">
        <v>13</v>
      </c>
      <c r="S73" t="n">
        <v>12</v>
      </c>
      <c r="T73" t="n">
        <v>12</v>
      </c>
      <c r="U73" t="n">
        <v>12</v>
      </c>
      <c r="V73" t="n">
        <v>9</v>
      </c>
      <c r="W73" t="n">
        <v>9</v>
      </c>
      <c r="X73" t="n">
        <v>9</v>
      </c>
    </row>
    <row r="74">
      <c r="E74" t="n">
        <v>1600</v>
      </c>
      <c r="F74" t="n">
        <v>11</v>
      </c>
      <c r="G74" t="n">
        <v>12</v>
      </c>
      <c r="H74" t="n">
        <v>10</v>
      </c>
      <c r="I74" t="n">
        <v>11</v>
      </c>
      <c r="J74" t="n">
        <v>9</v>
      </c>
      <c r="K74" t="n">
        <v>10</v>
      </c>
      <c r="L74" t="n">
        <v>10</v>
      </c>
      <c r="M74" t="n">
        <v>11</v>
      </c>
      <c r="N74" t="n">
        <v>9</v>
      </c>
      <c r="O74" t="n">
        <v>10</v>
      </c>
      <c r="P74" t="n">
        <v>12</v>
      </c>
      <c r="Q74" t="n">
        <v>10</v>
      </c>
      <c r="R74" t="n">
        <v>13</v>
      </c>
      <c r="S74" t="n">
        <v>12</v>
      </c>
      <c r="T74" t="n">
        <v>12</v>
      </c>
      <c r="U74" t="n">
        <v>12</v>
      </c>
      <c r="V74" t="n">
        <v>9</v>
      </c>
      <c r="W74" t="n">
        <v>9</v>
      </c>
      <c r="X74" t="n">
        <v>9</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7.xml><?xml version="1.0" encoding="utf-8"?>
<worksheet xmlns="http://schemas.openxmlformats.org/spreadsheetml/2006/main">
  <sheetPr>
    <outlinePr summaryBelow="1" summaryRight="1"/>
    <pageSetUpPr/>
  </sheetPr>
  <dimension ref="D6:G15"/>
  <sheetViews>
    <sheetView workbookViewId="0">
      <selection activeCell="A1" sqref="A1"/>
    </sheetView>
  </sheetViews>
  <sheetFormatPr baseColWidth="8" defaultRowHeight="15"/>
  <sheetData>
    <row r="6">
      <c r="G6" t="n">
        <v>0</v>
      </c>
    </row>
    <row r="7">
      <c r="D7" t="n">
        <v>180000</v>
      </c>
      <c r="E7" t="n">
        <v>25000</v>
      </c>
      <c r="F7" t="n">
        <v>15000</v>
      </c>
      <c r="G7" t="n">
        <v>4</v>
      </c>
    </row>
    <row r="8">
      <c r="D8" t="n">
        <v>620000</v>
      </c>
      <c r="E8" t="n">
        <v>40000</v>
      </c>
      <c r="F8" t="n">
        <v>60000</v>
      </c>
      <c r="G8" t="n">
        <v>8</v>
      </c>
    </row>
    <row r="9">
      <c r="D9" t="n">
        <v>910000</v>
      </c>
      <c r="E9" t="n">
        <v>50000</v>
      </c>
      <c r="F9" t="n">
        <v>90000</v>
      </c>
      <c r="G9" t="n">
        <v>10</v>
      </c>
    </row>
    <row r="10">
      <c r="G10" t="n">
        <v>0</v>
      </c>
    </row>
    <row r="11">
      <c r="D11" t="n">
        <v>850000</v>
      </c>
      <c r="E11" t="n">
        <v>45000</v>
      </c>
      <c r="F11" t="n">
        <v>85000</v>
      </c>
      <c r="G11" t="n">
        <v>9</v>
      </c>
    </row>
    <row r="12">
      <c r="D12" t="n">
        <v>3400000</v>
      </c>
      <c r="E12" t="n">
        <v>90000</v>
      </c>
      <c r="F12" t="n">
        <v>340000</v>
      </c>
      <c r="G12" t="n">
        <v>18</v>
      </c>
    </row>
    <row r="13">
      <c r="G13" t="n">
        <v>0</v>
      </c>
    </row>
    <row r="14">
      <c r="D14" t="n">
        <v>140000</v>
      </c>
      <c r="E14" t="n">
        <v>20000</v>
      </c>
      <c r="F14" t="n">
        <v>10000</v>
      </c>
      <c r="G14" t="n">
        <v>3</v>
      </c>
    </row>
    <row r="15">
      <c r="D15" t="n">
        <v>520000</v>
      </c>
      <c r="E15" t="n">
        <v>30000</v>
      </c>
      <c r="F15" t="n">
        <v>40000</v>
      </c>
      <c r="G15" t="n">
        <v>6</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8.xml><?xml version="1.0" encoding="utf-8"?>
<worksheet xmlns="http://schemas.openxmlformats.org/spreadsheetml/2006/main">
  <sheetPr>
    <outlinePr summaryBelow="1" summaryRight="1"/>
    <pageSetUpPr/>
  </sheetPr>
  <dimension ref="F5:K19"/>
  <sheetViews>
    <sheetView workbookViewId="0">
      <selection activeCell="A1" sqref="A1"/>
    </sheetView>
  </sheetViews>
  <sheetFormatPr baseColWidth="8" defaultRowHeight="15"/>
  <sheetData>
    <row r="5">
      <c r="F5" t="n">
        <v>2500</v>
      </c>
      <c r="K5" t="n">
        <v>1</v>
      </c>
    </row>
    <row r="6">
      <c r="G6" t="n">
        <v>0.1</v>
      </c>
      <c r="H6" t="inlineStr">
        <is>
          <t>construction</t>
        </is>
      </c>
      <c r="K6" t="n">
        <v>10</v>
      </c>
    </row>
    <row r="7">
      <c r="F7" t="n">
        <v>5000</v>
      </c>
      <c r="K7" t="n">
        <v>1</v>
      </c>
    </row>
    <row r="8">
      <c r="G8" t="n">
        <v>0.1</v>
      </c>
      <c r="H8" t="inlineStr">
        <is>
          <t>construction</t>
        </is>
      </c>
      <c r="K8" t="n">
        <v>25</v>
      </c>
    </row>
    <row r="9">
      <c r="F9" t="n">
        <v>6000</v>
      </c>
      <c r="K9" t="n">
        <v>1</v>
      </c>
    </row>
    <row r="10">
      <c r="G10" t="n">
        <v>0.1</v>
      </c>
      <c r="H10" t="inlineStr">
        <is>
          <t>construction</t>
        </is>
      </c>
      <c r="K10" t="n">
        <v>25</v>
      </c>
    </row>
    <row r="11">
      <c r="I11" t="n">
        <v>1.5</v>
      </c>
      <c r="J11" t="n">
        <v>1000</v>
      </c>
      <c r="K11" t="n">
        <v>5</v>
      </c>
    </row>
    <row r="12">
      <c r="F12" t="n">
        <v>6000</v>
      </c>
      <c r="K12" t="n">
        <v>1</v>
      </c>
    </row>
    <row r="13">
      <c r="G13" t="n">
        <v>0.1</v>
      </c>
      <c r="H13" t="inlineStr">
        <is>
          <t>construction</t>
        </is>
      </c>
      <c r="K13" t="n">
        <v>25</v>
      </c>
    </row>
    <row r="14">
      <c r="F14" t="n">
        <v>12000</v>
      </c>
      <c r="K14" t="n">
        <v>1</v>
      </c>
    </row>
    <row r="15">
      <c r="G15" t="n">
        <v>0.05</v>
      </c>
      <c r="H15" t="inlineStr">
        <is>
          <t>construction</t>
        </is>
      </c>
      <c r="K15" t="n">
        <v>10</v>
      </c>
    </row>
    <row r="16">
      <c r="F16" t="n">
        <v>1500</v>
      </c>
      <c r="K16" t="n">
        <v>1</v>
      </c>
    </row>
    <row r="17">
      <c r="I17" t="n">
        <v>2</v>
      </c>
      <c r="J17" t="n">
        <v>3200</v>
      </c>
      <c r="K17" t="n">
        <v>10</v>
      </c>
    </row>
    <row r="18">
      <c r="F18" t="n">
        <v>3000</v>
      </c>
      <c r="K18" t="n">
        <v>1</v>
      </c>
    </row>
    <row r="19">
      <c r="F19" t="n">
        <v>2000</v>
      </c>
      <c r="K19" t="n">
        <v>5</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9.xml><?xml version="1.0" encoding="utf-8"?>
<worksheet xmlns="http://schemas.openxmlformats.org/spreadsheetml/2006/main">
  <sheetPr>
    <outlinePr summaryBelow="1" summaryRight="1"/>
    <pageSetUpPr/>
  </sheetPr>
  <dimension ref="C5:C7"/>
  <sheetViews>
    <sheetView workbookViewId="0">
      <selection activeCell="A1" sqref="A1"/>
    </sheetView>
  </sheetViews>
  <sheetFormatPr baseColWidth="8" defaultRowHeight="15"/>
  <sheetData>
    <row r="5">
      <c r="C5" t="inlineStr">
        <is>
          <t>A3</t>
        </is>
      </c>
    </row>
    <row r="6">
      <c r="C6" t="inlineStr">
        <is>
          <t>A2</t>
        </is>
      </c>
    </row>
    <row r="7">
      <c r="C7" t="inlineStr">
        <is>
          <t>A2</t>
        </is>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0.xml><?xml version="1.0" encoding="utf-8"?>
<worksheet xmlns="http://schemas.openxmlformats.org/spreadsheetml/2006/main">
  <sheetPr>
    <outlinePr summaryBelow="1" summaryRight="1"/>
    <pageSetUpPr/>
  </sheetPr>
  <dimension ref="O12:AA19"/>
  <sheetViews>
    <sheetView workbookViewId="0">
      <selection activeCell="A1" sqref="A1"/>
    </sheetView>
  </sheetViews>
  <sheetFormatPr baseColWidth="8" defaultRowHeight="15"/>
  <sheetData>
    <row r="12">
      <c r="O12" t="n">
        <v>1</v>
      </c>
      <c r="S12" t="n">
        <v>1</v>
      </c>
      <c r="AA12" t="n">
        <v>1</v>
      </c>
    </row>
    <row r="13">
      <c r="O13" t="n">
        <v>1</v>
      </c>
      <c r="S13" t="n">
        <v>1</v>
      </c>
      <c r="AA13" t="n">
        <v>1</v>
      </c>
    </row>
    <row r="14">
      <c r="O14" t="n">
        <v>1</v>
      </c>
      <c r="S14" t="n">
        <v>0</v>
      </c>
      <c r="AA14" t="n">
        <v>0</v>
      </c>
    </row>
    <row r="15">
      <c r="O15" t="n">
        <v>1</v>
      </c>
      <c r="S15" t="n">
        <v>1</v>
      </c>
      <c r="AA15" t="n">
        <v>1</v>
      </c>
    </row>
    <row r="16">
      <c r="O16" t="n">
        <v>0</v>
      </c>
      <c r="S16" t="n">
        <v>0</v>
      </c>
      <c r="AA16" t="n">
        <v>0</v>
      </c>
    </row>
    <row r="17">
      <c r="O17" t="n">
        <v>1</v>
      </c>
      <c r="S17" t="n">
        <v>0</v>
      </c>
      <c r="AA17" t="n">
        <v>0</v>
      </c>
    </row>
    <row r="18">
      <c r="O18" t="n">
        <v>0</v>
      </c>
      <c r="S18" t="n">
        <v>0</v>
      </c>
      <c r="AA18" t="n">
        <v>0</v>
      </c>
    </row>
    <row r="19">
      <c r="O19" t="n">
        <v>1</v>
      </c>
      <c r="S19" t="n">
        <v>1</v>
      </c>
      <c r="AA19" t="n">
        <v>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1.xml><?xml version="1.0" encoding="utf-8"?>
<worksheet xmlns="http://schemas.openxmlformats.org/spreadsheetml/2006/main">
  <sheetPr>
    <outlinePr summaryBelow="1" summaryRight="1"/>
    <pageSetUpPr/>
  </sheetPr>
  <dimension ref="K50:L89"/>
  <sheetViews>
    <sheetView workbookViewId="0">
      <selection activeCell="A1" sqref="A1"/>
    </sheetView>
  </sheetViews>
  <sheetFormatPr baseColWidth="8" defaultRowHeight="15"/>
  <sheetData>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2.xml><?xml version="1.0" encoding="utf-8"?>
<worksheet xmlns="http://schemas.openxmlformats.org/spreadsheetml/2006/main">
  <sheetPr>
    <outlinePr summaryBelow="1" summaryRight="1"/>
    <pageSetUpPr/>
  </sheetPr>
  <dimension ref="G5:L14"/>
  <sheetViews>
    <sheetView workbookViewId="0">
      <selection activeCell="A1" sqref="A1"/>
    </sheetView>
  </sheetViews>
  <sheetFormatPr baseColWidth="8" defaultRowHeight="15"/>
  <sheetData>
    <row r="5">
      <c r="G5" t="n">
        <v>0</v>
      </c>
      <c r="L5" t="n">
        <v>0</v>
      </c>
    </row>
    <row r="6">
      <c r="G6" t="n">
        <v>42.37392827748386</v>
      </c>
      <c r="L6" t="n">
        <v>12646.48072850463</v>
      </c>
    </row>
    <row r="7">
      <c r="G7" t="n">
        <v>92.65600446795986</v>
      </c>
      <c r="L7" t="n">
        <v>34892.71370584147</v>
      </c>
    </row>
    <row r="8">
      <c r="G8" t="n">
        <v>139.1269904761905</v>
      </c>
      <c r="L8" t="n">
        <v>49982.34712741726</v>
      </c>
    </row>
    <row r="9">
      <c r="G9" t="n">
        <v>0</v>
      </c>
      <c r="L9" t="n">
        <v>0</v>
      </c>
    </row>
    <row r="10">
      <c r="G10" t="n">
        <v>190.7882390123455</v>
      </c>
      <c r="L10" t="n">
        <v>46747.33547718361</v>
      </c>
    </row>
    <row r="11">
      <c r="G11" t="n">
        <v>597.0253553439153</v>
      </c>
      <c r="L11" t="n">
        <v>178490.9518543831</v>
      </c>
    </row>
    <row r="12">
      <c r="G12" t="n">
        <v>0</v>
      </c>
      <c r="L12" t="n">
        <v>0</v>
      </c>
    </row>
    <row r="13">
      <c r="G13" t="n">
        <v>130.5157402501457</v>
      </c>
      <c r="L13" t="n">
        <v>8678.839720481927</v>
      </c>
    </row>
    <row r="14">
      <c r="G14" t="n">
        <v>173.0754622847874</v>
      </c>
      <c r="L14" t="n">
        <v>26432.37001243781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3.xml><?xml version="1.0" encoding="utf-8"?>
<worksheet xmlns="http://schemas.openxmlformats.org/spreadsheetml/2006/main">
  <sheetPr>
    <outlinePr summaryBelow="1" summaryRight="1"/>
    <pageSetUpPr/>
  </sheetPr>
  <dimension ref="L6:P19"/>
  <sheetViews>
    <sheetView workbookViewId="0">
      <selection activeCell="A1" sqref="A1"/>
    </sheetView>
  </sheetViews>
  <sheetFormatPr baseColWidth="8" defaultRowHeight="15"/>
  <sheetData>
    <row r="6">
      <c r="L6" t="n">
        <v>1</v>
      </c>
      <c r="P6" t="n">
        <v>1</v>
      </c>
    </row>
    <row r="7">
      <c r="L7" t="n">
        <v>1</v>
      </c>
      <c r="P7" t="n">
        <v>1</v>
      </c>
    </row>
    <row r="8">
      <c r="L8" t="n">
        <v>1</v>
      </c>
      <c r="P8" t="n">
        <v>0</v>
      </c>
    </row>
    <row r="9">
      <c r="L9" t="n">
        <v>1</v>
      </c>
      <c r="P9" t="n">
        <v>1</v>
      </c>
    </row>
    <row r="12">
      <c r="L12" t="n">
        <v>1</v>
      </c>
      <c r="P12" t="n">
        <v>1</v>
      </c>
    </row>
    <row r="13">
      <c r="L13" t="n">
        <v>1</v>
      </c>
      <c r="P13" t="n">
        <v>1</v>
      </c>
    </row>
    <row r="14">
      <c r="L14" t="n">
        <v>1</v>
      </c>
      <c r="P14" t="n">
        <v>1</v>
      </c>
    </row>
    <row r="17">
      <c r="L17" t="n">
        <v>1</v>
      </c>
      <c r="P17" t="n">
        <v>1</v>
      </c>
    </row>
    <row r="18">
      <c r="L18" t="n">
        <v>1</v>
      </c>
      <c r="P18" t="n">
        <v>1</v>
      </c>
    </row>
    <row r="19">
      <c r="L19" t="n">
        <v>1</v>
      </c>
      <c r="P19" t="n">
        <v>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ceica-calculator</t>
        </is>
      </c>
      <c r="B1" t="n">
        <v>1</v>
      </c>
    </row>
    <row r="2">
      <c r="A2" t="inlineStr">
        <is>
          <t>project</t>
        </is>
      </c>
      <c r="B2" t="n">
        <v>1</v>
      </c>
      <c r="C2" t="inlineStr">
        <is>
          <t>{"benefits":{"components":[{"id":"total","name":"Total","quantity_units":"acres"}],"mode":"STAF","staf":{"mapping":"A","quantity_units":"ft"},"target_years":[0.0,1.0,5.0,10.0,25.0,50.0]},"cost_categories":[{"id":"construction","idc_applies":true,"name":"Construction"},{"id":"monitoring","idc_applies":false,"name":"Monitoring"},{"id":"adaptive_management","idc_applies":false,"name":"Adaptive management"}],"decisions":{"sites":{},"watershed":{"basis":null,"final_array":{},"steps":{},"tsp":null,"tsp_plan_type":"National Ecosystem Restoration (NER) plan","tsp_rationale":""}},"description":"Illustrative study built on STAF function scores, not a real project. Reach R1's existing condition is the SFARI calculator's worked example; the other reaches, every projected score and every cost are invented to show the workflow. Outputs are condition units: the Ecosystem Condition Index times reach length in feet.","district":"","labels":{"annual_output_name":"Average annual condition units","annual_output_short":"AACU","lift_name":"Condition lift","output_name":"Condition units","output_short":"CU"},"name":"STAF demonstration","prepared_by":"CEICA example","project_id":"staf-demo","provenance":{"builder":"tools/build_staf_demo.py","sfari_example":"staf/apps/sfari/tests/fixtures/SFARI_Calculator_Example_2026-06-29.xlsx (SFARI Score, manual scores)","status":"illustrative"},"report":{"contents":"FULL","date":"","prepared_by":"CEICA example","status":"DRAFT","title":"STAF demonstration"},"schema_version":"ceica-project/1","settings":{"aahu_method":"TRAPEZOID","cost_decimals":2,"discount_rate":0.03,"idc_method":"END","idc_periods_per_year":12,"output_decimals":3,"period_of_analysis":50,"price_level":"","recurring_timing":"END_OF_YEAR"},"sites":[{"alternatives":[{"aahu":null,"benefits":[],"costs":{"annual_override":null,"construction_months":0.0,"first_costs":{},"recurring":[]},"description":"Future without project: slow channel degradation.","id":"FWOP","is_no_action":true,"name":"No Action","staf":{"quantity":[1000.0,1000.0,1000.0,1000.0,1000.0,1000.0],"scores":{"bed-composition-bedform-dynamics":[5.0,5.0,4.9,4.8,4.5,4.0],"carbon-processing":[13.0,13.0,13.0,13.0,13.0,13.0],"catchment-hydrology":[8.0,8.0,8.0,8.0,8.0,8.0],"channel-evolution":[5.0,5.0,4.9,4.8,4.5,4.0],"channel-floodplain-dynamics":[10.0,10.0,10.0,10.0,10.0,10.0],"community-dynamics":[4.0,4.0,3.9,3.8,3.5,3.0],"floodplain-connectivity":[9.0,9.0,9.0,9.0,9.0,9.0],"habitat-provision":[2.0,2.0,2.0,2.0,2.0,2.0],"high-flow-dynamics":[11.0,11.0,11.0,11.0,11.0,11.0],"hyporheic-connectivity":[13.0,13.0,13.0,13.0,13.0,13.0],"light-thermal-regime":[12.0,12.0,12.0,12.0,12.0,12.0],"low-flow-baseflow-dynamics":[4.0,4.0,4.0,4.0,4.0,4.0],"nutrient-cycling":[13.0,13.0,13.0,13.0,13.0,13.0],"population-support":[3.0,3.0,2.9,2.8,2.5,2.0],"reach-inflow":[7.0,7.0,7.0,7.0,7.0,7.0],"sediment-continuity":[6.0,6.0,6.0,6.0,6.0,6.0],"streamflow-regime":[12.0,12.0,12.0,12.0,12.0,12.0],"surface-water-storage":[15.0,15.0,15.0,15.0,15.0,15.0],"water-soil-quality":[10.0,10.0,10.0,10.0,10.0,10.0],"watershed-connectivity":[1.0,1.0,1.0,1.0,1.0,1.0]}}},{"aahu":null,"benefits":[],"costs":{"annual_override":null,"construction_months":4.0,"first_costs":{"adaptive_management":15000.0,"construction":180000.0,"monitoring":25000.0},"recurring":[{"amount":2500.0,"basis":"FIXED","category_id":null,"every_years":1,"first_year":null,"id":"upkeep","last_year":null,"name":"Annual maintenance","percent":0.0,"quantity":0.0,"quantity_units":"","unit_rate":0.0},{"amount":0.0,"basis":"PCT_OF_CATEGORY","category_id":"construction","every_years":10,"first_year":null,"id":"rehab","last_year":null,"name":"Repair and replanting","percent":0.1,"quantity":0.0,"quantity_units":"","unit_rate":0.0}]},"description":"Plant a 50-ft native buffer on both banks.","id":"A1","is_no_action":false,"name":"Riparian buffer","staf":{"quantity":[1000.0,1000.0,1000.0,1000.0,1000.0,1000.0],"scores":{"bed-composition-bedform-dynamics":[5.0,5.0,4.9,4.8,4.5,4.0],"carbon-processing":[13.0,13.1,13.5,13.8,14.0,14.0],"catchment-hydrology":[8.0,8.0,8.0,8.0,8.0,8.0],"channel-evolution":[5.0,5.0,4.9,4.8,4.5,4.0],"channel-floodplain-dynamics":[10.0,10.0,10.0,10.0,10.0,10.0],"community-dynamics":[4.0,4.0,4.4,4.7,5.0,5.0],"floodplain-connectivity":[9.0,9.0,9.0,9.0,9.0,9.0],"habitat-provision":[2.0,2.0,2.8,3.4,4.0,4.0],"high-flow-dynamics":[11.0,11.0,11.0,11.0,11.0,11.0],"hyporheic-connectivity":[13.0,13.0,13.0,13.0,13.0,13.0],"light-thermal-regime":[12.0,12.2,13.0,13.6,14.0,14.0],"low-flow-baseflow-dynamics":[4.0,4.0,4.0,4.0,4.0,4.0],"nutrient-cycling":[13.0,13.1,13.5,13.8,14.0,14.0],"population-support":[3.0,3.0,3.4,3.7,4.0,4.0],"reach-inflow":[7.0,7.0,7.0,7.0,7.0,7.0],"sediment-continuity":[6.0,6.0,6.0,6.0,6.0,6.0],"streamflow-regime":[12.0,12.0,12.0,12.0,12.0,12.0],"surface-water-storage":[15.0,15.0,15.0,15.0,15.0,15.0],"water-soil-quality":[10.0,10.2,11.0,11.6,12.0,12.0],"watershed-connectivity":[1.0,1.0,1.0,1.0,1.0,1.0]}}},{"aahu":null,"benefits":[],"costs":{"annual_override":null,"construction_months":8.0,"first_costs":{"adaptive_management":60000.0,"construction":620000.0,"monitoring":40000.0},"recurring":[{"amount":5000.0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replanting","percent":0.1,"quantity":0.0,"quantity_units":"","unit_rate":0.0}]},"description":"Excavate a floodplain bench on the outside bends and plant the buffer.","id":"A2","is_no_action":false,"name":"Floodplain bench and buffer","staf":{"quantity":[1000.0,1000.0,1000.0,1000.0,1000.0,1000.0],"scores":{"bed-composition-bedform-dynamics":[5.0,5.0,5.0,5.0,5.0,5.0],"carbon-processing":[13.0,13.1,13.5,13.8,14.0,14.0],"catchment-hydrology":[8.0,8.0,8.0,8.0,8.0,8.0],"channel-evolution":[5.0,5.0,5.0,5.0,5.0,5.0],"channel-floodplain-dynamics":[10.0,11.6,12.0,12.0,12.0,12.0],"community-dynamics":[4.0,4.0,5.2,6.1,7.0,7.0],"floodplain-connectivity":[9.0,12.2,13.0,13.0,13.0,13.0],"habitat-provision":[2.0,2.0,4.0,5.5,7.0,7.0],"high-flow-dynamics":[11.0,12.6,13.0,13.0,13.0,13.0],"hyporheic-connectivity":[13.0,13.8,14.0,14.0,14.0,14.0],"light-thermal-regime":[12.0,12.2,13.0,13.6,14.0,14.0],"low-flow-baseflow-dynamics":[4.0,4.0,4.0,4.0,4.0,4.0],"nutrient-cycling":[13.0,13.1,13.5,13.8,14.0,14.0],"population-support":[3.0,3.0,4.2,5.1,6.0,6.0],"reach-inflow":[7.0,7.0,7.0,7.0,7.0,7.0],"sediment-continuity":[6.0,6.0,6.0,6.0,6.0,6.0],"streamflow-regime":[12.0,12.0,12.0,12.0,12.0,12.0],"surface-water-storage":[15.0,15.0,15.0,15.0,15.0,15.0],"water-soil-quality":[10.0,10.2,11.0,11.6,12.0,12.0],"watershed-connectivity":[1.0,1.0,1.0,1.0,1.0,1.0]}}},{"aahu":null,"benefits":[],"costs":{"annual_override":null,"construction_months":10.0,"first_costs":{"adaptive_management":90000.0,"construction":910000.0,"monitoring":50000.0},"recurring":[{"amount":6000.0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replanting","percent":0.1,"quantity":0.0,"quantity_units":"","unit_rate":0.0},{"amount":0.0,"basis":"RATE_X_QUANTITY","category_id":null,"every_years":5,"first_year":null,"id":"inspect","last_year":null,"name":"Structure inspection","percent":0.0,"quantity":1000.0,"quantity_units":"ft","unit_rate":1.5}]},"description":"The bench and buffer plus riffles and large wood for bed and habitat diversity.","id":"A3","is_no_action":false,"name":"Bench, buffer and instream structure","staf":{"quantity":[1000.0,1000.0,1000.0,1000.0,1000.0,1000.0],"scores":{"bed-composition-bedform-dynamics":[5.0,9.0,10.0,10.0,10.0,10.0],"carbon-processing":[13.0,13.1,13.5,13.8,14.0,14.0],"catchment-hydrology":[8.0,8.0,8.0,8.0,8.0,8.0],"channel-evolution":[5.0,5.0,5.0,5.0,5.0,5.0],"channel-floodplain-dynamics":[10.0,11.6,12.0,12.0,12.0,12.0],"community-dynamics":[4.0,4.0,5.6,6.8,8.0,8.0],"floodplain-connectivity":[9.0,12.2,13.0,13.0,13.0,13.0],"habitat-provision":[2.0,2.0,5.2,7.6,10.0,10.0],"high-flow-dynamics":[11.0,12.6,13.0,13.0,13.0,13.0],"hyporheic-connectivity":[13.0,13.8,14.0,14.0,14.0,14.0],"light-thermal-regime":[12.0,12.2,13.0,13.6,14.0,14.0],"low-flow-baseflow-dynamics":[4.0,6.4,7.0,7.0,7.0,7.0],"nutrient-cycling":[13.0,13.1,13.5,13.8,14.0,14.0],"population-support":[3.0,3.0,5.0,6.5,8.0,8.0],"reach-inflow":[7.0,7.0,7.0,7.0,7.0,7.0],"sediment-continuity":[6.0,7.6,8.0,8.0,8.0,8.0],"streamflow-regime":[12.0,12.0,12.0,12.0,12.0,12.0],"surface-water-storage":[15.0,15.0,15.0,15.0,15.0,15.0],"water-soil-quality":[10.0,10.2,11.0,11.6,12.0,12.0],"watershed-connectivity":[1.0,1.0,1.0,1.0,1.0,1.0]}}}],"description":"SFARI's worked example reach (1,000 ft): functioning hydrology and chemistry, impaired geomorphology and biology.","id":"R1","name":"Example Reach","staf_not_assessed":[],"staf_source":"SFARI calculator example (2026-06-29), manual function scores"},{"alternatives":[{"aahu":null,"benefits":[],"costs":{"annual_override":null,"construction_months":0.0,"first_costs":{},"recurring":[]},"description":"Future without project: continued incision and bank loss.","id":"FWOP","is_no_action":true,"name":"No Action","staf":{"quantity":[2400.0,2400.0,2400.0,2400.0,2400.0,2400.0],"scores":{"bed-composition-bedform-dynamics":[3.0,3.0,3.0,3.0,3.0,3.0],"carbon-processing":[5.0,5.0,5.0,5.0,5.0,5.0],"catchment-hydrology":[3.0,3.0,3.0,3.0,3.0,3.0],"channel-evolution":[3.0,3.0,2.9,2.8,2.5,2.0],"channel-floodplain-dynamics":[3.0,3.0,2.9,2.8,2.5,2.0],"community-dynamics":[2.0,2.0,2.0,2.0,2.0,2.0],"floodplain-connectivity":[2.0,2.0,2.0,2.0,2.0,2.0],"habitat-provision":[2.0,2.0,2.0,2.0,2.0,2.0],"high-flow-dynamics":[3.0,3.0,3.0,3.0,3.0,3.0],"hyporheic-connectivity":[4.0,4.0,4.0,4.0,4.0,4.0],"light-thermal-regime":[5.0,5.0,5.0,5.0,5.0,5.0],"low-flow-baseflow-dynamics":[3.0,3.0,3.0,3.0,3.0,3.0],"nutrient-cycling":[6.0,6.0,6.0,6.0,6.0,6.0],"population-support":[2.0,2.0,2.0,2.0,2.0,2.0],"reach-inflow":[3.0,3.0,3.0,3.0,3.0,3.0],"sediment-continuity":[4.0,4.0,4.0,4.0,4.0,4.0],"streamflow-regime":[4.0,4.0,4.0,4.0,4.0,4.0],"surface-water-storage":[4.0,4.0,4.0,4.0,4.0,4.0],"water-soil-quality":[4.0,4.0,3.9,3.8,3.5,3.0],"watershed-connectivity":[3.0,3.0,3.0,3.0,3.0,3.0]}}},{"aahu":null,"benefits":[],"costs":{"annual_override":null,"construction_months":9.0,"first_costs":{"adaptive_management":85000.0,"construction":850000.0,"monitoring":45000.0},"recurring":[{"amount":6000.0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replanting","percent":0.1,"quantity":0.0,"quantity_units":"","unit_rate":0.0}]},"description":"Lay back eroding banks and plant them.","id":"A1","is_no_action":false,"name":"Bank regrading and planting","staf":{"quantity":[2400.0,2400.0,2400.0,2400.0,2400.0,2400.0],"scores":{"bed-composition-bedform-dynamics":[3.0,3.0,3.0,3.0,3.0,3.0],"carbon-processing":[5.0,5.3,6.5,7.4,8.0,8.0],"catchment-hydrology":[3.0,3.0,3.0,3.0,3.0,3.0],"channel-evolution":[3.0,3.0,2.9,2.8,2.5,2.0],"channel-floodplain-dynamics":[3.0,6.2,7.0,7.0,7.0,7.0],"community-dynamics":[2.0,2.0,2.4,2.7,3.0,3.0],"floodplain-connectivity":[2.0,2.0,2.0,2.0,2.0,2.0],"habitat-provision":[2.0,2.0,3.2,4.1,5.0,5.0],"high-flow-dynamics":[3.0,3.0,3.0,3.0,3.0,3.0],"hyporheic-connectivity":[4.0,4.0,4.0,4.0,4.0,4.0],"light-thermal-regime":[5.0,5.4,7.0,8.2,9.0,9.0],"low-flow-baseflow-dynamics":[3.0,3.0,3.0,3.0,3.0,3.0],"nutrient-cycling":[6.0,6.2,7.0,7.6,8.0,8.0],"population-support":[2.0,2.0,2.4,2.7,3.0,3.0],"reach-inflow":[3.0,3.0,3.0,3.0,3.0,3.0],"sediment-continuity":[4.0,5.6,6.0,6.0,6.0,6.0],"streamflow-regime":[4.0,4.0,4.0,4.0,4.0,4.0],"surface-water-storage":[4.0,4.0,4.0,4.0,4.0,4.0],"water-soil-quality":[4.0,4.2,5.0,5.6,6.0,6.0],"watershed-connectivity":[3.0,3.0,3.0,3.0,3.0,3.0]}}},{"aahu":null,"benefits":[],"costs":{"annual_override":null,"construction_months":18.0,"first_costs":{"adaptive_management":340000.0,"construction":3400000.0,"monitoring":90000.0},"recurring":[{"amount":12000.0,"basis":"FIXED","category_id":null,"every_years":1,"first_year":null,"id":"upkeep","last_year":null,"name":"Annual maintenance","percent":0.0,"quantity":0.0,"quantity_units":"","unit_rate":0.0},{"amount":0.0,"basis":"PCT_OF_CATEGORY","category_id":"construction","every_years":10,"first_year":null,"id":"rehab","last_year":null,"name":"Repair and replanting","percent":0.05,"quantity":0.0,"quantity_units":"","unit_rate":0.0}]},"description":"Remove 600 ft of pipe, rebuild the channel and reconnect the floodplain.","id":"A2","is_no_action":false,"name":"Daylight and reconnect the floodplain","staf":{"quantity":[2400.0,2400.0,2400.0,2400.0,2400.0,2400.0],"scores":{"bed-composition-bedform-dynamics":[3.0,7.8,9.0,9.0,9.0,9.0],"carbon-processing":[5.0,5.5,7.5,9.0,10.0,10.0],"catchment-hydrology":[3.0,3.0,3.0,3.0,3.0,3.0],"channel-evolution":[3.0,7.0,8.0,8.0,8.0,8.0],"channel-floodplain-dynamics":[3.0,8.6,10.0,10.0,10.0,10.0],"community-dynamics":[2.0,2.0,3.6,4.8,6.0,6.0],"floodplain-connectivity":[2.0,8.4,10.0,10.0,10.0,10.0],"habitat-provision":[2.0,2.0,4.8,6.9,9.0,9.0],"high-flow-dynamics":[3.0,7.0,8.0,8.0,8.0,8.0],"hyporheic-connectivity":[4.0,8.0,9.0,9.0,9.0,9.0],"light-thermal-regime":[5.0,5.6,8.0,9.8,11.0,11.0],"low-flow-baseflow-dynamics":[3.0,5.4,6.0,6.0,6.0,6.0],"nutrient-cycling":[6.0,6.4,8.0,9.2,10.0,10.0],"population-support":[2.0,2.0,3.6,4.8,6.0,6.0],"reach-inflow":[3.0,3.0,3.0,3.0,3.0,3.0],"sediment-continuity":[4.0,7.2,8.0,8.0,8.0,8.0],"streamflow-regime":[4.0,4.0,4.0,4.0,4.0,4.0],"surface-water-storage":[4.0,4.0,4.0,4.0,4.0,4.0],"water-soil-quality":[4.0,4.4,6.0,7.2,8.0,8.0],"watershed-connectivity":[3.0,3.0,3.8,4.4,5.0,5.0]}}}],"description":"Illustrative: an incised, partly piped tributary behind a shopping center (2,400 ft).","id":"R2","name":"Urban tributary","staf_not_assessed":[],"staf_source":"Illustrative scores (not an assessment)"},{"alternatives":[{"aahu":null,"benefits":[],"costs":{"annual_override":null,"construction_months":0.0,"first_costs":{},"recurring":[]},"description":"Future without project: grazing continues.","id":"FWOP","is_no_action":true,"name":"No Action","staf":{"quantity":[1600.0,1600.0,1600.0,1600.0,1600.0,1600.0],"scores":{"bed-composition-bedform-dynamics":[7.0,7.0,7.0,7.0,7.0,7.0],"carbon-processing":[11.0,11.0,11.0,11.0,11.0,11.0],"catchment-hydrology":[11.0,11.0,11.0,11.0,11.0,11.0],"channel-evolution":[9.0,9.0,9.0,9.0,9.0,9.0],"channel-floodplain-dynamics":[8.0,8.0,8.0,8.0,8.0,8.0],"community-dynamics":[6.0,6.0,6.0,6.0,6.0,6.0],"floodplain-connectivity":[10.0,10.0,10.0,10.0,10.0,10.0],"habitat-provision":[6.0,6.0,5.9,5.8,5.5,5.0],"high-flow-dynamics":[10.0,10.0,10.0,10.0,10.0,10.0],"hyporheic-connectivity":[11.0,11.0,11.0,11.0,11.0,11.0],"light-thermal-regime":[10.0,10.0,10.0,10.0,10.0,10.0],"low-flow-baseflow-dynamics":[9.0,9.0,9.0,9.0,9.0,9.0],"nutrient-cycling":[10.0,10.0,10.0,10.0,10.0,10.0],"population-support":[5.0,5.0,5.0,5.0,5.0,5.0],"reach-inflow":[10.0,10.0,10.0,10.0,10.0,10.0],"sediment-continuity":[8.0,8.0,8.0,8.0,8.0,8.0],"streamflow-regime":[11.0,11.0,11.0,11.0,11.0,11.0],"surface-water-storage":[12.0,12.0,12.0,12.0,12.0,12.0],"water-soil-quality":[9.0,9.0,8.9,8.8,8.5,8.0]}}},{"aahu":null,"benefits":[],"costs":{"annual_override":null,"construction_months":3.0,"first_costs":{"adaptive_management":10000.0,"construction":140000.0,"monitoring":20000.0},"recurring":[{"amount":1500.0,"basis":"FIXED","category_id":null,"every_years":1,"first_year":null,"id":"upkeep","last_year":null,"name":"Annual maintenance","percent":0.0,"quantity":0.0,"quantity_units":"","unit_rate":0.0},{"amount":0.0,"basis":"RATE_X_QUANTITY","category_id":null,"every_years":10,"first_year":null,"id":"fence","last_year":null,"name":"Fence repair","percent":0.0,"quantity":3200.0,"quantity_units":"ft","unit_rate":2.0}]},"description":"Fence both banks and add two watering points.","id":"A1","is_no_action":false,"name":"Livestock exclusion","staf":{"quantity":[1600.0,1600.0,1600.0,1600.0,1600.0,1600.0],"scores":{"bed-composition-bedform-dynamics":[7.0,7.0,7.0,7.0,7.0,7.0],"carbon-processing":[11.0,11.1,11.5,11.8,12.0,12.0],"catchment-hydrology":[11.0,11.0,11.0,11.0,11.0,11.0],"channel-evolution":[9.0,9.0,9.0,9.0,9.0,9.0],"channel-floodplain-dynamics":[8.0,9.6,10.0,10.0,10.0,10.0],"community-dynamics":[6.0,6.0,6.8,7.4,8.0,8.0],"floodplain-connectivity":[10.0,10.0,10.0,10.0,10.0,10.0],"habitat-provision":[6.0,6.0,7.2,8.1,9.0,9.0],"high-flow-dynamics":[10.0,10.0,10.0,10.0,10.0,10.0],"hyporheic-connectivity":[11.0,11.0,11.0,11.0,11.0,11.0],"light-thermal-regime":[10.0,10.3,11.5,12.4,13.0,13.0],"low-flow-baseflow-dynamics":[9.0,9.0,9.0,9.0,9.0,9.0],"nutrient-cycling":[10.0,10.2,11.0,11.6,12.0,12.0],"population-support":[5.0,5.0,5.8,6.4,7.0,7.0],"reach-inflow":[10.0,10.0,10.0,10.0,10.0,10.0],"sediment-continuity":[8.0,9.6,10.0,10.0,10.0,10.0],"streamflow-regime":[11.0,11.0,11.0,11.0,11.0,11.0],"surface-water-storage":[12.0,12.0,12.0,12.0,12.0,12.0],"water-soil-quality":[9.0,9.3,10.5,11.4,12.0,12.0]}}},{"aahu":null,"benefits":[],"costs":{"annual_override":null,"construction_months":6.0,"first_costs":{"adaptive_management":40000.0,"construction":520000.0,"monitoring":30000.0},"recurring":[{"amount":3000.0,"basis":"FIXED","category_id":null,"every_years":1,"first_year":null,"id":"upkeep","last_year":null,"name":"Annual maintenance","percent":0.0,"quantity":0.0,"quantity_units":"","unit_rate":0.0},{"amount":2000.0,"basis":"FIXED","category_id":null,"every_years":5,"first_year":null,"id":"inspect","last_year":null,"name":"Culvert inspection","percent":0.0,"quantity":0.0,"quantity_units":"","unit_rate":0.0}]},"description":"Fencing plus a bottomless arch culvert that passes sediment and fish.","id":"A2","is_no_action":false,"name":"Livestock exclusion and culvert replacement","staf":{"quantity":[1600.0,1600.0,1600.0,1600.0,1600.0,1600.0],"scores":{"bed-composition-bedform-dynamics":[7.0,9.4,10.0,10.0,10.0,10.0],"carbon-processing":[11.0,11.1,11.5,11.8,12.0,12.0],"catchment-hydrology":[11.0,11.0,11.0,11.0,11.0,11.0],"channel-evolution":[9.0,9.0,9.0,9.0,9.0,9.0],"channel-floodplain-dynamics":[8.0,9.6,10.0,10.0,10.0,10.0],"community-dynamics":[6.0,6.0,7.2,8.1,9.0,9.0],"floodplain-connectivity":[10.0,10.0,10.0,10.0,10.0,10.0],"habitat-provision":[6.0,6.0,7.2,8.1,9.0,9.0],"high-flow-dynamics":[10.0,10.0,10.0,10.0,10.0,10.0],"hyporheic-connectivity":[11.0,11.0,11.0,11.0,11.0,11.0],"light-thermal-regime":[10.0,10.3,11.5,12.4,13.0,13.0],"low-flow-baseflow-dynamics":[9.0,9.0,9.0,9.0,9.0,9.0],"nutrient-cycling":[10.0,10.2,11.0,11.6,12.0,12.0],"population-support":[5.0,5.0,6.6,7.8,9.0,9.0],"reach-inflow":[10.0,10.0,10.0,10.0,10.0,10.0],"sediment-continuity":[8.0,11.2,12.0,12.0,12.0,12.0],"streamflow-regime":[11.0,11.0,11.0,11.0,11.0,11.0],"surface-water-storage":[12.0,12.0,12.0,12.0,12.0,12.0],"water-soil-quality":[9.0,9.3,10.5,11.4,12.0,12.0]}}}],"description":"Illustrative: a pasture stream with open cattle access and an undersized road culvert (1,600 ft). Watershed connectivity was not assessed.","id":"R3","name":"Rural headwater","staf_not_assessed":["watershed-connectivity"],"staf_source":"Illustrative scores (not an assessment)"}],"watershed":{"carried":{},"mode":"RECOMMENDED","rules":[]}}</t>
        </is>
      </c>
    </row>
    <row r="3">
      <c r="A3" t="inlineStr">
        <is>
          <t>meta</t>
        </is>
      </c>
      <c r="B3" t="n">
        <v>7</v>
      </c>
      <c r="C3" t="inlineStr">
        <is>
          <t>{"appVersion":"0.1.0","engineVersion":"1","format":"ceica-calculator","formatVersion":1,"layout":[{"cell":"B4","kind":"number","path":["settings","discount_rate"],"sheet":"Parameters"},{"cell":"B5","kind":"number","path":["settings","period_of_analysis"],"sheet":"Parameters"},{"cell":"B6","kind":"number","path":["settings","idc_periods_per_year"],"sheet":"Parameters"},{"cell":"B7","kind":"text","path":["settings","idc_method"],"sheet":"Parameters"},{"cell":"B8","kind":"text","path":["settings","recurring_timing"],"sheet":"Parameters"},{"cell":"B9","kind":"number","path":["settings","cost_decimals"],"sheet":"Parameters"},{"cell":"B10","kind":"number","path":["settings","output_decimals"],"sheet":"Parameters"},{"cell":"B14","kind":"number","path":["benefits","target_years",0],"sheet":"Parameters"},{"cell":"C14","kind":"number","path":["benefits","target_years",1],"sheet":"Parameters"},{"cell":"D14","kind":"number","path":["benefits","target_years",2],"sheet":"Parameters"},{"cell":"E14","kind":"number","path":["benefits","target_years",3],"sheet":"Parameters"},{"cell":"F14","kind":"number","path":["benefits","target_years",4],"sheet":"Parameters"},{"cell":"G14","kind":"number","path":["benefits","target_years",5],"sheet":"Parameters"},{"cell":"F10","kind":"int","path":["@assessed",0,"catchment-hydrology"],"sheet":"STAF scores"},{"cell":"G10","kind":"int","path":["@assessed",0,"surface-water-storage"],"sheet":"STAF scores"},{"cell":"H10","kind":"int","path":["@assessed",0,"reach-inflow"],"sheet":"STAF scores"},{"cell":"I10","kind":"int","path":["@assessed",0,"streamflow-regime"],"sheet":"STAF scores"},{"cell":"J10","kind":"int","path":["@assessed",0,"low-flow-baseflow-dynamics"],"sheet":"STAF scores"},{"cell":"K10","kind":"int","path":["@assessed",0,"high-flow-dynamics"],"sheet":"STAF scores"},{"cell":"L10","kind":"int","path":["@assessed",0,"floodplain-connectivity"],"sheet":"STAF scores"},{"cell":"M10","kind":"int","path":["@assessed",0,"hyporheic-connectivity"],"sheet":"STAF scores"},{"cell":"N10","kind":"int","path":["@assessed",0,"channel-evolution"],"sheet":"STAF scores"},{"cell":"O10","kind":"int","path":["@assessed",0,"channel-floodplain-dynamics"],"sheet":"STAF scores"},{"cell":"P10","kind":"int","path":["@assessed",0,"sediment-continuity"],"sheet":"STAF scores"},{"cell":"Q10","kind":"int","path":["@assessed",0,"bed-composition-bedform-dynamics"],"sheet":"STAF scores"},{"cell":"R10","kind":"int","path":["@assessed",0,"light-thermal-regime"],"sheet":"STAF scores"},{"cell":"S10","kind":"int","path":["@assessed",0,"carbon-processing"],"sheet":"STAF scores"},{"cell":"T10","kind":"int","path":["@assessed",0,"nutrient-cycling"],"sheet":"STAF scores"},{"cell":"U10","kind":"int","path":["@assessed",0,"water-soil-quality"],"sheet":"STAF scores"},{"cell":"V10","kind":"int","path":["@assessed",0,"habitat-provision"],"sheet":"STAF scores"},{"cell":"W10","kind":"int","path":["@assessed",0,"population-support"],"sheet":"STAF scores"},{"cell":"X10","kind":"int","path":["@assessed",0,"community-dynamics"],"sheet":"STAF scores"},{"cell":"Y10","kind":"int","path":["@assessed",0,"watershed-connectivity"],"sheet":"STAF scores"},{"cell":"F11","kind":"int","path":["@assessed",1,"catchment-hydrology"],"sheet":"STAF scores"},{"cell":"G11","kind":"int","path":["@assessed",1,"surface-water-storage"],"sheet":"STAF scores"},{"cell":"H11","kind":"int","path":["@assessed",1,"reach-inflow"],"sheet":"STAF scores"},{"cell":"I11","kind":"int","path":["@assessed",1,"streamflow-regime"],"sheet":"STAF scores"},{"cell":"J11","kind":"int","path":["@assessed",1,"low-flow-baseflow-dynamics"],"sheet":"STAF scores"},{"cell":"K11","kind":"int","path":["@assessed",1,"high-flow-dynamics"],"sheet":"STAF scores"},{"cell":"L11","kind":"int","path":["@assessed",1,"floodplain-connectivity"],"sheet":"STAF scores"},{"cell":"M11","kind":"int","path":["@assessed",1,"hyporheic-connectivity"],"sheet":"STAF scores"},{"cell":"N11","kind":"int","path":["@assessed",1,"channel-evolution"],"sheet":"STAF scores"},{"cell":"O11","kind":"int","path":["@assessed",1,"channel-floodplain-dynamics"],"sheet":"STAF scores"},{"cell":"P11","kind":"int","path":["@assessed",1,"sediment-continuity"],"sheet":"STAF scores"},{"cell":"Q11","kind":"int","path":["@assessed",1,"bed-composition-bedform-dynamics"],"sheet":"STAF scores"},{"cell":"R11","kind":"int","path":["@assessed",1,"light-thermal-regime"],"sheet":"STAF scores"},{"cell":"S11","kind":"int","path":["@assessed",1,"carbon-processing"],"sheet":"STAF scores"},{"cell":"T11","kind":"int","path":["@assessed",1,"nutrient-cycling"],"sheet":"STAF scores"},{"cell":"U11","kind":"int","path":["@assessed",1,"water-soil-quality"],"sheet":"STAF scores"},{"cell":"V11","kind":"int","path":["@assessed",1,"habitat-provision"],"sheet":"STAF scores"},{"cell":"W11","kind":"int","path":["@assessed",1,"population-support"],"sheet":"STAF scores"},{"cell":"X11","kind":"int","path":["@assessed",1,"community-dynamics"],"sheet":"STAF scores"},{"cell":"Y11","kind":"int","path":["@assessed",1,"watershed-connectivity"],"sheet":"STAF scores"},{"cell":"F12","kind":"int","path":["@assessed",2,"catchment-hydrology"],"sheet":"STAF scores"},{"cell":"G12","kind":"int","path":["@assessed",2,"surface-water-storage"],"sheet":"STAF scores"},{"cell":"H12","kind":"int","path":["@assessed",2,"reach-inflow"],"sheet":"STAF scores"},{"cell":"I12","kind":"int","path":["@assessed",2,"streamflow-regime"],"sheet":"STAF scores"},{"cell":"J12","kind":"int","path":["@assessed",2,"low-flow-baseflow-dynamics"],"sheet":"STAF scores"},{"cell":"K12","kind":"int","path":["@assessed",2,"high-flow-dynamics"],"sheet":"STAF scores"},{"cell":"L12","kind":"int","path":["@assessed",2,"floodplain-connectivity"],"sheet":"STAF scores"},{"cell":"M12","kind":"int","path":["@assessed",2,"hyporheic-connectivity"],"sheet":"STAF scores"},{"cell":"N12","kind":"int","path":["@assessed",2,"channel-evolution"],"sheet":"STAF scores"},{"cell":"O12","kind":"int","path":["@assessed",2,"channel-floodplain-dynamics"],"sheet":"STAF scores"},{"cell":"P12","kind":"int","path":["@assessed",2,"sediment-continuity"],"sheet":"STAF scores"},{"cell":"Q12","kind":"int","path":["@assessed",2,"bed-composition-bedform-dynamics"],"sheet":"STAF scores"},{"cell":"R12","kind":"int","path":["@assessed",2,"light-thermal-regime"],"sheet":"STAF scores"},{"cell":"S12","kind":"int","path":["@assessed",2,"carbon-processing"],"sheet":"STAF scores"},{"cell":"T12","kind":"int","path":["@assessed",2,"nutrient-cycling"],"sheet":"STAF scores"},{"cell":"U12","kind":"int","path":["@assessed",2,"water-soil-quality"],"sheet":"STAF scores"},{"cell":"V12","kind":"int","path":["@assessed",2,"habitat-provision"],"sheet":"STAF scores"},{"cell":"W12","kind":"int","path":["@assessed",2,"population-support"],"sheet":"STAF scores"},{"cell":"X12","kind":"int","path":["@assessed",2,"community-dynamics"],"sheet":"STAF scores"},{"cell":"Y12","kind":"int","path":["@assessed",2,"watershed-connectivity"],"sheet":"STAF scores"},{"cell":"E15","kind":"number","path":["sites",0,"alternatives",0,"staf","quantity",0],"sheet":"STAF scores"},{"cell":"F15","kind":"number","path":["sites",0,"alternatives",0,"staf","scores","catchment-hydrology",0],"sheet":"STAF scores"},{"cell":"G15","kind":"number","path":["sites",0,"alternatives",0,"staf","scores","surface-water-storage",0],"sheet":"STAF scores"},{"cell":"H15","kind":"number","path":["sites",0,"alternatives",0,"staf","scores","reach-inflow",0],"sheet":"STAF scores"},{"cell":"I15","kind":"number","path":["sites",0,"alternatives",0,"staf","scores","streamflow-regime",0],"sheet":"STAF scores"},{"cell":"J15","kind":"number","path":["sites",0,"alternatives",0,"staf","scores","low-flow-baseflow-dynamics",0],"sheet":"STAF scores"},{"cell":"K15","kind":"number","path":["sites",0,"alternatives",0,"staf","scores","high-flow-dynamics",0],"sheet":"STAF scores"},{"cell":"L15","kind":"number","path":["sites",0,"alternatives",0,"staf","scores","floodplain-connectivity",0],"sheet":"STAF scores"},{"cell":"M15","kind":"number","path":["sites",0,"alternatives",0,"staf","scores","hyporheic-connectivity",0],"sheet":"STAF scores"},{"cell":"N15","kind":"number","path":["sites",0,"alternatives",0,"staf","scores","channel-evolution",0],"sheet":"STAF scores"},{"cell":"O15","kind":"number","path":["sites",0,"alternatives",0,"staf","scores","channel-floodplain-dynamics",0],"sheet":"STAF scores"},{"cell":"P15","kind":"number","path":["sites",0,"alternatives",0,"staf","scores","sediment-continuity",0],"sheet":"STAF scores"},{"cell":"Q15","kind":"number","path":["sites",0,"alternatives",0,"staf","scores","bed-composition-bedform-dynamics",0],"sheet":"STAF scores"},{"cell":"R15","kind":"number","path":["sites",0,"alternatives",0,"staf","scores","light-thermal-regime",0],"sheet":"STAF scores"},{"cell":"S15","kind":"number","path":["sites",0,"alternatives",0,"staf","scores","carbon-processing",0],"sheet":"STAF scores"},{"cell":"T15","kind":"number","path":["sites",0,"alternatives",0,"staf","scores","nutrient-cycling",0],"sheet":"STAF scores"},{"cell":"U15","kind":"number","path":["sites",0,"alternatives",0,"staf","scores","water-soil-quality",0],"sheet":"STAF scores"},{"cell":"V15","kind":"number","path":["sites",0,"alternatives",0,"staf","scores","habitat-provision",0],"sheet":"STAF scores"},{"cell":"W15","kind":"number","path":["sites",0,"alternatives",0,"staf","scores","population-support",0],"sheet":"STAF scores"},{"cell":"X15","kind":"number","path":["sites",0,"alternatives",0,"staf","scores","community-dynamics",0],"sheet":"STAF scores"},{"cell":"Y15","kind":"number","path":["sites",0,"alternatives",0,"staf","scores","watershed-connectivity",0],"sheet":"STAF scores"},{"cell":"E16","kind":"number","path":["sites",0,"alternatives",0,"staf","quantity",1],"sheet":"STAF scores"},{"cell":"F16","kind":"number","path":["sites",0,"alternatives",0,"staf","scores","catchment-hydrology",1],"sheet":"STAF scores"},{"cell":"G16","kind":"number","path":["sites",0,"alternatives",0,"staf","scores","surface-water-storage",1],"sheet":"STAF scores"},{"cell":"H16","kind":"number","path":["sites",0,"alternatives",0,"staf","scores","reach-inflow",1],"sheet":"STAF scores"},{"cell":"I16","kind":"number","path":["sites",0,"alternatives",0,"staf","scores","streamflow-regime",1],"sheet":"STAF scores"},{"cell":"J16","kind":"number","path":["sites",0,"alternatives",0,"staf","scores","low-flow-baseflow-dynamics",1],"sheet":"STAF scores"},{"cell":"K16","kind":"number","path":["sites",0,"alternatives",0,"staf","scores","high-flow-dynamics",1],"sheet":"STAF scores"},{"cell":"L16","kind":"number","path":["sites",0,"alternatives",0,"staf","scores","floodplain-connectivity",1],"sheet":"STAF scores"},{"cell":"M16","kind":"number","path":["sites",0,"alternatives",0,"staf","scores","hyporheic-connectivity",1],"sheet":"STAF scores"},{"cell":"N16","kind":"number","path":["sites",0,"alternatives",0,"staf","scores","channel-evolution",1],"sheet":"STAF scores"},{"cell":"O16","kind":"number","path":["sites",0,"alternatives",0,"staf","scores","channel-floodplain-dynamics",1],"sheet":"STAF scores"},{"cell":"P16","kind":"number","path":["sites",0,"alternatives",0,"staf","scores","sediment-continuity",1],"sheet":"STAF scores"},{"cell":"Q16","kind":"number","path":["sites",0,"alternatives",0,"staf","scores","bed-composition-bedform-dynamics",1],"sheet":"STAF scores"},{"cell":"R16","kind":"number","path":["sites",0,"alternatives",0,"staf","scores","light-thermal-regime",1],"sheet":"STAF scores"},{"cell":"S16","kind":"number","path":["sites",0,"alternatives",0,"staf","scores","carbon-processing",1],"sheet":"STAF scores"},{"cell":"T16","kind":"number","path":["sites",0,"alternatives",0,"staf","scores","nutrient-cycling",1],"sheet":"STAF scores"},{"cell":"U16","kind":"number","path":["sites",0,"alternatives",0,"staf","scores","water-soil-quality",1],"sheet":"STAF scores"},{"cell":"V16","kind":"number","path":["sites",0,"alternatives",0,"staf","scores","habitat-provision",1],"sheet":"STAF scores"},{"cell":"W16","kind":"number","path":["sites",0,"alternatives",0,"staf","scores","population-support",1],"sheet":"STAF scores"},{"cell":"X16","kind":"number","path":["sites",0,"alternatives",0,"staf","scores","community-dynamics",1],"sheet":"STAF scores"},{"cell":"Y16","kind":"number","path":["sites",0,"alternatives",0,"staf","scores","watershed-connectivity",1],"sheet":"STAF scores"},{"cell":"E17","kind":"number","path":["sites",0,"alternatives",0,"staf","quantity",2],"sheet":"STAF scores"},{"cell":"F17","kind":"number","path":["sites",0,"alternatives",0,"staf","scores","catchment-hydrology",2],"sheet":"STAF scores"},{"cell":"G17","kind":"number","path":["sites",0,"alternatives",0,"staf","scores","surface-water-storage",2],"sheet":"STAF scores"},{"cell":"H17","kind":"number","path":["sites",0,"alternatives",0,"staf","scores","reach-inflow",2],"sheet":"STAF scores"},{"cell":"I17","kind":"number","path":["sites",0,"alternatives",0,"staf","scores","streamflow-regime",2],"sheet":"STAF scores"},{"cell":"J17","kind":"number","path":["sites",0,"alternatives",0,"staf","scores","low-flow-baseflow-dynamics",2],"sheet":"STAF scores"},{"cell":"K17","kind":"number","path":["sites",0,"alternatives",0,"staf","scores","high-flow-dynamics",2],"sheet":"STAF scores"},{"cell":"L17","kind":"number","path":["sites",0,"alternatives",0,"staf","scores","floodplain-connectivity",2],"sheet":"STAF scores"},{"cell":"M17","kind":"number","path":["sites",0,"alternatives",0,"staf","scores","hyporheic-connectivity",2],"sheet":"STAF scores"},{"cell":"N17","kind":"number","path":["sites",0,"alternatives",0,"staf","scores","channel-evolution",2],"sheet":"STAF scores"},{"cell":"O17","kind":"number","path":["sites",0,"alternatives",0,"staf","scores","channel-floodplain-dynamics",2],"sheet":"STAF scores"},{"cell":"P17","kind":"number","path":["sites",0,"alternatives",0,"staf","scores","sediment-continuity",2],"sheet":"STAF scores"},{"cell":"Q17","kind":"number","path":["sites",0,"alternatives",0,"staf","scores","bed-composition-bedform-dynamics",2],"sheet":"STAF scores"},{"cell":"R17","kind":"number","path":["sites",0,"alternatives",0,"staf","scores","light-thermal-regime",2],"sheet":"STAF scores"},{"cell":"S17","kind":"number","path":["sites",0,"alternatives",0,"staf","scores","carbon-processing",2],"sheet":"STAF scores"},{"cell":"T17","kind":"number","path":["sites",0,"alternatives",0,"staf","scores","nutrient-cycling",2],"sheet":"STAF scores"},{"cell":"U17","kind":"number","path":["sites",0,"alternatives",0,"staf","scores","water-soil-quality",2],"sheet":"STAF scores"},{"cell":"V17","kind":"number","path":["sites",0,"alternatives",0,"staf","scores","habitat-provision",2],"sheet":"STAF scores"},{"cell":"W17","kind":"number","path":["sites",0,"alternatives",0,"staf","scores","population-support",2],"sheet":"STAF scores"},{"cell":"X17","kind":"number","path":["sites",0,"alternatives",0,"staf","scores","community-dynamics",2],"sheet":"STAF scores"},{"cell":"Y17","kind":"number","path":["sites",0,"alternatives",0,"staf","scores","watershed-connectivity",2],"sheet":"STAF scores"},{"cell":"E18","kind":"number","path":["sites",0,"alternatives",0,"staf","quantity",3],"sheet":"STAF scores"},{"cell":"F18","kind":"number","path":["sites",0,"alternatives",0,"staf","scores","catchment-hydrology",3],"sheet":"STAF scores"},{"cell":"G18","kind":"number","path":["sites",0,"alternatives",0,"staf","scores","surface-water-storage",3],"sheet":"STAF scores"},{"cell":"H18","kind":"number","path":["sites",0,"alternatives",0,"staf","scores","reach-inflow",3],"sheet":"STAF scores"},{"cell":"I18","kind":"number","path":["sites",0,"alternatives",0,"staf","scores","streamflow-regime",3],"sheet":"STAF scores"},{"cell":"J18","kind":"number","path":["sites",0,"alternatives",0,"staf","scores","low-flow-baseflow-dynamics",3],"sheet":"STAF scores"},{"cell":"K18","kind":"number","path":["sites",0,"alternatives",0,"staf","scores","high-flow-dynamics",3],"sheet":"STAF scores"},{"cell":"L18","kind":"number","path":["sites",0,"alternatives",0,"staf","scores","floodplain-connectivity",3],"sheet":"STAF scores"},{"cell":"M18","kind":"number","path":["sites",0,"alternatives",0,"staf","scores","hyporheic-connectivity",3],"sheet":"STAF scores"},{"cell":"N18","kind":"number","path":["sites",0,"alternatives",0,"staf","scores","channel-evolution",3],"sheet":"STAF scores"},{"cell":"O18","kind":"number","path":["sites",0,"alternatives",0,"staf","scores","channel-floodplain-dynamics",3],"sheet":"STAF scores"},{"cell":"P18","kind":"number","path":["sites",0,"alternatives",0,"staf","scores","sediment-continuity",3],"sheet":"STAF scores"},{"cell":"Q18","kind":"number","path":["sites",0,"alternatives",0,"staf","scores","bed-composition-bedform-dynamics",3],"sheet":"STAF scores"},{"cell":"R18","kind":"number","path":["sites",0,"alternatives",0,"staf","scores","light-thermal-regime",3],"sheet":"STAF scores"},{"cell":"S18","kind":"number","path":["sites",0,"alternatives",0,"staf","scores","carbon-processing",3],"sheet":"STAF scores"},{"cell":"T18","kind":"number","path":["sites",0,"alternatives",0,"staf","scores","nutrient-cycling",3],"sheet":"STAF scores"},{"cell":"U18","kind":"number","path":["sites",0,"alternatives",0,"staf","scores","water-soil-quality",3],"sheet":"STAF scores"},{"cell":"V18","kind":"number","path":["sites",0,"alternatives",0,"staf","scores","habitat-provision",3],"sheet":"STAF scores"},{"cell":"W18","kind":"number","path":["sites",0,"alternatives",0,"staf","scores","population-support",3],"sheet":"STAF scores"},{"cell":"X18","kind":"number","path":["sites",0,"alternatives",0,"staf","scores","community-dynamics",3],"sheet":"STAF scores"},{"cell":"Y18","kind":"number","path":["sites",0,"alternatives",0,"staf","scores","watershed-connectivity",3],"sheet":"STAF scores"},{"cell":"E19","kind":"number","path":["sites",0,"alternatives",0,"staf","quantity",4],"sheet":"STAF scores"},{"cell":"F19","kind":"number","path":["sites",0,"alternatives",0,"staf","scores","catchment-hydrology",4],"sheet":"STAF scores"},{"cell":"G19","kind":"number","path":["sites",0,"alternatives",0,"staf","scores","surface-water-storage",4],"sheet":"STAF scores"},{"cell":"H19","kind":"number","path":["sites",0,"alternatives",0,"staf","scores","reach-inflow",4],"sheet":"STAF scores"},{"cell":"I19","kind":"number","path":["sites",0,"alternatives",0,"staf","scores","streamflow-regime",4],"sheet":"STAF scores"},{"cell":"J19","kind":"number","path":["sites",0,"alternatives",0,"staf","scores","low-flow-baseflow-dynamics",4],"sheet":"STAF scores"},{"cell":"K19","kind":"number","path":["sites",0,"alternatives",0,"staf","scores","high-flow-dynamics",4],"sheet":"STAF scores"},{"cell":"L19","kind":"number","path":["sites",0,"alternatives",0,"staf","scores","floodplain-connectivity",4],"sheet":"STAF scores"},{"cell":"M19","kind":"number","path":["sites",0,"alternatives",0,"staf","scores","hyporheic-connectivity",4],"sheet":"STAF scores"},{"cell":"N19","kind":"number","path":["sites",0,"alternatives",0,"staf","scores","channel-evolution",4],"sheet":"STAF scores"},{"cell":"O19","kind":"number","path":["sites",0,"alternatives",0,"staf","scores","channel-floodplain-dynamics",4],"sheet":"STAF scores"},{"cell":"P19","kind":"number","path":["sites",0,"alternatives",0,"staf","scores","sediment-continuity",4],"sheet":"STAF scores"},{"cell":"Q19","kind":"number","path":["sites",0,"alternatives",0,"staf","scores","bed-composition-bedform-dynamics",4],"sheet":"STAF scores"},{"cell":"R19","kind":"number","path":["sites",0,"alternatives",0,"staf","scores","light-thermal-regime",4],"sheet":"STAF scores"},{"cell":"S19","kind":"number","path":["sites",0,"alternatives",0,"staf","scores","carbon-processing",4],"sheet":"STAF scores"},{"cell":"T19","kind":"number","path":["sites",0,"alternatives",0,"staf","scores","nutrient-cycling",4],"sheet":"STAF scores"},{"cell":"U19","kind":"number","path":["sites",0,"alternatives",0,"staf","scores","water-soil-quality",4],"sheet":"STAF scores"},{"cell":"V19","kind":"number","path":["sites",0,"alternatives",0,"staf","scores","habitat-provision",4],"sheet":"STAF scores"},{"cell":"W19","kind":"number","path":["sites",0,"alternatives",0,"staf","scores","population-support",4],"sheet":"STAF scores"},{"cell":"X19","kind":"number","path":["sites",0,"alternatives",0,"staf","scores","community-dynamics",4],"sheet":"STAF scores"},{"cell":"Y19","kind":"number","path":["sites",0,"alternatives",0,"staf","scores","watershed-connectivity",4],"sheet":"STAF scores"},{"cell":"E20","kind":"number","path":["sites",0,"alternatives",0,"staf","quantity",5],"sheet":"STAF scores"},{"cell":"F20","kind":"number","path":["sites",0,"alternatives",0,"staf","scores","catchment-hydrology",5],"sheet":"STAF scores"},{"cell":"G20","kind":"number","path":["sites",0,"alternatives",0,"staf","scores","surface-water-storage",5],"sheet":"STAF scores"},{"cell":"H20","kind":"number","path":["sites",0,"alternatives",0,"staf","scores","reach-inflow",5],"sheet":"STAF scores"},{"cell":"I20","kind":"number","path":["sites",0,"alternatives",0,"staf","scores","streamflow-regime",5],"sheet":"STAF scores"},{"cell":"J20","kind":"number","path":["sites",0,"alternatives",0,"staf","scores","low-flow-baseflow-dynamics",5],"sheet":"STAF scores"},{"cell":"K20","kind":"number","path":["sites",0,"alternatives",0,"staf","scores","high-flow-dynamics",5],"sheet":"STAF scores"},{"cell":"L20","kind":"number","path":["sites",0,"alternatives",0,"staf","scores","floodplain-connectivity",5],"sheet":"STAF scores"},{"cell":"M20","kind":"number","path":["sites",0,"alternatives",0,"staf","scores","hyporheic-connectivity",5],"sheet":"STAF scores"},{"cell":"N20","kind":"number","path":["sites",0,"alternatives",0,"staf","scores","channel-evolution",5],"sheet":"STAF scores"},{"cell":"O20","kind":"number","path":["sites",0,"alternatives",0,"staf","scores","channel-floodplain-dynamics",5],"sheet":"STAF scores"},{"cell":"P20","kind":"number","path":["sites",0,"alternatives",0,"staf","scores","sediment-continuity",5],"sheet":"STAF scores"},{"cell":"Q20","kind":"number","path":["sites",0,"alternatives",0,"staf","scores","bed-composition-bedform-dynamics",5],"sheet":"STAF scores"},{"cell":"R20","kind":"number","path":["sites",0,"alternatives",0,"staf","scores","light-thermal-regime",5],"sheet":"STAF scores"},{"cell":"S20","kind":"number","path":["sites",0,"alternatives",0,"staf","scores","carbon-processing",5],"sheet":"STAF scores"},{"cell":"T20","kind":"number","path":["sites",0,"alternatives",0,"staf","scores","nutrient-cycling",5],"sheet":"STAF scores"},{"cell":"U20","kind":"number","path":["sites",0,"alternatives",0,"staf","scores","water-soil-quality",5],"sheet":"STAF scores"},{"cell":"V20","kind":"number","path":["sites",0,"alternatives",0,"staf","scores","habitat-provision",5],"sheet":"STAF scores"},{"cell":"W20","kind":"number","path":["sites",0,"alternatives",0,"staf","scores","population-support",5],"sheet":"STAF scores"},{"cell":"X20","kind":"number","path":["sites",0,"alternatives",0,"staf","scores","community-dynamics",5],"sheet":"STAF scores"},{"cell":"Y20","kind":"number","path":["sites",0,"alternatives",0,"staf","scores","watershed-connectivity",5],"sheet":"STAF scores"},{"cell":"E21","kind":"number","path":["sites",0,"alternatives",1,"staf","quantity",0],"sheet":"STAF scores"},{"cell":"F21","kind":"number","path":["sites",0,"alternatives",1,"staf","scores","catchment-hydrology",0],"sheet":"STAF scores"},{"cell":"G21","kind":"number","path":["sites",0,"alternatives",1,"staf","scores","surface-water-storage",0],"sheet":"STAF scores"},{"cell":"H21","kind":"number","path":["sites",0,"alternatives",1,"staf","scores","reach-inflow",0],"sheet":"STAF scores"},{"cell":"I21","kind":"number","path":["sites",0,"alternatives",1,"staf","scores","streamflow-regime",0],"sheet":"STAF scores"},{"cell":"J21","kind":"number","path":["sites",0,"alternatives",1,"staf","scores","low-flow-baseflow-dynamics",0],"sheet":"STAF scores"},{"cell":"K21","kind":"number","path":["sites",0,"alternatives",1,"staf","scores","high-flow-dynamics",0],"sheet":"STAF scores"},{"cell":"L21","kind":"number","path":["sites",0,"alternatives",1,"staf","scores","floodplain-connectivity",0],"sheet":"STAF scores"},{"cell":"M21","kind":"number","path":["sites",0,"alternatives",1,"staf","scores","hyporheic-connectivity",0],"sheet":"STAF scores"},{"cell":"N21","kind":"number","path":["sites",0,"alternatives",1,"staf","scores","channel-evolution",0],"sheet":"STAF scores"},{"cell":"O21","kind":"number","path":["sites",0,"alternatives",1,"staf","scores","channel-floodplain-dynamics",0],"sheet":"STAF scores"},{"cell":"P21","kind":"number","path":["sites",0,"alternatives",1,"staf","scores","sediment-continuity",0],"sheet":"STAF scores"},{"cell":"Q21","kind":"number","path":["sites",0,"alternatives",1,"staf","scores","bed-composition-bedform-dynamics",0],"sheet":"STAF scores"},{"cell":"R21","kind":"number","path":["sites",0,"alternatives",1,"staf","scores","light-thermal-regime",0],"sheet":"STAF scores"},{"cell":"S21","kind":"number","path":["sites",0,"alternatives",1,"staf","scores","carbon-processing",0],"sheet":"STAF scores"},{"cell":"T21","kind":"number","path":["sites",0,"alternatives",1,"staf","scores","nutrient-cycling",0],"sheet":"STAF scores"},{"cell":"U21","kind":"number","path":["sites",0,"alternatives",1,"staf","scores","water-soil-quality",0],"sheet":"STAF scores"},{"cell":"V21","kind":"number","path":["sites",0,"alternatives",1,"staf","scores","habitat-provision",0],"sheet":"STAF scores"},{"cell":"W21","kind":"number","path":["sites",0,"alternatives",1,"staf","scores","population-support",0],"sheet":"STAF scores"},{"cell":"X21","kind":"number","path":["sites",0,"alternatives",1,"staf","scores","community-dynamics",0],"sheet":"STAF scores"},{"cell":"Y21","kind":"number","path":["sites",0,"alternatives",1,"staf","scores","watershed-connectivity",0],"sheet":"STAF scores"},{"cell":"E22","kind":"number","path":["sites",0,"alternatives",1,"staf","quantity",1],"sheet":"STAF scores"},{"cell":"F22","kind":"number","path":["sites",0,"alternatives",1,"staf","scores","catchment-hydrology",1],"sheet":"STAF scores"},{"cell":"G22","kind":"number","path":["sites",0,"alternatives",1,"staf","scores","surface-water-storage",1],"sheet":"STAF scores"},{"cell":"H22","kind":"number","path":["sites",0,"alternatives",1,"staf","scores","reach-inflow",1],"sheet":"STAF scores"},{"cell":"I22","kind":"number","path":["sites",0,"alternatives",1,"staf","scores","streamflow-regime",1],"sheet":"STAF scores"},{"cell":"J22","kind":"number","path":["sites",0,"alternatives",1,"staf","scores","low-flow-baseflow-dynamics",1],"sheet":"STAF scores"},{"cell":"K22","kind":"number","path":["sites",0,"alternatives",1,"staf","scores","high-flow-dynamics",1],"sheet":"STAF scores"},{"cell":"L22","kind":"number","path":["sites",0,"alternatives",1,"staf","scores","floodplain-connectivity",1],"sheet":"STAF scores"},{"cell":"M22","kind":"number","path":["sites",0,"alternatives",1,"staf","scores","hyporheic-connectivity",1],"sheet":"STAF scores"},{"cell":"N22","kind":"number","path":["sites",0,"alternatives",1,"staf","scores","channel-evolution",1],"sheet":"STAF scores"},{"cell":"O22","kind":"number","path":["sites",0,"alternatives",1,"staf","scores","channel-floodplain-dynamics",1],"sheet":"STAF scores"},{"cell":"P22","kind":"number","path":["sites",0,"alternatives",1,"staf","scores","sediment-continuity",1],"sheet":"STAF scores"},{"cell":"Q22","kind":"number","path":["sites",0,"alternatives",1,"staf","scores","bed-composition-bedform-dynamics",1],"sheet":"STAF scores"},{"cell":"R22","kind":"number","path":["sites",0,"alternatives",1,"staf","scores","light-thermal-regime",1],"sheet":"STAF scores"},{"cell":"S22","kind":"number","path":["sites",0,"alternatives",1,"staf","scores","carbon-processing",1],"sheet":"STAF scores"},{"cell":"T22","kind":"number","path":["sites",0,"alternatives",1,"staf","scores","nutrient-cycling",1],"sheet":"STAF scores"},{"cell":"U22","kind":"number","path":["sites",0,"alternatives",1,"staf","scores","water-soil-quality",1],"sheet":"STAF scores"},{"cell":"V22","kind":"number","path":["sites",0,"alternatives",1,"staf","scores","habitat-provision",1],"sheet":"STAF scores"},{"cell":"W22","kind":"number","path":["sites",0,"alternatives",1,"staf","scores","population-support",1],"sheet":"STAF scores"},{"cell":"X22","kind":"number","path":["sites",0,"alternatives",1,"staf","scores","community-dynamics",1],"sheet":"STAF scores"},{"cell":"Y22","kind":"number","path":["sites",0,"alternatives",1,"staf","scores","watershed-connectivity",1],"sheet":"STAF scores"},{"cell":"E23","kind":"number","path":["sites",0,"alternatives",1,"staf","quantity",2],"sheet":"STAF scores"},{"cell":"F23","kind":"number","path":["sites",0,"alternatives",1,"staf","scores","catchment-hydrology",2],"sheet":"STAF scores"},{"cell":"G23","kind":"number","path":["sites",0,"alternatives",1,"staf","scores","surface-water-storage",2],"sheet":"STAF scores"},{"cell":"H23","kind":"number","path":["sites",0,"alternatives",1,"staf","scores","reach-inflow",2],"sheet":"STAF scores"},{"cell":"I23","kind":"number","path":["sites",0,"alternatives",1,"staf","scores","streamflow-regime",2],"sheet":"STAF scores"},{"cell":"J23","kind":"number","path":["sites",0,"alternatives",1,"staf","scores","low-flow-baseflow-dynamics",2],"sheet":"STAF scores"},{"cell":"K23","kind":"number","path":["sites",0,"alternatives",1,"staf","scores","high-flow-dynamics",2],"sheet":"STAF scores"},{"cell":"L23","kind":"number","path":["sites",0,"alternatives",1,"staf","scores","floodplain-connectivity",2],"sheet":"STAF scores"},{"cell":"M23","kind":"number","path":["sites",0,"alternatives",1,"staf","scores","hyporheic-connectivity",2],"sheet":"STAF scores"},{"cell":"N23","kind":"number","path":["sites",0,"alternatives",1,"staf","scores","channel-evolution",2],"sheet":"STAF scores"},{"cell":"O23","kind":"number","path":["sites",0,"alte</t>
        </is>
      </c>
      <c r="D3" t="inlineStr">
        <is>
          <t>rnatives",1,"staf","scores","channel-floodplain-dynamics",2],"sheet":"STAF scores"},{"cell":"P23","kind":"number","path":["sites",0,"alternatives",1,"staf","scores","sediment-continuity",2],"sheet":"STAF scores"},{"cell":"Q23","kind":"number","path":["sites",0,"alternatives",1,"staf","scores","bed-composition-bedform-dynamics",2],"sheet":"STAF scores"},{"cell":"R23","kind":"number","path":["sites",0,"alternatives",1,"staf","scores","light-thermal-regime",2],"sheet":"STAF scores"},{"cell":"S23","kind":"number","path":["sites",0,"alternatives",1,"staf","scores","carbon-processing",2],"sheet":"STAF scores"},{"cell":"T23","kind":"number","path":["sites",0,"alternatives",1,"staf","scores","nutrient-cycling",2],"sheet":"STAF scores"},{"cell":"U23","kind":"number","path":["sites",0,"alternatives",1,"staf","scores","water-soil-quality",2],"sheet":"STAF scores"},{"cell":"V23","kind":"number","path":["sites",0,"alternatives",1,"staf","scores","habitat-provision",2],"sheet":"STAF scores"},{"cell":"W23","kind":"number","path":["sites",0,"alternatives",1,"staf","scores","population-support",2],"sheet":"STAF scores"},{"cell":"X23","kind":"number","path":["sites",0,"alternatives",1,"staf","scores","community-dynamics",2],"sheet":"STAF scores"},{"cell":"Y23","kind":"number","path":["sites",0,"alternatives",1,"staf","scores","watershed-connectivity",2],"sheet":"STAF scores"},{"cell":"E24","kind":"number","path":["sites",0,"alternatives",1,"staf","quantity",3],"sheet":"STAF scores"},{"cell":"F24","kind":"number","path":["sites",0,"alternatives",1,"staf","scores","catchment-hydrology",3],"sheet":"STAF scores"},{"cell":"G24","kind":"number","path":["sites",0,"alternatives",1,"staf","scores","surface-water-storage",3],"sheet":"STAF scores"},{"cell":"H24","kind":"number","path":["sites",0,"alternatives",1,"staf","scores","reach-inflow",3],"sheet":"STAF scores"},{"cell":"I24","kind":"number","path":["sites",0,"alternatives",1,"staf","scores","streamflow-regime",3],"sheet":"STAF scores"},{"cell":"J24","kind":"number","path":["sites",0,"alternatives",1,"staf","scores","low-flow-baseflow-dynamics",3],"sheet":"STAF scores"},{"cell":"K24","kind":"number","path":["sites",0,"alternatives",1,"staf","scores","high-flow-dynamics",3],"sheet":"STAF scores"},{"cell":"L24","kind":"number","path":["sites",0,"alternatives",1,"staf","scores","floodplain-connectivity",3],"sheet":"STAF scores"},{"cell":"M24","kind":"number","path":["sites",0,"alternatives",1,"staf","scores","hyporheic-connectivity",3],"sheet":"STAF scores"},{"cell":"N24","kind":"number","path":["sites",0,"alternatives",1,"staf","scores","channel-evolution",3],"sheet":"STAF scores"},{"cell":"O24","kind":"number","path":["sites",0,"alternatives",1,"staf","scores","channel-floodplain-dynamics",3],"sheet":"STAF scores"},{"cell":"P24","kind":"number","path":["sites",0,"alternatives",1,"staf","scores","sediment-continuity",3],"sheet":"STAF scores"},{"cell":"Q24","kind":"number","path":["sites",0,"alternatives",1,"staf","scores","bed-composition-bedform-dynamics",3],"sheet":"STAF scores"},{"cell":"R24","kind":"number","path":["sites",0,"alternatives",1,"staf","scores","light-thermal-regime",3],"sheet":"STAF scores"},{"cell":"S24","kind":"number","path":["sites",0,"alternatives",1,"staf","scores","carbon-processing",3],"sheet":"STAF scores"},{"cell":"T24","kind":"number","path":["sites",0,"alternatives",1,"staf","scores","nutrient-cycling",3],"sheet":"STAF scores"},{"cell":"U24","kind":"number","path":["sites",0,"alternatives",1,"staf","scores","water-soil-quality",3],"sheet":"STAF scores"},{"cell":"V24","kind":"number","path":["sites",0,"alternatives",1,"staf","scores","habitat-provision",3],"sheet":"STAF scores"},{"cell":"W24","kind":"number","path":["sites",0,"alternatives",1,"staf","scores","population-support",3],"sheet":"STAF scores"},{"cell":"X24","kind":"number","path":["sites",0,"alternatives",1,"staf","scores","community-dynamics",3],"sheet":"STAF scores"},{"cell":"Y24","kind":"number","path":["sites",0,"alternatives",1,"staf","scores","watershed-connectivity",3],"sheet":"STAF scores"},{"cell":"E25","kind":"number","path":["sites",0,"alternatives",1,"staf","quantity",4],"sheet":"STAF scores"},{"cell":"F25","kind":"number","path":["sites",0,"alternatives",1,"staf","scores","catchment-hydrology",4],"sheet":"STAF scores"},{"cell":"G25","kind":"number","path":["sites",0,"alternatives",1,"staf","scores","surface-water-storage",4],"sheet":"STAF scores"},{"cell":"H25","kind":"number","path":["sites",0,"alternatives",1,"staf","scores","reach-inflow",4],"sheet":"STAF scores"},{"cell":"I25","kind":"number","path":["sites",0,"alternatives",1,"staf","scores","streamflow-regime",4],"sheet":"STAF scores"},{"cell":"J25","kind":"number","path":["sites",0,"alternatives",1,"staf","scores","low-flow-baseflow-dynamics",4],"sheet":"STAF scores"},{"cell":"K25","kind":"number","path":["sites",0,"alternatives",1,"staf","scores","high-flow-dynamics",4],"sheet":"STAF scores"},{"cell":"L25","kind":"number","path":["sites",0,"alternatives",1,"staf","scores","floodplain-connectivity",4],"sheet":"STAF scores"},{"cell":"M25","kind":"number","path":["sites",0,"alternatives",1,"staf","scores","hyporheic-connectivity",4],"sheet":"STAF scores"},{"cell":"N25","kind":"number","path":["sites",0,"alternatives",1,"staf","scores","channel-evolution",4],"sheet":"STAF scores"},{"cell":"O25","kind":"number","path":["sites",0,"alternatives",1,"staf","scores","channel-floodplain-dynamics",4],"sheet":"STAF scores"},{"cell":"P25","kind":"number","path":["sites",0,"alternatives",1,"staf","scores","sediment-continuity",4],"sheet":"STAF scores"},{"cell":"Q25","kind":"number","path":["sites",0,"alternatives",1,"staf","scores","bed-composition-bedform-dynamics",4],"sheet":"STAF scores"},{"cell":"R25","kind":"number","path":["sites",0,"alternatives",1,"staf","scores","light-thermal-regime",4],"sheet":"STAF scores"},{"cell":"S25","kind":"number","path":["sites",0,"alternatives",1,"staf","scores","carbon-processing",4],"sheet":"STAF scores"},{"cell":"T25","kind":"number","path":["sites",0,"alternatives",1,"staf","scores","nutrient-cycling",4],"sheet":"STAF scores"},{"cell":"U25","kind":"number","path":["sites",0,"alternatives",1,"staf","scores","water-soil-quality",4],"sheet":"STAF scores"},{"cell":"V25","kind":"number","path":["sites",0,"alternatives",1,"staf","scores","habitat-provision",4],"sheet":"STAF scores"},{"cell":"W25","kind":"number","path":["sites",0,"alternatives",1,"staf","scores","population-support",4],"sheet":"STAF scores"},{"cell":"X25","kind":"number","path":["sites",0,"alternatives",1,"staf","scores","community-dynamics",4],"sheet":"STAF scores"},{"cell":"Y25","kind":"number","path":["sites",0,"alternatives",1,"staf","scores","watershed-connectivity",4],"sheet":"STAF scores"},{"cell":"E26","kind":"number","path":["sites",0,"alternatives",1,"staf","quantity",5],"sheet":"STAF scores"},{"cell":"F26","kind":"number","path":["sites",0,"alternatives",1,"staf","scores","catchment-hydrology",5],"sheet":"STAF scores"},{"cell":"G26","kind":"number","path":["sites",0,"alternatives",1,"staf","scores","surface-water-storage",5],"sheet":"STAF scores"},{"cell":"H26","kind":"number","path":["sites",0,"alternatives",1,"staf","scores","reach-inflow",5],"sheet":"STAF scores"},{"cell":"I26","kind":"number","path":["sites",0,"alternatives",1,"staf","scores","streamflow-regime",5],"sheet":"STAF scores"},{"cell":"J26","kind":"number","path":["sites",0,"alternatives",1,"staf","scores","low-flow-baseflow-dynamics",5],"sheet":"STAF scores"},{"cell":"K26","kind":"number","path":["sites",0,"alternatives",1,"staf","scores","high-flow-dynamics",5],"sheet":"STAF scores"},{"cell":"L26","kind":"number","path":["sites",0,"alternatives",1,"staf","scores","floodplain-connectivity",5],"sheet":"STAF scores"},{"cell":"M26","kind":"number","path":["sites",0,"alternatives",1,"staf","scores","hyporheic-connectivity",5],"sheet":"STAF scores"},{"cell":"N26","kind":"number","path":["sites",0,"alternatives",1,"staf","scores","channel-evolution",5],"sheet":"STAF scores"},{"cell":"O26","kind":"number","path":["sites",0,"alternatives",1,"staf","scores","channel-floodplain-dynamics",5],"sheet":"STAF scores"},{"cell":"P26","kind":"number","path":["sites",0,"alternatives",1,"staf","scores","sediment-continuity",5],"sheet":"STAF scores"},{"cell":"Q26","kind":"number","path":["sites",0,"alternatives",1,"staf","scores","bed-composition-bedform-dynamics",5],"sheet":"STAF scores"},{"cell":"R26","kind":"number","path":["sites",0,"alternatives",1,"staf","scores","light-thermal-regime",5],"sheet":"STAF scores"},{"cell":"S26","kind":"number","path":["sites",0,"alternatives",1,"staf","scores","carbon-processing",5],"sheet":"STAF scores"},{"cell":"T26","kind":"number","path":["sites",0,"alternatives",1,"staf","scores","nutrient-cycling",5],"sheet":"STAF scores"},{"cell":"U26","kind":"number","path":["sites",0,"alternatives",1,"staf","scores","water-soil-quality",5],"sheet":"STAF scores"},{"cell":"V26","kind":"number","path":["sites",0,"alternatives",1,"staf","scores","habitat-provision",5],"sheet":"STAF scores"},{"cell":"W26","kind":"number","path":["sites",0,"alternatives",1,"staf","scores","population-support",5],"sheet":"STAF scores"},{"cell":"X26","kind":"number","path":["sites",0,"alternatives",1,"staf","scores","community-dynamics",5],"sheet":"STAF scores"},{"cell":"Y26","kind":"number","path":["sites",0,"alternatives",1,"staf","scores","watershed-connectivity",5],"sheet":"STAF scores"},{"cell":"E27","kind":"number","path":["sites",0,"alternatives",2,"staf","quantity",0],"sheet":"STAF scores"},{"cell":"F27","kind":"number","path":["sites",0,"alternatives",2,"staf","scores","catchment-hydrology",0],"sheet":"STAF scores"},{"cell":"G27","kind":"number","path":["sites",0,"alternatives",2,"staf","scores","surface-water-storage",0],"sheet":"STAF scores"},{"cell":"H27","kind":"number","path":["sites",0,"alternatives",2,"staf","scores","reach-inflow",0],"sheet":"STAF scores"},{"cell":"I27","kind":"number","path":["sites",0,"alternatives",2,"staf","scores","streamflow-regime",0],"sheet":"STAF scores"},{"cell":"J27","kind":"number","path":["sites",0,"alternatives",2,"staf","scores","low-flow-baseflow-dynamics",0],"sheet":"STAF scores"},{"cell":"K27","kind":"number","path":["sites",0,"alternatives",2,"staf","scores","high-flow-dynamics",0],"sheet":"STAF scores"},{"cell":"L27","kind":"number","path":["sites",0,"alternatives",2,"staf","scores","floodplain-connectivity",0],"sheet":"STAF scores"},{"cell":"M27","kind":"number","path":["sites",0,"alternatives",2,"staf","scores","hyporheic-connectivity",0],"sheet":"STAF scores"},{"cell":"N27","kind":"number","path":["sites",0,"alternatives",2,"staf","scores","channel-evolution",0],"sheet":"STAF scores"},{"cell":"O27","kind":"number","path":["sites",0,"alternatives",2,"staf","scores","channel-floodplain-dynamics",0],"sheet":"STAF scores"},{"cell":"P27","kind":"number","path":["sites",0,"alternatives",2,"staf","scores","sediment-continuity",0],"sheet":"STAF scores"},{"cell":"Q27","kind":"number","path":["sites",0,"alternatives",2,"staf","scores","bed-composition-bedform-dynamics",0],"sheet":"STAF scores"},{"cell":"R27","kind":"number","path":["sites",0,"alternatives",2,"staf","scores","light-thermal-regime",0],"sheet":"STAF scores"},{"cell":"S27","kind":"number","path":["sites",0,"alternatives",2,"staf","scores","carbon-processing",0],"sheet":"STAF scores"},{"cell":"T27","kind":"number","path":["sites",0,"alternatives",2,"staf","scores","nutrient-cycling",0],"sheet":"STAF scores"},{"cell":"U27","kind":"number","path":["sites",0,"alternatives",2,"staf","scores","water-soil-quality",0],"sheet":"STAF scores"},{"cell":"V27","kind":"number","path":["sites",0,"alternatives",2,"staf","scores","habitat-provision",0],"sheet":"STAF scores"},{"cell":"W27","kind":"number","path":["sites",0,"alternatives",2,"staf","scores","population-support",0],"sheet":"STAF scores"},{"cell":"X27","kind":"number","path":["sites",0,"alternatives",2,"staf","scores","community-dynamics",0],"sheet":"STAF scores"},{"cell":"Y27","kind":"number","path":["sites",0,"alternatives",2,"staf","scores","watershed-connectivity",0],"sheet":"STAF scores"},{"cell":"E28","kind":"number","path":["sites",0,"alternatives",2,"staf","quantity",1],"sheet":"STAF scores"},{"cell":"F28","kind":"number","path":["sites",0,"alternatives",2,"staf","scores","catchment-hydrology",1],"sheet":"STAF scores"},{"cell":"G28","kind":"number","path":["sites",0,"alternatives",2,"staf","scores","surface-water-storage",1],"sheet":"STAF scores"},{"cell":"H28","kind":"number","path":["sites",0,"alternatives",2,"staf","scores","reach-inflow",1],"sheet":"STAF scores"},{"cell":"I28","kind":"number","path":["sites",0,"alternatives",2,"staf","scores","streamflow-regime",1],"sheet":"STAF scores"},{"cell":"J28","kind":"number","path":["sites",0,"alternatives",2,"staf","scores","low-flow-baseflow-dynamics",1],"sheet":"STAF scores"},{"cell":"K28","kind":"number","path":["sites",0,"alternatives",2,"staf","scores","high-flow-dynamics",1],"sheet":"STAF scores"},{"cell":"L28","kind":"number","path":["sites",0,"alternatives",2,"staf","scores","floodplain-connectivity",1],"sheet":"STAF scores"},{"cell":"M28","kind":"number","path":["sites",0,"alternatives",2,"staf","scores","hyporheic-connectivity",1],"sheet":"STAF scores"},{"cell":"N28","kind":"number","path":["sites",0,"alternatives",2,"staf","scores","channel-evolution",1],"sheet":"STAF scores"},{"cell":"O28","kind":"number","path":["sites",0,"alternatives",2,"staf","scores","channel-floodplain-dynamics",1],"sheet":"STAF scores"},{"cell":"P28","kind":"number","path":["sites",0,"alternatives",2,"staf","scores","sediment-continuity",1],"sheet":"STAF scores"},{"cell":"Q28","kind":"number","path":["sites",0,"alternatives",2,"staf","scores","bed-composition-bedform-dynamics",1],"sheet":"STAF scores"},{"cell":"R28","kind":"number","path":["sites",0,"alternatives",2,"staf","scores","light-thermal-regime",1],"sheet":"STAF scores"},{"cell":"S28","kind":"number","path":["sites",0,"alternatives",2,"staf","scores","carbon-processing",1],"sheet":"STAF scores"},{"cell":"T28","kind":"number","path":["sites",0,"alternatives",2,"staf","scores","nutrient-cycling",1],"sheet":"STAF scores"},{"cell":"U28","kind":"number","path":["sites",0,"alternatives",2,"staf","scores","water-soil-quality",1],"sheet":"STAF scores"},{"cell":"V28","kind":"number","path":["sites",0,"alternatives",2,"staf","scores","habitat-provision",1],"sheet":"STAF scores"},{"cell":"W28","kind":"number","path":["sites",0,"alternatives",2,"staf","scores","population-support",1],"sheet":"STAF scores"},{"cell":"X28","kind":"number","path":["sites",0,"alternatives",2,"staf","scores","community-dynamics",1],"sheet":"STAF scores"},{"cell":"Y28","kind":"number","path":["sites",0,"alternatives",2,"staf","scores","watershed-connectivity",1],"sheet":"STAF scores"},{"cell":"E29","kind":"number","path":["sites",0,"alternatives",2,"staf","quantity",2],"sheet":"STAF scores"},{"cell":"F29","kind":"number","path":["sites",0,"alternatives",2,"staf","scores","catchment-hydrology",2],"sheet":"STAF scores"},{"cell":"G29","kind":"number","path":["sites",0,"alternatives",2,"staf","scores","surface-water-storage",2],"sheet":"STAF scores"},{"cell":"H29","kind":"number","path":["sites",0,"alternatives",2,"staf","scores","reach-inflow",2],"sheet":"STAF scores"},{"cell":"I29","kind":"number","path":["sites",0,"alternatives",2,"staf","scores","streamflow-regime",2],"sheet":"STAF scores"},{"cell":"J29","kind":"number","path":["sites",0,"alternatives",2,"staf","scores","low-flow-baseflow-dynamics",2],"sheet":"STAF scores"},{"cell":"K29","kind":"number","path":["sites",0,"alternatives",2,"staf","scores","high-flow-dynamics",2],"sheet":"STAF scores"},{"cell":"L29","kind":"number","path":["sites",0,"alternatives",2,"staf","scores","floodplain-connectivity",2],"sheet":"STAF scores"},{"cell":"M29","kind":"number","path":["sites",0,"alternatives",2,"staf","scores","hyporheic-connectivity",2],"sheet":"STAF scores"},{"cell":"N29","kind":"number","path":["sites",0,"alternatives",2,"staf","scores","channel-evolution",2],"sheet":"STAF scores"},{"cell":"O29","kind":"number","path":["sites",0,"alternatives",2,"staf","scores","channel-floodplain-dynamics",2],"sheet":"STAF scores"},{"cell":"P29","kind":"number","path":["sites",0,"alternatives",2,"staf","scores","sediment-continuity",2],"sheet":"STAF scores"},{"cell":"Q29","kind":"number","path":["sites",0,"alternatives",2,"staf","scores","bed-composition-bedform-dynamics",2],"sheet":"STAF scores"},{"cell":"R29","kind":"number","path":["sites",0,"alternatives",2,"staf","scores","light-thermal-regime",2],"sheet":"STAF scores"},{"cell":"S29","kind":"number","path":["sites",0,"alternatives",2,"staf","scores","carbon-processing",2],"sheet":"STAF scores"},{"cell":"T29","kind":"number","path":["sites",0,"alternatives",2,"staf","scores","nutrient-cycling",2],"sheet":"STAF scores"},{"cell":"U29","kind":"number","path":["sites",0,"alternatives",2,"staf","scores","water-soil-quality",2],"sheet":"STAF scores"},{"cell":"V29","kind":"number","path":["sites",0,"alternatives",2,"staf","scores","habitat-provision",2],"sheet":"STAF scores"},{"cell":"W29","kind":"number","path":["sites",0,"alternatives",2,"staf","scores","population-support",2],"sheet":"STAF scores"},{"cell":"X29","kind":"number","path":["sites",0,"alternatives",2,"staf","scores","community-dynamics",2],"sheet":"STAF scores"},{"cell":"Y29","kind":"number","path":["sites",0,"alternatives",2,"staf","scores","watershed-connectivity",2],"sheet":"STAF scores"},{"cell":"E30","kind":"number","path":["sites",0,"alternatives",2,"staf","quantity",3],"sheet":"STAF scores"},{"cell":"F30","kind":"number","path":["sites",0,"alternatives",2,"staf","scores","catchment-hydrology",3],"sheet":"STAF scores"},{"cell":"G30","kind":"number","path":["sites",0,"alternatives",2,"staf","scores","surface-water-storage",3],"sheet":"STAF scores"},{"cell":"H30","kind":"number","path":["sites",0,"alternatives",2,"staf","scores","reach-inflow",3],"sheet":"STAF scores"},{"cell":"I30","kind":"number","path":["sites",0,"alternatives",2,"staf","scores","streamflow-regime",3],"sheet":"STAF scores"},{"cell":"J30","kind":"number","path":["sites",0,"alternatives",2,"staf","scores","low-flow-baseflow-dynamics",3],"sheet":"STAF scores"},{"cell":"K30","kind":"number","path":["sites",0,"alternatives",2,"staf","scores","high-flow-dynamics",3],"sheet":"STAF scores"},{"cell":"L30","kind":"number","path":["sites",0,"alternatives",2,"staf","scores","floodplain-connectivity",3],"sheet":"STAF scores"},{"cell":"M30","kind":"number","path":["sites",0,"alternatives",2,"staf","scores","hyporheic-connectivity",3],"sheet":"STAF scores"},{"cell":"N30","kind":"number","path":["sites",0,"alternatives",2,"staf","scores","channel-evolution",3],"sheet":"STAF scores"},{"cell":"O30","kind":"number","path":["sites",0,"alternatives",2,"staf","scores","channel-floodplain-dynamics",3],"sheet":"STAF scores"},{"cell":"P30","kind":"number","path":["sites",0,"alternatives",2,"staf","scores","sediment-continuity",3],"sheet":"STAF scores"},{"cell":"Q30","kind":"number","path":["sites",0,"alternatives",2,"staf","scores","bed-composition-bedform-dynamics",3],"sheet":"STAF scores"},{"cell":"R30","kind":"number","path":["sites",0,"alternatives",2,"staf","scores","light-thermal-regime",3],"sheet":"STAF scores"},{"cell":"S30","kind":"number","path":["sites",0,"alternatives",2,"staf","scores","carbon-processing",3],"sheet":"STAF scores"},{"cell":"T30","kind":"number","path":["sites",0,"alternatives",2,"staf","scores","nutrient-cycling",3],"sheet":"STAF scores"},{"cell":"U30","kind":"number","path":["sites",0,"alternatives",2,"staf","scores","water-soil-quality",3],"sheet":"STAF scores"},{"cell":"V30","kind":"number","path":["sites",0,"alternatives",2,"staf","scores","habitat-provision",3],"sheet":"STAF scores"},{"cell":"W30","kind":"number","path":["sites",0,"alternatives",2,"staf","scores","population-support",3],"sheet":"STAF scores"},{"cell":"X30","kind":"number","path":["sites",0,"alternatives",2,"staf","scores","community-dynamics",3],"sheet":"STAF scores"},{"cell":"Y30","kind":"number","path":["sites",0,"alternatives",2,"staf","scores","watershed-connectivity",3],"sheet":"STAF scores"},{"cell":"E31","kind":"number","path":["sites",0,"alternatives",2,"staf","quantity",4],"sheet":"STAF scores"},{"cell":"F31","kind":"number","path":["sites",0,"alternatives",2,"staf","scores","catchment-hydrology",4],"sheet":"STAF scores"},{"cell":"G31","kind":"number","path":["sites",0,"alternatives",2,"staf","scores","surface-water-storage",4],"sheet":"STAF scores"},{"cell":"H31","kind":"number","path":["sites",0,"alternatives",2,"staf","scores","reach-inflow",4],"sheet":"STAF scores"},{"cell":"I31","kind":"number","path":["sites",0,"alternatives",2,"staf","scores","streamflow-regime",4],"sheet":"STAF scores"},{"cell":"J31","kind":"number","path":["sites",0,"alternatives",2,"staf","scores","low-flow-baseflow-dynamics",4],"sheet":"STAF scores"},{"cell":"K31","kind":"number","path":["sites",0,"alternatives",2,"staf","scores","high-flow-dynamics",4],"sheet":"STAF scores"},{"cell":"L31","kind":"number","path":["sites",0,"alternatives",2,"staf","scores","floodplain-connectivity",4],"sheet":"STAF scores"},{"cell":"M31","kind":"number","path":["sites",0,"alternatives",2,"staf","scores","hyporheic-connectivity",4],"sheet":"STAF scores"},{"cell":"N31","kind":"number","path":["sites",0,"alternatives",2,"staf","scores","channel-evolution",4],"sheet":"STAF scores"},{"cell":"O31","kind":"number","path":["sites",0,"alternatives",2,"staf","scores","channel-floodplain-dynamics",4],"sheet":"STAF scores"},{"cell":"P31","kind":"number","path":["sites",0,"alternatives",2,"staf","scores","sediment-continuity",4],"sheet":"STAF scores"},{"cell":"Q31","kind":"number","path":["sites",0,"alternatives",2,"staf","scores","bed-composition-bedform-dynamics",4],"sheet":"STAF scores"},{"cell":"R31","kind":"number","path":["sites",0,"alternatives",2,"staf","scores","light-thermal-regime",4],"sheet":"STAF scores"},{"cell":"S31","kind":"number","path":["sites",0,"alternatives",2,"staf","scores","carbon-processing",4],"sheet":"STAF scores"},{"cell":"T31","kind":"number","path":["sites",0,"alternatives",2,"staf","scores","nutrient-cycling",4],"sheet":"STAF scores"},{"cell":"U31","kind":"number","path":["sites",0,"alternatives",2,"staf","scores","water-soil-quality",4],"sheet":"STAF scores"},{"cell":"V31","kind":"number","path":["sites",0,"alternatives",2,"staf","scores","habitat-provision",4],"sheet":"STAF scores"},{"cell":"W31","kind":"number","path":["sites",0,"alternatives",2,"staf","scores","population-support",4],"sheet":"STAF scores"},{"cell":"X31","kind":"number","path":["sites",0,"alternatives",2,"staf","scores","community-dynamics",4],"sheet":"STAF scores"},{"cell":"Y31","kind":"number","path":["sites",0,"alternatives",2,"staf","scores","watershed-connectivity",4],"sheet":"STAF scores"},{"cell":"E32","kind":"number","path":["sites",0,"alternatives",2,"staf","quantity",5],"sheet":"STAF scores"},{"cell":"F32","kind":"number","path":["sites",0,"alternatives",2,"staf","scores","catchment-hydrology",5],"sheet":"STAF scores"},{"cell":"G32","kind":"number","path":["sites",0,"alternatives",2,"staf","scores","surface-water-storage",5],"sheet":"STAF scores"},{"cell":"H32","kind":"number","path":["sites",0,"alternatives",2,"staf","scores","reach-inflow",5],"sheet":"STAF scores"},{"cell":"I32","kind":"number","path":["sites",0,"alternatives",2,"staf","scores","streamflow-regime",5],"sheet":"STAF scores"},{"cell":"J32","kind":"number","path":["sites",0,"alternatives",2,"staf","scores","low-flow-baseflow-dynamics",5],"sheet":"STAF scores"},{"cell":"K32","kind":"number","path":["sites",0,"alternatives",2,"staf","scores","high-flow-dynamics",5],"sheet":"STAF scores"},{"cell":"L32","kind":"number","path":["sites",0,"alternatives",2,"staf","scores","floodplain-connectivity",5],"sheet":"STAF scores"},{"cell":"M32","kind":"number","path":["sites",0,"alternatives",2,"staf","scores","hyporheic-connectivity",5],"sheet":"STAF scores"},{"cell":"N32","kind":"number","path":["sites",0,"alternatives",2,"staf","scores","channel-evolution",5],"sheet":"STAF scores"},{"cell":"O32","kind":"number","path":["sites",0,"alternatives",2,"staf","scores","channel-floodplain-dynamics",5],"sheet":"STAF scores"},{"cell":"P32","kind":"number","path":["sites",0,"alternatives",2,"staf","scores","sediment-continuity",5],"sheet":"STAF scores"},{"cell":"Q32","kind":"number","path":["sites",0,"alternatives",2,"staf","scores","bed-composition-bedform-dynamics",5],"sheet":"STAF scores"},{"cell":"R32","kind":"number","path":["sites",0,"alternatives",2,"staf","scores","light-thermal-regime",5],"sheet":"STAF scores"},{"cell":"S32","kind":"number","path":["sites",0,"alternatives",2,"staf","scores","carbon-processing",5],"sheet":"STAF scores"},{"cell":"T32","kind":"number","path":["sites",0,"alternatives",2,"staf","scores","nutrient-cycling",5],"sheet":"STAF scores"},{"cell":"U32","kind":"number","path":["sites",0,"alternatives",2,"staf","scores","water-soil-quality",5],"sheet":"STAF scores"},{"cell":"V32","kind":"number","path":["sites",0,"alternatives",2,"staf","scores","habitat-provision",5],"sheet":"STAF scores"},{"cell":"W32","kind":"number","path":["sites",0,"alternatives",2,"staf","scores","population-support",5],"sheet":"STAF scores"},{"cell":"X32","kind":"number","path":["sites",0,"alternatives",2,"staf","scores","community-dynamics",5],"sheet":"STAF scores"},{"cell":"Y32","kind":"number","path":["sites",0,"alternatives",2,"staf","scores","watershed-connectivity",5],"sheet":"STAF scores"},{"cell":"E33","kind":"number","path":["sites",0,"alternatives",3,"staf","quantity",0],"sheet":"STAF scores"},{"cell":"F33","kind":"number","path":["sites",0,"alternatives",3,"staf","scores","catchment-hydrology",0],"sheet":"STAF scores"},{"cell":"G33","kind":"number","path":["sites",0,"alternatives",3,"staf","scores","surface-water-storage",0],"sheet":"STAF scores"},{"cell":"H33","kind":"number","path":["sites",0,"alternatives",3,"staf","scores","reach-inflow",0],"sheet":"STAF scores"},{"cell":"I33","kind":"number","path":["sites",0,"alternatives",3,"staf","scores","streamflow-regime",0],"sheet":"STAF scores"},{"cell":"J33","kind":"number","path":["sites",0,"alternatives",3,"staf","scores","low-flow-baseflow-dynamics",0],"sheet":"STAF scores"},{"cell":"K33","kind":"number","path":["sites",0,"alternatives",3,"staf","scores","high-flow-dynamics",0],"sheet":"STAF scores"},{"cell":"L33","kind":"number","path":["sites",0,"alternatives",3,"staf","scores","floodplain-connectivity",0],"sheet":"STAF scores"},{"cell":"M33","kind":"number","path":["sites",0,"alternatives",3,"staf","scores","hyporheic-connectivity",0],"sheet":"STAF scores"},{"cell":"N33","kind":"number","path":["sites",0,"alternatives",3,"staf","scores","channel-evolution",0],"sheet":"STAF scores"},{"cell":"O33","kind":"number","path":["sites",0,"alternatives",3,"staf","scores","channel-floodplain-dynamics",0],"sheet":"STAF scores"},{"cell":"P33","kind":"number","path":["sites",0,"alternatives",3,"staf","scores","sediment-continuity",0],"sheet":"STAF scores"},{"cell":"Q33","kind":"number","path":["sites",0,"alternatives",3,"staf","scores","bed-composition-bedform-dynamics",0],"sheet":"STAF scores"},{"cell":"R33","kind":"number","path":["sites",0,"alternatives",3,"staf","scores","light-thermal-regime",0],"sheet":"STAF scores"},{"cell":"S33","kind":"number","path":["sites",0,"alternatives",3,"staf","scores","carbon-processing",0],"sheet":"STAF scores"},{"cell":"T33","kind":"number","path":["sites",0,"alternatives",3,"staf","scores","nutrient-cycling",0],"sheet":"STAF scores"},{"cell":"U33","kind":"number","path":["sites",0,"alternatives",3,"staf","scores","water-soil-quality",0],"sheet":"STAF scores"},{"cell":"V33","kind":"number","path":["sites",0,"alternatives",3,"staf","scores","habitat-provision",0],"sheet":"STAF scores"},{"cell":"W33","kind":"number","path":["sites",0,"alternatives",3,"staf","scores","population-support",0],"sheet":"STAF scores"},{"cell":"X33","kind":"number","path":["sites",0,"alternatives",3,"staf","scores","community-dynamics",0],"sheet":"STAF scores"},{"cell":"Y33","kind":"number","path":["sites",0,"alternatives",3,"staf","scores","watershed-connectivity",0],"sheet":"STAF scores"},{"cell":"E34","kind":"number","path":["sites",0,"alternatives",3,"staf","quantity",1],"sheet":"STAF scores"},{"cell":"F34","kind":"number","path":["sites",0,"alternatives",3,"staf","scores","catchment-hydrology",1],"sheet":"STAF scores"},{"cell":"G34","kind":"number","path":["sites",0,"alternatives",3,"staf","scores","surface-water-storage",1],"sheet":"STAF scores"},{"cell":"H34","kind":"number","path":["sites",0,"alternatives",3,"staf","scores","reach-inflow",1],"sheet":"STAF scores"},{"cell":"I34","kind":"number","path":["sites",0,"alternatives",3,"staf","scores","streamflow-regime",1],"sheet":"STAF scores"},{"cell":"J34","kind":"number","path":["sites",0,"alternatives",3,"staf","scores","low-flow-baseflow-dynamics",1],"sheet":"STAF scores"},{"cell":"K34","kind":"number","path":["sites",0,"alternatives",3,"staf","scores","high-flow-dynamics",1],"sheet":"STAF scores"},{"cell":"L34","kind":"number","path":["sites",0,"alternatives",3,"staf","scores","floodplain-connectivity",1],"sheet":"STAF scores"},{"cell":"M34","kind":"number","path":["sites",0,"alternatives",3,"staf","scores","hyporheic-connectivity",1],"sheet":"STAF scores"},{"cell":"N34","kind":"number","path":["sites",0,"alternatives",3,"staf","scores","channel-evolution",1],"sheet":"STAF scores"},{"cell":"O34","kind":"number","path":["sites",0,"alternatives",3,"staf","scores","channel-floodplain-dynamics",1],"sheet":"STAF scores"},{"cell":"P34","kind":"number","path":["sites",0,"alternatives",3,"staf","scores","sediment-continuity",1],"sheet":"STAF scores"}</t>
        </is>
      </c>
      <c r="E3" t="inlineStr">
        <is>
          <t>,{"cell":"Q34","kind":"number","path":["sites",0,"alternatives",3,"staf","scores","bed-composition-bedform-dynamics",1],"sheet":"STAF scores"},{"cell":"R34","kind":"number","path":["sites",0,"alternatives",3,"staf","scores","light-thermal-regime",1],"sheet":"STAF scores"},{"cell":"S34","kind":"number","path":["sites",0,"alternatives",3,"staf","scores","carbon-processing",1],"sheet":"STAF scores"},{"cell":"T34","kind":"number","path":["sites",0,"alternatives",3,"staf","scores","nutrient-cycling",1],"sheet":"STAF scores"},{"cell":"U34","kind":"number","path":["sites",0,"alternatives",3,"staf","scores","water-soil-quality",1],"sheet":"STAF scores"},{"cell":"V34","kind":"number","path":["sites",0,"alternatives",3,"staf","scores","habitat-provision",1],"sheet":"STAF scores"},{"cell":"W34","kind":"number","path":["sites",0,"alternatives",3,"staf","scores","population-support",1],"sheet":"STAF scores"},{"cell":"X34","kind":"number","path":["sites",0,"alternatives",3,"staf","scores","community-dynamics",1],"sheet":"STAF scores"},{"cell":"Y34","kind":"number","path":["sites",0,"alternatives",3,"staf","scores","watershed-connectivity",1],"sheet":"STAF scores"},{"cell":"E35","kind":"number","path":["sites",0,"alternatives",3,"staf","quantity",2],"sheet":"STAF scores"},{"cell":"F35","kind":"number","path":["sites",0,"alternatives",3,"staf","scores","catchment-hydrology",2],"sheet":"STAF scores"},{"cell":"G35","kind":"number","path":["sites",0,"alternatives",3,"staf","scores","surface-water-storage",2],"sheet":"STAF scores"},{"cell":"H35","kind":"number","path":["sites",0,"alternatives",3,"staf","scores","reach-inflow",2],"sheet":"STAF scores"},{"cell":"I35","kind":"number","path":["sites",0,"alternatives",3,"staf","scores","streamflow-regime",2],"sheet":"STAF scores"},{"cell":"J35","kind":"number","path":["sites",0,"alternatives",3,"staf","scores","low-flow-baseflow-dynamics",2],"sheet":"STAF scores"},{"cell":"K35","kind":"number","path":["sites",0,"alternatives",3,"staf","scores","high-flow-dynamics",2],"sheet":"STAF scores"},{"cell":"L35","kind":"number","path":["sites",0,"alternatives",3,"staf","scores","floodplain-connectivity",2],"sheet":"STAF scores"},{"cell":"M35","kind":"number","path":["sites",0,"alternatives",3,"staf","scores","hyporheic-connectivity",2],"sheet":"STAF scores"},{"cell":"N35","kind":"number","path":["sites",0,"alternatives",3,"staf","scores","channel-evolution",2],"sheet":"STAF scores"},{"cell":"O35","kind":"number","path":["sites",0,"alternatives",3,"staf","scores","channel-floodplain-dynamics",2],"sheet":"STAF scores"},{"cell":"P35","kind":"number","path":["sites",0,"alternatives",3,"staf","scores","sediment-continuity",2],"sheet":"STAF scores"},{"cell":"Q35","kind":"number","path":["sites",0,"alternatives",3,"staf","scores","bed-composition-bedform-dynamics",2],"sheet":"STAF scores"},{"cell":"R35","kind":"number","path":["sites",0,"alternatives",3,"staf","scores","light-thermal-regime",2],"sheet":"STAF scores"},{"cell":"S35","kind":"number","path":["sites",0,"alternatives",3,"staf","scores","carbon-processing",2],"sheet":"STAF scores"},{"cell":"T35","kind":"number","path":["sites",0,"alternatives",3,"staf","scores","nutrient-cycling",2],"sheet":"STAF scores"},{"cell":"U35","kind":"number","path":["sites",0,"alternatives",3,"staf","scores","water-soil-quality",2],"sheet":"STAF scores"},{"cell":"V35","kind":"number","path":["sites",0,"alternatives",3,"staf","scores","habitat-provision",2],"sheet":"STAF scores"},{"cell":"W35","kind":"number","path":["sites",0,"alternatives",3,"staf","scores","population-support",2],"sheet":"STAF scores"},{"cell":"X35","kind":"number","path":["sites",0,"alternatives",3,"staf","scores","community-dynamics",2],"sheet":"STAF scores"},{"cell":"Y35","kind":"number","path":["sites",0,"alternatives",3,"staf","scores","watershed-connectivity",2],"sheet":"STAF scores"},{"cell":"E36","kind":"number","path":["sites",0,"alternatives",3,"staf","quantity",3],"sheet":"STAF scores"},{"cell":"F36","kind":"number","path":["sites",0,"alternatives",3,"staf","scores","catchment-hydrology",3],"sheet":"STAF scores"},{"cell":"G36","kind":"number","path":["sites",0,"alternatives",3,"staf","scores","surface-water-storage",3],"sheet":"STAF scores"},{"cell":"H36","kind":"number","path":["sites",0,"alternatives",3,"staf","scores","reach-inflow",3],"sheet":"STAF scores"},{"cell":"I36","kind":"number","path":["sites",0,"alternatives",3,"staf","scores","streamflow-regime",3],"sheet":"STAF scores"},{"cell":"J36","kind":"number","path":["sites",0,"alternatives",3,"staf","scores","low-flow-baseflow-dynamics",3],"sheet":"STAF scores"},{"cell":"K36","kind":"number","path":["sites",0,"alternatives",3,"staf","scores","high-flow-dynamics",3],"sheet":"STAF scores"},{"cell":"L36","kind":"number","path":["sites",0,"alternatives",3,"staf","scores","floodplain-connectivity",3],"sheet":"STAF scores"},{"cell":"M36","kind":"number","path":["sites",0,"alternatives",3,"staf","scores","hyporheic-connectivity",3],"sheet":"STAF scores"},{"cell":"N36","kind":"number","path":["sites",0,"alternatives",3,"staf","scores","channel-evolution",3],"sheet":"STAF scores"},{"cell":"O36","kind":"number","path":["sites",0,"alternatives",3,"staf","scores","channel-floodplain-dynamics",3],"sheet":"STAF scores"},{"cell":"P36","kind":"number","path":["sites",0,"alternatives",3,"staf","scores","sediment-continuity",3],"sheet":"STAF scores"},{"cell":"Q36","kind":"number","path":["sites",0,"alternatives",3,"staf","scores","bed-composition-bedform-dynamics",3],"sheet":"STAF scores"},{"cell":"R36","kind":"number","path":["sites",0,"alternatives",3,"staf","scores","light-thermal-regime",3],"sheet":"STAF scores"},{"cell":"S36","kind":"number","path":["sites",0,"alternatives",3,"staf","scores","carbon-processing",3],"sheet":"STAF scores"},{"cell":"T36","kind":"number","path":["sites",0,"alternatives",3,"staf","scores","nutrient-cycling",3],"sheet":"STAF scores"},{"cell":"U36","kind":"number","path":["sites",0,"alternatives",3,"staf","scores","water-soil-quality",3],"sheet":"STAF scores"},{"cell":"V36","kind":"number","path":["sites",0,"alternatives",3,"staf","scores","habitat-provision",3],"sheet":"STAF scores"},{"cell":"W36","kind":"number","path":["sites",0,"alternatives",3,"staf","scores","population-support",3],"sheet":"STAF scores"},{"cell":"X36","kind":"number","path":["sites",0,"alternatives",3,"staf","scores","community-dynamics",3],"sheet":"STAF scores"},{"cell":"Y36","kind":"number","path":["sites",0,"alternatives",3,"staf","scores","watershed-connectivity",3],"sheet":"STAF scores"},{"cell":"E37","kind":"number","path":["sites",0,"alternatives",3,"staf","quantity",4],"sheet":"STAF scores"},{"cell":"F37","kind":"number","path":["sites",0,"alternatives",3,"staf","scores","catchment-hydrology",4],"sheet":"STAF scores"},{"cell":"G37","kind":"number","path":["sites",0,"alternatives",3,"staf","scores","surface-water-storage",4],"sheet":"STAF scores"},{"cell":"H37","kind":"number","path":["sites",0,"alternatives",3,"staf","scores","reach-inflow",4],"sheet":"STAF scores"},{"cell":"I37","kind":"number","path":["sites",0,"alternatives",3,"staf","scores","streamflow-regime",4],"sheet":"STAF scores"},{"cell":"J37","kind":"number","path":["sites",0,"alternatives",3,"staf","scores","low-flow-baseflow-dynamics",4],"sheet":"STAF scores"},{"cell":"K37","kind":"number","path":["sites",0,"alternatives",3,"staf","scores","high-flow-dynamics",4],"sheet":"STAF scores"},{"cell":"L37","kind":"number","path":["sites",0,"alternatives",3,"staf","scores","floodplain-connectivity",4],"sheet":"STAF scores"},{"cell":"M37","kind":"number","path":["sites",0,"alternatives",3,"staf","scores","hyporheic-connectivity",4],"sheet":"STAF scores"},{"cell":"N37","kind":"number","path":["sites",0,"alternatives",3,"staf","scores","channel-evolution",4],"sheet":"STAF scores"},{"cell":"O37","kind":"number","path":["sites",0,"alternatives",3,"staf","scores","channel-floodplain-dynamics",4],"sheet":"STAF scores"},{"cell":"P37","kind":"number","path":["sites",0,"alternatives",3,"staf","scores","sediment-continuity",4],"sheet":"STAF scores"},{"cell":"Q37","kind":"number","path":["sites",0,"alternatives",3,"staf","scores","bed-composition-bedform-dynamics",4],"sheet":"STAF scores"},{"cell":"R37","kind":"number","path":["sites",0,"alternatives",3,"staf","scores","light-thermal-regime",4],"sheet":"STAF scores"},{"cell":"S37","kind":"number","path":["sites",0,"alternatives",3,"staf","scores","carbon-processing",4],"sheet":"STAF scores"},{"cell":"T37","kind":"number","path":["sites",0,"alternatives",3,"staf","scores","nutrient-cycling",4],"sheet":"STAF scores"},{"cell":"U37","kind":"number","path":["sites",0,"alternatives",3,"staf","scores","water-soil-quality",4],"sheet":"STAF scores"},{"cell":"V37","kind":"number","path":["sites",0,"alternatives",3,"staf","scores","habitat-provision",4],"sheet":"STAF scores"},{"cell":"W37","kind":"number","path":["sites",0,"alternatives",3,"staf","scores","population-support",4],"sheet":"STAF scores"},{"cell":"X37","kind":"number","path":["sites",0,"alternatives",3,"staf","scores","community-dynamics",4],"sheet":"STAF scores"},{"cell":"Y37","kind":"number","path":["sites",0,"alternatives",3,"staf","scores","watershed-connectivity",4],"sheet":"STAF scores"},{"cell":"E38","kind":"number","path":["sites",0,"alternatives",3,"staf","quantity",5],"sheet":"STAF scores"},{"cell":"F38","kind":"number","path":["sites",0,"alternatives",3,"staf","scores","catchment-hydrology",5],"sheet":"STAF scores"},{"cell":"G38","kind":"number","path":["sites",0,"alternatives",3,"staf","scores","surface-water-storage",5],"sheet":"STAF scores"},{"cell":"H38","kind":"number","path":["sites",0,"alternatives",3,"staf","scores","reach-inflow",5],"sheet":"STAF scores"},{"cell":"I38","kind":"number","path":["sites",0,"alternatives",3,"staf","scores","streamflow-regime",5],"sheet":"STAF scores"},{"cell":"J38","kind":"number","path":["sites",0,"alternatives",3,"staf","scores","low-flow-baseflow-dynamics",5],"sheet":"STAF scores"},{"cell":"K38","kind":"number","path":["sites",0,"alternatives",3,"staf","scores","high-flow-dynamics",5],"sheet":"STAF scores"},{"cell":"L38","kind":"number","path":["sites",0,"alternatives",3,"staf","scores","floodplain-connectivity",5],"sheet":"STAF scores"},{"cell":"M38","kind":"number","path":["sites",0,"alternatives",3,"staf","scores","hyporheic-connectivity",5],"sheet":"STAF scores"},{"cell":"N38","kind":"number","path":["sites",0,"alternatives",3,"staf","scores","channel-evolution",5],"sheet":"STAF scores"},{"cell":"O38","kind":"number","path":["sites",0,"alternatives",3,"staf","scores","channel-floodplain-dynamics",5],"sheet":"STAF scores"},{"cell":"P38","kind":"number","path":["sites",0,"alternatives",3,"staf","scores","sediment-continuity",5],"sheet":"STAF scores"},{"cell":"Q38","kind":"number","path":["sites",0,"alternatives",3,"staf","scores","bed-composition-bedform-dynamics",5],"sheet":"STAF scores"},{"cell":"R38","kind":"number","path":["sites",0,"alternatives",3,"staf","scores","light-thermal-regime",5],"sheet":"STAF scores"},{"cell":"S38","kind":"number","path":["sites",0,"alternatives",3,"staf","scores","carbon-processing",5],"sheet":"STAF scores"},{"cell":"T38","kind":"number","path":["sites",0,"alternatives",3,"staf","scores","nutrient-cycling",5],"sheet":"STAF scores"},{"cell":"U38","kind":"number","path":["sites",0,"alternatives",3,"staf","scores","water-soil-quality",5],"sheet":"STAF scores"},{"cell":"V38","kind":"number","path":["sites",0,"alternatives",3,"staf","scores","habitat-provision",5],"sheet":"STAF scores"},{"cell":"W38","kind":"number","path":["sites",0,"alternatives",3,"staf","scores","population-support",5],"sheet":"STAF scores"},{"cell":"X38","kind":"number","path":["sites",0,"alternatives",3,"staf","scores","community-dynamics",5],"sheet":"STAF scores"},{"cell":"Y38","kind":"number","path":["sites",0,"alternatives",3,"staf","scores","watershed-connectivity",5],"sheet":"STAF scores"},{"cell":"E39","kind":"number","path":["sites",1,"alternatives",0,"staf","quantity",0],"sheet":"STAF scores"},{"cell":"F39","kind":"number","path":["sites",1,"alternatives",0,"staf","scores","catchment-hydrology",0],"sheet":"STAF scores"},{"cell":"G39","kind":"number","path":["sites",1,"alternatives",0,"staf","scores","surface-water-storage",0],"sheet":"STAF scores"},{"cell":"H39","kind":"number","path":["sites",1,"alternatives",0,"staf","scores","reach-inflow",0],"sheet":"STAF scores"},{"cell":"I39","kind":"number","path":["sites",1,"alternatives",0,"staf","scores","streamflow-regime",0],"sheet":"STAF scores"},{"cell":"J39","kind":"number","path":["sites",1,"alternatives",0,"staf","scores","low-flow-baseflow-dynamics",0],"sheet":"STAF scores"},{"cell":"K39","kind":"number","path":["sites",1,"alternatives",0,"staf","scores","high-flow-dynamics",0],"sheet":"STAF scores"},{"cell":"L39","kind":"number","path":["sites",1,"alternatives",0,"staf","scores","floodplain-connectivity",0],"sheet":"STAF scores"},{"cell":"M39","kind":"number","path":["sites",1,"alternatives",0,"staf","scores","hyporheic-connectivity",0],"sheet":"STAF scores"},{"cell":"N39","kind":"number","path":["sites",1,"alternatives",0,"staf","scores","channel-evolution",0],"sheet":"STAF scores"},{"cell":"O39","kind":"number","path":["sites",1,"alternatives",0,"staf","scores","channel-floodplain-dynamics",0],"sheet":"STAF scores"},{"cell":"P39","kind":"number","path":["sites",1,"alternatives",0,"staf","scores","sediment-continuity",0],"sheet":"STAF scores"},{"cell":"Q39","kind":"number","path":["sites",1,"alternatives",0,"staf","scores","bed-composition-bedform-dynamics",0],"sheet":"STAF scores"},{"cell":"R39","kind":"number","path":["sites",1,"alternatives",0,"staf","scores","light-thermal-regime",0],"sheet":"STAF scores"},{"cell":"S39","kind":"number","path":["sites",1,"alternatives",0,"staf","scores","carbon-processing",0],"sheet":"STAF scores"},{"cell":"T39","kind":"number","path":["sites",1,"alternatives",0,"staf","scores","nutrient-cycling",0],"sheet":"STAF scores"},{"cell":"U39","kind":"number","path":["sites",1,"alternatives",0,"staf","scores","water-soil-quality",0],"sheet":"STAF scores"},{"cell":"V39","kind":"number","path":["sites",1,"alternatives",0,"staf","scores","habitat-provision",0],"sheet":"STAF scores"},{"cell":"W39","kind":"number","path":["sites",1,"alternatives",0,"staf","scores","population-support",0],"sheet":"STAF scores"},{"cell":"X39","kind":"number","path":["sites",1,"alternatives",0,"staf","scores","community-dynamics",0],"sheet":"STAF scores"},{"cell":"Y39","kind":"number","path":["sites",1,"alternatives",0,"staf","scores","watershed-connectivity",0],"sheet":"STAF scores"},{"cell":"E40","kind":"number","path":["sites",1,"alternatives",0,"staf","quantity",1],"sheet":"STAF scores"},{"cell":"F40","kind":"number","path":["sites",1,"alternatives",0,"staf","scores","catchment-hydrology",1],"sheet":"STAF scores"},{"cell":"G40","kind":"number","path":["sites",1,"alternatives",0,"staf","scores","surface-water-storage",1],"sheet":"STAF scores"},{"cell":"H40","kind":"number","path":["sites",1,"alternatives",0,"staf","scores","reach-inflow",1],"sheet":"STAF scores"},{"cell":"I40","kind":"number","path":["sites",1,"alternatives",0,"staf","scores","streamflow-regime",1],"sheet":"STAF scores"},{"cell":"J40","kind":"number","path":["sites",1,"alternatives",0,"staf","scores","low-flow-baseflow-dynamics",1],"sheet":"STAF scores"},{"cell":"K40","kind":"number","path":["sites",1,"alternatives",0,"staf","scores","high-flow-dynamics",1],"sheet":"STAF scores"},{"cell":"L40","kind":"number","path":["sites",1,"alternatives",0,"staf","scores","floodplain-connectivity",1],"sheet":"STAF scores"},{"cell":"M40","kind":"number","path":["sites",1,"alternatives",0,"staf","scores","hyporheic-connectivity",1],"sheet":"STAF scores"},{"cell":"N40","kind":"number","path":["sites",1,"alternatives",0,"staf","scores","channel-evolution",1],"sheet":"STAF scores"},{"cell":"O40","kind":"number","path":["sites",1,"alternatives",0,"staf","scores","channel-floodplain-dynamics",1],"sheet":"STAF scores"},{"cell":"P40","kind":"number","path":["sites",1,"alternatives",0,"staf","scores","sediment-continuity",1],"sheet":"STAF scores"},{"cell":"Q40","kind":"number","path":["sites",1,"alternatives",0,"staf","scores","bed-composition-bedform-dynamics",1],"sheet":"STAF scores"},{"cell":"R40","kind":"number","path":["sites",1,"alternatives",0,"staf","scores","light-thermal-regime",1],"sheet":"STAF scores"},{"cell":"S40","kind":"number","path":["sites",1,"alternatives",0,"staf","scores","carbon-processing",1],"sheet":"STAF scores"},{"cell":"T40","kind":"number","path":["sites",1,"alternatives",0,"staf","scores","nutrient-cycling",1],"sheet":"STAF scores"},{"cell":"U40","kind":"number","path":["sites",1,"alternatives",0,"staf","scores","water-soil-quality",1],"sheet":"STAF scores"},{"cell":"V40","kind":"number","path":["sites",1,"alternatives",0,"staf","scores","habitat-provision",1],"sheet":"STAF scores"},{"cell":"W40","kind":"number","path":["sites",1,"alternatives",0,"staf","scores","population-support",1],"sheet":"STAF scores"},{"cell":"X40","kind":"number","path":["sites",1,"alternatives",0,"staf","scores","community-dynamics",1],"sheet":"STAF scores"},{"cell":"Y40","kind":"number","path":["sites",1,"alternatives",0,"staf","scores","watershed-connectivity",1],"sheet":"STAF scores"},{"cell":"E41","kind":"number","path":["sites",1,"alternatives",0,"staf","quantity",2],"sheet":"STAF scores"},{"cell":"F41","kind":"number","path":["sites",1,"alternatives",0,"staf","scores","catchment-hydrology",2],"sheet":"STAF scores"},{"cell":"G41","kind":"number","path":["sites",1,"alternatives",0,"staf","scores","surface-water-storage",2],"sheet":"STAF scores"},{"cell":"H41","kind":"number","path":["sites",1,"alternatives",0,"staf","scores","reach-inflow",2],"sheet":"STAF scores"},{"cell":"I41","kind":"number","path":["sites",1,"alternatives",0,"staf","scores","streamflow-regime",2],"sheet":"STAF scores"},{"cell":"J41","kind":"number","path":["sites",1,"alternatives",0,"staf","scores","low-flow-baseflow-dynamics",2],"sheet":"STAF scores"},{"cell":"K41","kind":"number","path":["sites",1,"alternatives",0,"staf","scores","high-flow-dynamics",2],"sheet":"STAF scores"},{"cell":"L41","kind":"number","path":["sites",1,"alternatives",0,"staf","scores","floodplain-connectivity",2],"sheet":"STAF scores"},{"cell":"M41","kind":"number","path":["sites",1,"alternatives",0,"staf","scores","hyporheic-connectivity",2],"sheet":"STAF scores"},{"cell":"N41","kind":"number","path":["sites",1,"alternatives",0,"staf","scores","channel-evolution",2],"sheet":"STAF scores"},{"cell":"O41","kind":"number","path":["sites",1,"alternatives",0,"staf","scores","channel-floodplain-dynamics",2],"sheet":"STAF scores"},{"cell":"P41","kind":"number","path":["sites",1,"alternatives",0,"staf","scores","sediment-continuity",2],"sheet":"STAF scores"},{"cell":"Q41","kind":"number","path":["sites",1,"alternatives",0,"staf","scores","bed-composition-bedform-dynamics",2],"sheet":"STAF scores"},{"cell":"R41","kind":"number","path":["sites",1,"alternatives",0,"staf","scores","light-thermal-regime",2],"sheet":"STAF scores"},{"cell":"S41","kind":"number","path":["sites",1,"alternatives",0,"staf","scores","carbon-processing",2],"sheet":"STAF scores"},{"cell":"T41","kind":"number","path":["sites",1,"alternatives",0,"staf","scores","nutrient-cycling",2],"sheet":"STAF scores"},{"cell":"U41","kind":"number","path":["sites",1,"alternatives",0,"staf","scores","water-soil-quality",2],"sheet":"STAF scores"},{"cell":"V41","kind":"number","path":["sites",1,"alternatives",0,"staf","scores","habitat-provision",2],"sheet":"STAF scores"},{"cell":"W41","kind":"number","path":["sites",1,"alternatives",0,"staf","scores","population-support",2],"sheet":"STAF scores"},{"cell":"X41","kind":"number","path":["sites",1,"alternatives",0,"staf","scores","community-dynamics",2],"sheet":"STAF scores"},{"cell":"Y41","kind":"number","path":["sites",1,"alternatives",0,"staf","scores","watershed-connectivity",2],"sheet":"STAF scores"},{"cell":"E42","kind":"number","path":["sites",1,"alternatives",0,"staf","quantity",3],"sheet":"STAF scores"},{"cell":"F42","kind":"number","path":["sites",1,"alternatives",0,"staf","scores","catchment-hydrology",3],"sheet":"STAF scores"},{"cell":"G42","kind":"number","path":["sites",1,"alternatives",0,"staf","scores","surface-water-storage",3],"sheet":"STAF scores"},{"cell":"H42","kind":"number","path":["sites",1,"alternatives",0,"staf","scores","reach-inflow",3],"sheet":"STAF scores"},{"cell":"I42","kind":"number","path":["sites",1,"alternatives",0,"staf","scores","streamflow-regime",3],"sheet":"STAF scores"},{"cell":"J42","kind":"number","path":["sites",1,"alternatives",0,"staf","scores","low-flow-baseflow-dynamics",3],"sheet":"STAF scores"},{"cell":"K42","kind":"number","path":["sites",1,"alternatives",0,"staf","scores","high-flow-dynamics",3],"sheet":"STAF scores"},{"cell":"L42","kind":"number","path":["sites",1,"alternatives",0,"staf","scores","floodplain-connectivity",3],"sheet":"STAF scores"},{"cell":"M42","kind":"number","path":["sites",1,"alternatives",0,"staf","scores","hyporheic-connectivity",3],"sheet":"STAF scores"},{"cell":"N42","kind":"number","path":["sites",1,"alternatives",0,"staf","scores","channel-evolution",3],"sheet":"STAF scores"},{"cell":"O42","kind":"number","path":["sites",1,"alternatives",0,"staf","scores","channel-floodplain-dynamics",3],"sheet":"STAF scores"},{"cell":"P42","kind":"number","path":["sites",1,"alternatives",0,"staf","scores","sediment-continuity",3],"sheet":"STAF scores"},{"cell":"Q42","kind":"number","path":["sites",1,"alternatives",0,"staf","scores","bed-composition-bedform-dynamics",3],"sheet":"STAF scores"},{"cell":"R42","kind":"number","path":["sites",1,"alternatives",0,"staf","scores","light-thermal-regime",3],"sheet":"STAF scores"},{"cell":"S42","kind":"number","path":["sites",1,"alternatives",0,"staf","scores","carbon-processing",3],"sheet":"STAF scores"},{"cell":"T42","kind":"number","path":["sites",1,"alternatives",0,"staf","scores","nutrient-cycling",3],"sheet":"STAF scores"},{"cell":"U42","kind":"number","path":["sites",1,"alternatives",0,"staf","scores","water-soil-quality",3],"sheet":"STAF scores"},{"cell":"V42","kind":"number","path":["sites",1,"alternatives",0,"staf","scores","habitat-provision",3],"sheet":"STAF scores"},{"cell":"W42","kind":"number","path":["sites",1,"alternatives",0,"staf","scores","population-support",3],"sheet":"STAF scores"},{"cell":"X42","kind":"number","path":["sites",1,"alternatives",0,"staf","scores","community-dynamics",3],"sheet":"STAF scores"},{"cell":"Y42","kind":"number","path":["sites",1,"alternatives",0,"staf","scores","watershed-connectivity",3],"sheet":"STAF scores"},{"cell":"E43","kind":"number","path":["sites",1,"alternatives",0,"staf","quantity",4],"sheet":"STAF scores"},{"cell":"F43","kind":"number","path":["sites",1,"alternatives",0,"staf","scores","catchment-hydrology",4],"sheet":"STAF scores"},{"cell":"G43","kind":"number","path":["sites",1,"alternatives",0,"staf","scores","surface-water-storage",4],"sheet":"STAF scores"},{"cell":"H43","kind":"number","path":["sites",1,"alternatives",0,"staf","scores","reach-inflow",4],"sheet":"STAF scores"},{"cell":"I43","kind":"number","path":["sites",1,"alternatives",0,"staf","scores","streamflow-regime",4],"sheet":"STAF scores"},{"cell":"J43","kind":"number","path":["sites",1,"alternatives",0,"staf","scores","low-flow-baseflow-dynamics",4],"sheet":"STAF scores"},{"cell":"K43","kind":"number","path":["sites",1,"alternatives",0,"staf","scores","high-flow-dynamics",4],"sheet":"STAF scores"},{"cell":"L43","kind":"number","path":["sites",1,"alternatives",0,"staf","scores","floodplain-connectivity",4],"sheet":"STAF scores"},{"cell":"M43","kind":"number","path":["sites",1,"alternatives",0,"staf","scores","hyporheic-connectivity",4],"sheet":"STAF scores"},{"cell":"N43","kind":"number","path":["sites",1,"alternatives",0,"staf","scores","channel-evolution",4],"sheet":"STAF scores"},{"cell":"O43","kind":"number","path":["sites",1,"alternatives",0,"staf","scores","channel-floodplain-dynamics",4],"sheet":"STAF scores"},{"cell":"P43","kind":"number","path":["sites",1,"alternatives",0,"staf","scores","sediment-continuity",4],"sheet":"STAF scores"},{"cell":"Q43","kind":"number","path":["sites",1,"alternatives",0,"staf","scores","bed-composition-bedform-dynamics",4],"sheet":"STAF scores"},{"cell":"R43","kind":"number","path":["sites",1,"alternatives",0,"staf","scores","light-thermal-regime",4],"sheet":"STAF scores"},{"cell":"S43","kind":"number","path":["sites",1,"alternatives",0,"staf","scores","carbon-processing",4],"sheet":"STAF scores"},{"cell":"T43","kind":"number","path":["sites",1,"alternatives",0,"staf","scores","nutrient-cycling",4],"sheet":"STAF scores"},{"cell":"U43","kind":"number","path":["sites",1,"alternatives",0,"staf","scores","water-soil-quality",4],"sheet":"STAF scores"},{"cell":"V43","kind":"number","path":["sites",1,"alternatives",0,"staf","scores","habitat-provision",4],"sheet":"STAF scores"},{"cell":"W43","kind":"number","path":["sites",1,"alternatives",0,"staf","scores","population-support",4],"sheet":"STAF scores"},{"cell":"X43","kind":"number","path":["sites",1,"alternatives",0,"staf","scores","community-dynamics",4],"sheet":"STAF scores"},{"cell":"Y43","kind":"number","path":["sites",1,"alternatives",0,"staf","scores","watershed-connectivity",4],"sheet":"STAF scores"},{"cell":"E44","kind":"number","path":["sites",1,"alternatives",0,"staf","quantity",5],"sheet":"STAF scores"},{"cell":"F44","kind":"number","path":["sites",1,"alternatives",0,"staf","scores","catchment-hydrology",5],"sheet":"STAF scores"},{"cell":"G44","kind":"number","path":["sites",1,"alternatives",0,"staf","scores","surface-water-storage",5],"sheet":"STAF scores"},{"cell":"H44","kind":"number","path":["sites",1,"alternatives",0,"staf","scores","reach-inflow",5],"sheet":"STAF scores"},{"cell":"I44","kind":"number","path":["sites",1,"alternatives",0,"staf","scores","streamflow-regime",5],"sheet":"STAF scores"},{"cell":"J44","kind":"number","path":["sites",1,"alternatives",0,"staf","scores","low-flow-baseflow-dynamics",5],"sheet":"STAF scores"},{"cell":"K44","kind":"number","path":["sites",1,"alternatives",0,"staf","scores","high-flow-dynamics",5],"sheet":"STAF scores"},{"cell":"L44","kind":"number","path":["sites",1,"alternatives",0,"staf","scores","floodplain-connectivity",5],"sheet":"STAF scores"},{"cell":"M44","kind":"number","path":["sites",1,"alternatives",0,"staf","scores","hyporheic-connectivity",5],"sheet":"STAF scores"},{"cell":"N44","kind":"number","path":["sites",1,"alternatives",0,"staf","scores","channel-evolution",5],"sheet":"STAF scores"},{"cell":"O44","kind":"number","path":["sites",1,"alternatives",0,"staf","scores","channel-floodplain-dynamics",5],"sheet":"STAF scores"},{"cell":"P44","kind":"number","path":["sites",1,"alternatives",0,"staf","scores","sediment-continuity",5],"sheet":"STAF scores"},{"cell":"Q44","kind":"number","path":["sites",1,"alternatives",0,"staf","scores","bed-composition-bedform-dynamics",5],"sheet":"STAF scores"},{"cell":"R44","kind":"number","path":["sites",1,"alternatives",0,"staf","scores","light-thermal-regime",5],"sheet":"STAF scores"},{"cell":"S44","kind":"number","path":["sites",1,"alternatives",0,"staf","scores","carbon-processing",5],"sheet":"STAF scores"},{"cell":"T44","kind":"number","path":["sites",1,"alternatives",0,"staf","scores","nutrient-cycling",5],"sheet":"STAF scores"},{"cell":"U44","kind":"number","path":["sites",1,"alternatives",0,"staf","scores","water-soil-quality",5],"sheet":"STAF scores"},{"cell":"V44","kind":"number","path":["sites",1,"alternatives",0,"staf","scores","habitat-provision",5],"sheet":"STAF scores"},{"cell":"W44","kind":"number","path":["sites",1,"alternatives",0,"staf","scores","population-support",5],"sheet":"STAF scores"},{"cell":"X44","kind":"number","path":["sites",1,"alternatives",0,"staf","scores","community-dynamics",5],"sheet":"STAF scores"},{"cell":"Y44","kind":"number","path":["sites",1,"alternatives",0,"staf","scores","watershed-connectivity",5],"sheet":"STAF scores"},{"cell":"E45","kind":"number","path":["sites",1,"alternatives",1,"staf","quantity",0],"sheet":"STAF scores"},{"cell":"F45","kind":"number","path":["sites",1,"alternatives",1,"staf","scores","catchment-hydrology",0],"sheet":"STAF scores"},{"cell":"G45","kind":"number","path":["sites",1,"alternatives",1,"staf","scores","surface-water-storage",0],"sheet":"STAF scores"},{"cell":"H45","kind":"number","path":["sites",1,"alternatives",1,"staf","scores","reach-inflow",0],"sheet":"STAF scores"},{"cell":"I45","kind":"number","path":["sites",1,"alternatives",1,"staf","scores","streamflow-regime",0],"sheet":"STAF scores"},{"cell":"J45","kind":"number","path":["sites",1,"alternatives",1,"staf","scores","low-flow-baseflow-dynamics",0],"sheet":"STAF scores"},{"cell":"K45","kind":"number","path":["sites",1,"alternatives",1,"staf","scores","high-flow-dynamics",0],"sheet":"STAF scores"},{"cell":"L45","kind":"number","path":["sites",1,"alternatives",1,"staf","scores","floodplain-connectivity",0],"sheet":"STAF scores"},{"cell":"M45","kind":"number","path":["sites",1,"alternatives",1,"staf","scores","hyporheic-connectivity",0],"sheet":"STAF scores"},{"cell":"N45","kind":"number","path":["sites",1,"alternatives",1,"staf","scores","channel-evolution",0],"sheet":"STAF scores"},{"cell":"O45","kind":"number","path":["sites",1,"alternatives",1,"staf","scores","channel-floodplain-dynamics",0],"sheet":"STAF scores"},{"cell":"P45","kind":"number","path":["sites",1,"alternatives",1,"staf","scores","sediment-continuity",0],"sheet":"STAF scores"},{"cell":"Q45","kind":"number","path":["sites",1,"alternatives",1,"staf","scores","bed-composition-bedform-dynamics",0],"sheet":"STAF scores"},{"cell":"R45","kind":"number","path":["sites",1,"alternatives",1,"sta</t>
        </is>
      </c>
      <c r="F3" t="inlineStr">
        <is>
          <t>f","scores","light-thermal-regime",0],"sheet":"STAF scores"},{"cell":"S45","kind":"number","path":["sites",1,"alternatives",1,"staf","scores","carbon-processing",0],"sheet":"STAF scores"},{"cell":"T45","kind":"number","path":["sites",1,"alternatives",1,"staf","scores","nutrient-cycling",0],"sheet":"STAF scores"},{"cell":"U45","kind":"number","path":["sites",1,"alternatives",1,"staf","scores","water-soil-quality",0],"sheet":"STAF scores"},{"cell":"V45","kind":"number","path":["sites",1,"alternatives",1,"staf","scores","habitat-provision",0],"sheet":"STAF scores"},{"cell":"W45","kind":"number","path":["sites",1,"alternatives",1,"staf","scores","population-support",0],"sheet":"STAF scores"},{"cell":"X45","kind":"number","path":["sites",1,"alternatives",1,"staf","scores","community-dynamics",0],"sheet":"STAF scores"},{"cell":"Y45","kind":"number","path":["sites",1,"alternatives",1,"staf","scores","watershed-connectivity",0],"sheet":"STAF scores"},{"cell":"E46","kind":"number","path":["sites",1,"alternatives",1,"staf","quantity",1],"sheet":"STAF scores"},{"cell":"F46","kind":"number","path":["sites",1,"alternatives",1,"staf","scores","catchment-hydrology",1],"sheet":"STAF scores"},{"cell":"G46","kind":"number","path":["sites",1,"alternatives",1,"staf","scores","surface-water-storage",1],"sheet":"STAF scores"},{"cell":"H46","kind":"number","path":["sites",1,"alternatives",1,"staf","scores","reach-inflow",1],"sheet":"STAF scores"},{"cell":"I46","kind":"number","path":["sites",1,"alternatives",1,"staf","scores","streamflow-regime",1],"sheet":"STAF scores"},{"cell":"J46","kind":"number","path":["sites",1,"alternatives",1,"staf","scores","low-flow-baseflow-dynamics",1],"sheet":"STAF scores"},{"cell":"K46","kind":"number","path":["sites",1,"alternatives",1,"staf","scores","high-flow-dynamics",1],"sheet":"STAF scores"},{"cell":"L46","kind":"number","path":["sites",1,"alternatives",1,"staf","scores","floodplain-connectivity",1],"sheet":"STAF scores"},{"cell":"M46","kind":"number","path":["sites",1,"alternatives",1,"staf","scores","hyporheic-connectivity",1],"sheet":"STAF scores"},{"cell":"N46","kind":"number","path":["sites",1,"alternatives",1,"staf","scores","channel-evolution",1],"sheet":"STAF scores"},{"cell":"O46","kind":"number","path":["sites",1,"alternatives",1,"staf","scores","channel-floodplain-dynamics",1],"sheet":"STAF scores"},{"cell":"P46","kind":"number","path":["sites",1,"alternatives",1,"staf","scores","sediment-continuity",1],"sheet":"STAF scores"},{"cell":"Q46","kind":"number","path":["sites",1,"alternatives",1,"staf","scores","bed-composition-bedform-dynamics",1],"sheet":"STAF scores"},{"cell":"R46","kind":"number","path":["sites",1,"alternatives",1,"staf","scores","light-thermal-regime",1],"sheet":"STAF scores"},{"cell":"S46","kind":"number","path":["sites",1,"alternatives",1,"staf","scores","carbon-processing",1],"sheet":"STAF scores"},{"cell":"T46","kind":"number","path":["sites",1,"alternatives",1,"staf","scores","nutrient-cycling",1],"sheet":"STAF scores"},{"cell":"U46","kind":"number","path":["sites",1,"alternatives",1,"staf","scores","water-soil-quality",1],"sheet":"STAF scores"},{"cell":"V46","kind":"number","path":["sites",1,"alternatives",1,"staf","scores","habitat-provision",1],"sheet":"STAF scores"},{"cell":"W46","kind":"number","path":["sites",1,"alternatives",1,"staf","scores","population-support",1],"sheet":"STAF scores"},{"cell":"X46","kind":"number","path":["sites",1,"alternatives",1,"staf","scores","community-dynamics",1],"sheet":"STAF scores"},{"cell":"Y46","kind":"number","path":["sites",1,"alternatives",1,"staf","scores","watershed-connectivity",1],"sheet":"STAF scores"},{"cell":"E47","kind":"number","path":["sites",1,"alternatives",1,"staf","quantity",2],"sheet":"STAF scores"},{"cell":"F47","kind":"number","path":["sites",1,"alternatives",1,"staf","scores","catchment-hydrology",2],"sheet":"STAF scores"},{"cell":"G47","kind":"number","path":["sites",1,"alternatives",1,"staf","scores","surface-water-storage",2],"sheet":"STAF scores"},{"cell":"H47","kind":"number","path":["sites",1,"alternatives",1,"staf","scores","reach-inflow",2],"sheet":"STAF scores"},{"cell":"I47","kind":"number","path":["sites",1,"alternatives",1,"staf","scores","streamflow-regime",2],"sheet":"STAF scores"},{"cell":"J47","kind":"number","path":["sites",1,"alternatives",1,"staf","scores","low-flow-baseflow-dynamics",2],"sheet":"STAF scores"},{"cell":"K47","kind":"number","path":["sites",1,"alternatives",1,"staf","scores","high-flow-dynamics",2],"sheet":"STAF scores"},{"cell":"L47","kind":"number","path":["sites",1,"alternatives",1,"staf","scores","floodplain-connectivity",2],"sheet":"STAF scores"},{"cell":"M47","kind":"number","path":["sites",1,"alternatives",1,"staf","scores","hyporheic-connectivity",2],"sheet":"STAF scores"},{"cell":"N47","kind":"number","path":["sites",1,"alternatives",1,"staf","scores","channel-evolution",2],"sheet":"STAF scores"},{"cell":"O47","kind":"number","path":["sites",1,"alternatives",1,"staf","scores","channel-floodplain-dynamics",2],"sheet":"STAF scores"},{"cell":"P47","kind":"number","path":["sites",1,"alternatives",1,"staf","scores","sediment-continuity",2],"sheet":"STAF scores"},{"cell":"Q47","kind":"number","path":["sites",1,"alternatives",1,"staf","scores","bed-composition-bedform-dynamics",2],"sheet":"STAF scores"},{"cell":"R47","kind":"number","path":["sites",1,"alternatives",1,"staf","scores","light-thermal-regime",2],"sheet":"STAF scores"},{"cell":"S47","kind":"number","path":["sites",1,"alternatives",1,"staf","scores","carbon-processing",2],"sheet":"STAF scores"},{"cell":"T47","kind":"number","path":["sites",1,"alternatives",1,"staf","scores","nutrient-cycling",2],"sheet":"STAF scores"},{"cell":"U47","kind":"number","path":["sites",1,"alternatives",1,"staf","scores","water-soil-quality",2],"sheet":"STAF scores"},{"cell":"V47","kind":"number","path":["sites",1,"alternatives",1,"staf","scores","habitat-provision",2],"sheet":"STAF scores"},{"cell":"W47","kind":"number","path":["sites",1,"alternatives",1,"staf","scores","population-support",2],"sheet":"STAF scores"},{"cell":"X47","kind":"number","path":["sites",1,"alternatives",1,"staf","scores","community-dynamics",2],"sheet":"STAF scores"},{"cell":"Y47","kind":"number","path":["sites",1,"alternatives",1,"staf","scores","watershed-connectivity",2],"sheet":"STAF scores"},{"cell":"E48","kind":"number","path":["sites",1,"alternatives",1,"staf","quantity",3],"sheet":"STAF scores"},{"cell":"F48","kind":"number","path":["sites",1,"alternatives",1,"staf","scores","catchment-hydrology",3],"sheet":"STAF scores"},{"cell":"G48","kind":"number","path":["sites",1,"alternatives",1,"staf","scores","surface-water-storage",3],"sheet":"STAF scores"},{"cell":"H48","kind":"number","path":["sites",1,"alternatives",1,"staf","scores","reach-inflow",3],"sheet":"STAF scores"},{"cell":"I48","kind":"number","path":["sites",1,"alternatives",1,"staf","scores","streamflow-regime",3],"sheet":"STAF scores"},{"cell":"J48","kind":"number","path":["sites",1,"alternatives",1,"staf","scores","low-flow-baseflow-dynamics",3],"sheet":"STAF scores"},{"cell":"K48","kind":"number","path":["sites",1,"alternatives",1,"staf","scores","high-flow-dynamics",3],"sheet":"STAF scores"},{"cell":"L48","kind":"number","path":["sites",1,"alternatives",1,"staf","scores","floodplain-connectivity",3],"sheet":"STAF scores"},{"cell":"M48","kind":"number","path":["sites",1,"alternatives",1,"staf","scores","hyporheic-connectivity",3],"sheet":"STAF scores"},{"cell":"N48","kind":"number","path":["sites",1,"alternatives",1,"staf","scores","channel-evolution",3],"sheet":"STAF scores"},{"cell":"O48","kind":"number","path":["sites",1,"alternatives",1,"staf","scores","channel-floodplain-dynamics",3],"sheet":"STAF scores"},{"cell":"P48","kind":"number","path":["sites",1,"alternatives",1,"staf","scores","sediment-continuity",3],"sheet":"STAF scores"},{"cell":"Q48","kind":"number","path":["sites",1,"alternatives",1,"staf","scores","bed-composition-bedform-dynamics",3],"sheet":"STAF scores"},{"cell":"R48","kind":"number","path":["sites",1,"alternatives",1,"staf","scores","light-thermal-regime",3],"sheet":"STAF scores"},{"cell":"S48","kind":"number","path":["sites",1,"alternatives",1,"staf","scores","carbon-processing",3],"sheet":"STAF scores"},{"cell":"T48","kind":"number","path":["sites",1,"alternatives",1,"staf","scores","nutrient-cycling",3],"sheet":"STAF scores"},{"cell":"U48","kind":"number","path":["sites",1,"alternatives",1,"staf","scores","water-soil-quality",3],"sheet":"STAF scores"},{"cell":"V48","kind":"number","path":["sites",1,"alternatives",1,"staf","scores","habitat-provision",3],"sheet":"STAF scores"},{"cell":"W48","kind":"number","path":["sites",1,"alternatives",1,"staf","scores","population-support",3],"sheet":"STAF scores"},{"cell":"X48","kind":"number","path":["sites",1,"alternatives",1,"staf","scores","community-dynamics",3],"sheet":"STAF scores"},{"cell":"Y48","kind":"number","path":["sites",1,"alternatives",1,"staf","scores","watershed-connectivity",3],"sheet":"STAF scores"},{"cell":"E49","kind":"number","path":["sites",1,"alternatives",1,"staf","quantity",4],"sheet":"STAF scores"},{"cell":"F49","kind":"number","path":["sites",1,"alternatives",1,"staf","scores","catchment-hydrology",4],"sheet":"STAF scores"},{"cell":"G49","kind":"number","path":["sites",1,"alternatives",1,"staf","scores","surface-water-storage",4],"sheet":"STAF scores"},{"cell":"H49","kind":"number","path":["sites",1,"alternatives",1,"staf","scores","reach-inflow",4],"sheet":"STAF scores"},{"cell":"I49","kind":"number","path":["sites",1,"alternatives",1,"staf","scores","streamflow-regime",4],"sheet":"STAF scores"},{"cell":"J49","kind":"number","path":["sites",1,"alternatives",1,"staf","scores","low-flow-baseflow-dynamics",4],"sheet":"STAF scores"},{"cell":"K49","kind":"number","path":["sites",1,"alternatives",1,"staf","scores","high-flow-dynamics",4],"sheet":"STAF scores"},{"cell":"L49","kind":"number","path":["sites",1,"alternatives",1,"staf","scores","floodplain-connectivity",4],"sheet":"STAF scores"},{"cell":"M49","kind":"number","path":["sites",1,"alternatives",1,"staf","scores","hyporheic-connectivity",4],"sheet":"STAF scores"},{"cell":"N49","kind":"number","path":["sites",1,"alternatives",1,"staf","scores","channel-evolution",4],"sheet":"STAF scores"},{"cell":"O49","kind":"number","path":["sites",1,"alternatives",1,"staf","scores","channel-floodplain-dynamics",4],"sheet":"STAF scores"},{"cell":"P49","kind":"number","path":["sites",1,"alternatives",1,"staf","scores","sediment-continuity",4],"sheet":"STAF scores"},{"cell":"Q49","kind":"number","path":["sites",1,"alternatives",1,"staf","scores","bed-composition-bedform-dynamics",4],"sheet":"STAF scores"},{"cell":"R49","kind":"number","path":["sites",1,"alternatives",1,"staf","scores","light-thermal-regime",4],"sheet":"STAF scores"},{"cell":"S49","kind":"number","path":["sites",1,"alternatives",1,"staf","scores","carbon-processing",4],"sheet":"STAF scores"},{"cell":"T49","kind":"number","path":["sites",1,"alternatives",1,"staf","scores","nutrient-cycling",4],"sheet":"STAF scores"},{"cell":"U49","kind":"number","path":["sites",1,"alternatives",1,"staf","scores","water-soil-quality",4],"sheet":"STAF scores"},{"cell":"V49","kind":"number","path":["sites",1,"alternatives",1,"staf","scores","habitat-provision",4],"sheet":"STAF scores"},{"cell":"W49","kind":"number","path":["sites",1,"alternatives",1,"staf","scores","population-support",4],"sheet":"STAF scores"},{"cell":"X49","kind":"number","path":["sites",1,"alternatives",1,"staf","scores","community-dynamics",4],"sheet":"STAF scores"},{"cell":"Y49","kind":"number","path":["sites",1,"alternatives",1,"staf","scores","watershed-connectivity",4],"sheet":"STAF scores"},{"cell":"E50","kind":"number","path":["sites",1,"alternatives",1,"staf","quantity",5],"sheet":"STAF scores"},{"cell":"F50","kind":"number","path":["sites",1,"alternatives",1,"staf","scores","catchment-hydrology",5],"sheet":"STAF scores"},{"cell":"G50","kind":"number","path":["sites",1,"alternatives",1,"staf","scores","surface-water-storage",5],"sheet":"STAF scores"},{"cell":"H50","kind":"number","path":["sites",1,"alternatives",1,"staf","scores","reach-inflow",5],"sheet":"STAF scores"},{"cell":"I50","kind":"number","path":["sites",1,"alternatives",1,"staf","scores","streamflow-regime",5],"sheet":"STAF scores"},{"cell":"J50","kind":"number","path":["sites",1,"alternatives",1,"staf","scores","low-flow-baseflow-dynamics",5],"sheet":"STAF scores"},{"cell":"K50","kind":"number","path":["sites",1,"alternatives",1,"staf","scores","high-flow-dynamics",5],"sheet":"STAF scores"},{"cell":"L50","kind":"number","path":["sites",1,"alternatives",1,"staf","scores","floodplain-connectivity",5],"sheet":"STAF scores"},{"cell":"M50","kind":"number","path":["sites",1,"alternatives",1,"staf","scores","hyporheic-connectivity",5],"sheet":"STAF scores"},{"cell":"N50","kind":"number","path":["sites",1,"alternatives",1,"staf","scores","channel-evolution",5],"sheet":"STAF scores"},{"cell":"O50","kind":"number","path":["sites",1,"alternatives",1,"staf","scores","channel-floodplain-dynamics",5],"sheet":"STAF scores"},{"cell":"P50","kind":"number","path":["sites",1,"alternatives",1,"staf","scores","sediment-continuity",5],"sheet":"STAF scores"},{"cell":"Q50","kind":"number","path":["sites",1,"alternatives",1,"staf","scores","bed-composition-bedform-dynamics",5],"sheet":"STAF scores"},{"cell":"R50","kind":"number","path":["sites",1,"alternatives",1,"staf","scores","light-thermal-regime",5],"sheet":"STAF scores"},{"cell":"S50","kind":"number","path":["sites",1,"alternatives",1,"staf","scores","carbon-processing",5],"sheet":"STAF scores"},{"cell":"T50","kind":"number","path":["sites",1,"alternatives",1,"staf","scores","nutrient-cycling",5],"sheet":"STAF scores"},{"cell":"U50","kind":"number","path":["sites",1,"alternatives",1,"staf","scores","water-soil-quality",5],"sheet":"STAF scores"},{"cell":"V50","kind":"number","path":["sites",1,"alternatives",1,"staf","scores","habitat-provision",5],"sheet":"STAF scores"},{"cell":"W50","kind":"number","path":["sites",1,"alternatives",1,"staf","scores","population-support",5],"sheet":"STAF scores"},{"cell":"X50","kind":"number","path":["sites",1,"alternatives",1,"staf","scores","community-dynamics",5],"sheet":"STAF scores"},{"cell":"Y50","kind":"number","path":["sites",1,"alternatives",1,"staf","scores","watershed-connectivity",5],"sheet":"STAF scores"},{"cell":"E51","kind":"number","path":["sites",1,"alternatives",2,"staf","quantity",0],"sheet":"STAF scores"},{"cell":"F51","kind":"number","path":["sites",1,"alternatives",2,"staf","scores","catchment-hydrology",0],"sheet":"STAF scores"},{"cell":"G51","kind":"number","path":["sites",1,"alternatives",2,"staf","scores","surface-water-storage",0],"sheet":"STAF scores"},{"cell":"H51","kind":"number","path":["sites",1,"alternatives",2,"staf","scores","reach-inflow",0],"sheet":"STAF scores"},{"cell":"I51","kind":"number","path":["sites",1,"alternatives",2,"staf","scores","streamflow-regime",0],"sheet":"STAF scores"},{"cell":"J51","kind":"number","path":["sites",1,"alternatives",2,"staf","scores","low-flow-baseflow-dynamics",0],"sheet":"STAF scores"},{"cell":"K51","kind":"number","path":["sites",1,"alternatives",2,"staf","scores","high-flow-dynamics",0],"sheet":"STAF scores"},{"cell":"L51","kind":"number","path":["sites",1,"alternatives",2,"staf","scores","floodplain-connectivity",0],"sheet":"STAF scores"},{"cell":"M51","kind":"number","path":["sites",1,"alternatives",2,"staf","scores","hyporheic-connectivity",0],"sheet":"STAF scores"},{"cell":"N51","kind":"number","path":["sites",1,"alternatives",2,"staf","scores","channel-evolution",0],"sheet":"STAF scores"},{"cell":"O51","kind":"number","path":["sites",1,"alternatives",2,"staf","scores","channel-floodplain-dynamics",0],"sheet":"STAF scores"},{"cell":"P51","kind":"number","path":["sites",1,"alternatives",2,"staf","scores","sediment-continuity",0],"sheet":"STAF scores"},{"cell":"Q51","kind":"number","path":["sites",1,"alternatives",2,"staf","scores","bed-composition-bedform-dynamics",0],"sheet":"STAF scores"},{"cell":"R51","kind":"number","path":["sites",1,"alternatives",2,"staf","scores","light-thermal-regime",0],"sheet":"STAF scores"},{"cell":"S51","kind":"number","path":["sites",1,"alternatives",2,"staf","scores","carbon-processing",0],"sheet":"STAF scores"},{"cell":"T51","kind":"number","path":["sites",1,"alternatives",2,"staf","scores","nutrient-cycling",0],"sheet":"STAF scores"},{"cell":"U51","kind":"number","path":["sites",1,"alternatives",2,"staf","scores","water-soil-quality",0],"sheet":"STAF scores"},{"cell":"V51","kind":"number","path":["sites",1,"alternatives",2,"staf","scores","habitat-provision",0],"sheet":"STAF scores"},{"cell":"W51","kind":"number","path":["sites",1,"alternatives",2,"staf","scores","population-support",0],"sheet":"STAF scores"},{"cell":"X51","kind":"number","path":["sites",1,"alternatives",2,"staf","scores","community-dynamics",0],"sheet":"STAF scores"},{"cell":"Y51","kind":"number","path":["sites",1,"alternatives",2,"staf","scores","watershed-connectivity",0],"sheet":"STAF scores"},{"cell":"E52","kind":"number","path":["sites",1,"alternatives",2,"staf","quantity",1],"sheet":"STAF scores"},{"cell":"F52","kind":"number","path":["sites",1,"alternatives",2,"staf","scores","catchment-hydrology",1],"sheet":"STAF scores"},{"cell":"G52","kind":"number","path":["sites",1,"alternatives",2,"staf","scores","surface-water-storage",1],"sheet":"STAF scores"},{"cell":"H52","kind":"number","path":["sites",1,"alternatives",2,"staf","scores","reach-inflow",1],"sheet":"STAF scores"},{"cell":"I52","kind":"number","path":["sites",1,"alternatives",2,"staf","scores","streamflow-regime",1],"sheet":"STAF scores"},{"cell":"J52","kind":"number","path":["sites",1,"alternatives",2,"staf","scores","low-flow-baseflow-dynamics",1],"sheet":"STAF scores"},{"cell":"K52","kind":"number","path":["sites",1,"alternatives",2,"staf","scores","high-flow-dynamics",1],"sheet":"STAF scores"},{"cell":"L52","kind":"number","path":["sites",1,"alternatives",2,"staf","scores","floodplain-connectivity",1],"sheet":"STAF scores"},{"cell":"M52","kind":"number","path":["sites",1,"alternatives",2,"staf","scores","hyporheic-connectivity",1],"sheet":"STAF scores"},{"cell":"N52","kind":"number","path":["sites",1,"alternatives",2,"staf","scores","channel-evolution",1],"sheet":"STAF scores"},{"cell":"O52","kind":"number","path":["sites",1,"alternatives",2,"staf","scores","channel-floodplain-dynamics",1],"sheet":"STAF scores"},{"cell":"P52","kind":"number","path":["sites",1,"alternatives",2,"staf","scores","sediment-continuity",1],"sheet":"STAF scores"},{"cell":"Q52","kind":"number","path":["sites",1,"alternatives",2,"staf","scores","bed-composition-bedform-dynamics",1],"sheet":"STAF scores"},{"cell":"R52","kind":"number","path":["sites",1,"alternatives",2,"staf","scores","light-thermal-regime",1],"sheet":"STAF scores"},{"cell":"S52","kind":"number","path":["sites",1,"alternatives",2,"staf","scores","carbon-processing",1],"sheet":"STAF scores"},{"cell":"T52","kind":"number","path":["sites",1,"alternatives",2,"staf","scores","nutrient-cycling",1],"sheet":"STAF scores"},{"cell":"U52","kind":"number","path":["sites",1,"alternatives",2,"staf","scores","water-soil-quality",1],"sheet":"STAF scores"},{"cell":"V52","kind":"number","path":["sites",1,"alternatives",2,"staf","scores","habitat-provision",1],"sheet":"STAF scores"},{"cell":"W52","kind":"number","path":["sites",1,"alternatives",2,"staf","scores","population-support",1],"sheet":"STAF scores"},{"cell":"X52","kind":"number","path":["sites",1,"alternatives",2,"staf","scores","community-dynamics",1],"sheet":"STAF scores"},{"cell":"Y52","kind":"number","path":["sites",1,"alternatives",2,"staf","scores","watershed-connectivity",1],"sheet":"STAF scores"},{"cell":"E53","kind":"number","path":["sites",1,"alternatives",2,"staf","quantity",2],"sheet":"STAF scores"},{"cell":"F53","kind":"number","path":["sites",1,"alternatives",2,"staf","scores","catchment-hydrology",2],"sheet":"STAF scores"},{"cell":"G53","kind":"number","path":["sites",1,"alternatives",2,"staf","scores","surface-water-storage",2],"sheet":"STAF scores"},{"cell":"H53","kind":"number","path":["sites",1,"alternatives",2,"staf","scores","reach-inflow",2],"sheet":"STAF scores"},{"cell":"I53","kind":"number","path":["sites",1,"alternatives",2,"staf","scores","streamflow-regime",2],"sheet":"STAF scores"},{"cell":"J53","kind":"number","path":["sites",1,"alternatives",2,"staf","scores","low-flow-baseflow-dynamics",2],"sheet":"STAF scores"},{"cell":"K53","kind":"number","path":["sites",1,"alternatives",2,"staf","scores","high-flow-dynamics",2],"sheet":"STAF scores"},{"cell":"L53","kind":"number","path":["sites",1,"alternatives",2,"staf","scores","floodplain-connectivity",2],"sheet":"STAF scores"},{"cell":"M53","kind":"number","path":["sites",1,"alternatives",2,"staf","scores","hyporheic-connectivity",2],"sheet":"STAF scores"},{"cell":"N53","kind":"number","path":["sites",1,"alternatives",2,"staf","scores","channel-evolution",2],"sheet":"STAF scores"},{"cell":"O53","kind":"number","path":["sites",1,"alternatives",2,"staf","scores","channel-floodplain-dynamics",2],"sheet":"STAF scores"},{"cell":"P53","kind":"number","path":["sites",1,"alternatives",2,"staf","scores","sediment-continuity",2],"sheet":"STAF scores"},{"cell":"Q53","kind":"number","path":["sites",1,"alternatives",2,"staf","scores","bed-composition-bedform-dynamics",2],"sheet":"STAF scores"},{"cell":"R53","kind":"number","path":["sites",1,"alternatives",2,"staf","scores","light-thermal-regime",2],"sheet":"STAF scores"},{"cell":"S53","kind":"number","path":["sites",1,"alternatives",2,"staf","scores","carbon-processing",2],"sheet":"STAF scores"},{"cell":"T53","kind":"number","path":["sites",1,"alternatives",2,"staf","scores","nutrient-cycling",2],"sheet":"STAF scores"},{"cell":"U53","kind":"number","path":["sites",1,"alternatives",2,"staf","scores","water-soil-quality",2],"sheet":"STAF scores"},{"cell":"V53","kind":"number","path":["sites",1,"alternatives",2,"staf","scores","habitat-provision",2],"sheet":"STAF scores"},{"cell":"W53","kind":"number","path":["sites",1,"alternatives",2,"staf","scores","population-support",2],"sheet":"STAF scores"},{"cell":"X53","kind":"number","path":["sites",1,"alternatives",2,"staf","scores","community-dynamics",2],"sheet":"STAF scores"},{"cell":"Y53","kind":"number","path":["sites",1,"alternatives",2,"staf","scores","watershed-connectivity",2],"sheet":"STAF scores"},{"cell":"E54","kind":"number","path":["sites",1,"alternatives",2,"staf","quantity",3],"sheet":"STAF scores"},{"cell":"F54","kind":"number","path":["sites",1,"alternatives",2,"staf","scores","catchment-hydrology",3],"sheet":"STAF scores"},{"cell":"G54","kind":"number","path":["sites",1,"alternatives",2,"staf","scores","surface-water-storage",3],"sheet":"STAF scores"},{"cell":"H54","kind":"number","path":["sites",1,"alternatives",2,"staf","scores","reach-inflow",3],"sheet":"STAF scores"},{"cell":"I54","kind":"number","path":["sites",1,"alternatives",2,"staf","scores","streamflow-regime",3],"sheet":"STAF scores"},{"cell":"J54","kind":"number","path":["sites",1,"alternatives",2,"staf","scores","low-flow-baseflow-dynamics",3],"sheet":"STAF scores"},{"cell":"K54","kind":"number","path":["sites",1,"alternatives",2,"staf","scores","high-flow-dynamics",3],"sheet":"STAF scores"},{"cell":"L54","kind":"number","path":["sites",1,"alternatives",2,"staf","scores","floodplain-connectivity",3],"sheet":"STAF scores"},{"cell":"M54","kind":"number","path":["sites",1,"alternatives",2,"staf","scores","hyporheic-connectivity",3],"sheet":"STAF scores"},{"cell":"N54","kind":"number","path":["sites",1,"alternatives",2,"staf","scores","channel-evolution",3],"sheet":"STAF scores"},{"cell":"O54","kind":"number","path":["sites",1,"alternatives",2,"staf","scores","channel-floodplain-dynamics",3],"sheet":"STAF scores"},{"cell":"P54","kind":"number","path":["sites",1,"alternatives",2,"staf","scores","sediment-continuity",3],"sheet":"STAF scores"},{"cell":"Q54","kind":"number","path":["sites",1,"alternatives",2,"staf","scores","bed-composition-bedform-dynamics",3],"sheet":"STAF scores"},{"cell":"R54","kind":"number","path":["sites",1,"alternatives",2,"staf","scores","light-thermal-regime",3],"sheet":"STAF scores"},{"cell":"S54","kind":"number","path":["sites",1,"alternatives",2,"staf","scores","carbon-processing",3],"sheet":"STAF scores"},{"cell":"T54","kind":"number","path":["sites",1,"alternatives",2,"staf","scores","nutrient-cycling",3],"sheet":"STAF scores"},{"cell":"U54","kind":"number","path":["sites",1,"alternatives",2,"staf","scores","water-soil-quality",3],"sheet":"STAF scores"},{"cell":"V54","kind":"number","path":["sites",1,"alternatives",2,"staf","scores","habitat-provision",3],"sheet":"STAF scores"},{"cell":"W54","kind":"number","path":["sites",1,"alternatives",2,"staf","scores","population-support",3],"sheet":"STAF scores"},{"cell":"X54","kind":"number","path":["sites",1,"alternatives",2,"staf","scores","community-dynamics",3],"sheet":"STAF scores"},{"cell":"Y54","kind":"number","path":["sites",1,"alternatives",2,"staf","scores","watershed-connectivity",3],"sheet":"STAF scores"},{"cell":"E55","kind":"number","path":["sites",1,"alternatives",2,"staf","quantity",4],"sheet":"STAF scores"},{"cell":"F55","kind":"number","path":["sites",1,"alternatives",2,"staf","scores","catchment-hydrology",4],"sheet":"STAF scores"},{"cell":"G55","kind":"number","path":["sites",1,"alternatives",2,"staf","scores","surface-water-storage",4],"sheet":"STAF scores"},{"cell":"H55","kind":"number","path":["sites",1,"alternatives",2,"staf","scores","reach-inflow",4],"sheet":"STAF scores"},{"cell":"I55","kind":"number","path":["sites",1,"alternatives",2,"staf","scores","streamflow-regime",4],"sheet":"STAF scores"},{"cell":"J55","kind":"number","path":["sites",1,"alternatives",2,"staf","scores","low-flow-baseflow-dynamics",4],"sheet":"STAF scores"},{"cell":"K55","kind":"number","path":["sites",1,"alternatives",2,"staf","scores","high-flow-dynamics",4],"sheet":"STAF scores"},{"cell":"L55","kind":"number","path":["sites",1,"alternatives",2,"staf","scores","floodplain-connectivity",4],"sheet":"STAF scores"},{"cell":"M55","kind":"number","path":["sites",1,"alternatives",2,"staf","scores","hyporheic-connectivity",4],"sheet":"STAF scores"},{"cell":"N55","kind":"number","path":["sites",1,"alternatives",2,"staf","scores","channel-evolution",4],"sheet":"STAF scores"},{"cell":"O55","kind":"number","path":["sites",1,"alternatives",2,"staf","scores","channel-floodplain-dynamics",4],"sheet":"STAF scores"},{"cell":"P55","kind":"number","path":["sites",1,"alternatives",2,"staf","scores","sediment-continuity",4],"sheet":"STAF scores"},{"cell":"Q55","kind":"number","path":["sites",1,"alternatives",2,"staf","scores","bed-composition-bedform-dynamics",4],"sheet":"STAF scores"},{"cell":"R55","kind":"number","path":["sites",1,"alternatives",2,"staf","scores","light-thermal-regime",4],"sheet":"STAF scores"},{"cell":"S55","kind":"number","path":["sites",1,"alternatives",2,"staf","scores","carbon-processing",4],"sheet":"STAF scores"},{"cell":"T55","kind":"number","path":["sites",1,"alternatives",2,"staf","scores","nutrient-cycling",4],"sheet":"STAF scores"},{"cell":"U55","kind":"number","path":["sites",1,"alternatives",2,"staf","scores","water-soil-quality",4],"sheet":"STAF scores"},{"cell":"V55","kind":"number","path":["sites",1,"alternatives",2,"staf","scores","habitat-provision",4],"sheet":"STAF scores"},{"cell":"W55","kind":"number","path":["sites",1,"alternatives",2,"staf","scores","population-support",4],"sheet":"STAF scores"},{"cell":"X55","kind":"number","path":["sites",1,"alternatives",2,"staf","scores","community-dynamics",4],"sheet":"STAF scores"},{"cell":"Y55","kind":"number","path":["sites",1,"alternatives",2,"staf","scores","watershed-connectivity",4],"sheet":"STAF scores"},{"cell":"E56","kind":"number","path":["sites",1,"alternatives",2,"staf","quantity",5],"sheet":"STAF scores"},{"cell":"F56","kind":"number","path":["sites",1,"alternatives",2,"staf","scores","catchment-hydrology",5],"sheet":"STAF scores"},{"cell":"G56","kind":"number","path":["sites",1,"alternatives",2,"staf","scores","surface-water-storage",5],"sheet":"STAF scores"},{"cell":"H56","kind":"number","path":["sites",1,"alternatives",2,"staf","scores","reach-inflow",5],"sheet":"STAF scores"},{"cell":"I56","kind":"number","path":["sites",1,"alternatives",2,"staf","scores","streamflow-regime",5],"sheet":"STAF scores"},{"cell":"J56","kind":"number","path":["sites",1,"alternatives",2,"staf","scores","low-flow-baseflow-dynamics",5],"sheet":"STAF scores"},{"cell":"K56","kind":"number","path":["sites",1,"alternatives",2,"staf","scores","high-flow-dynamics",5],"sheet":"STAF scores"},{"cell":"L56","kind":"number","path":["sites",1,"alternatives",2,"staf","scores","floodplain-connectivity",5],"sheet":"STAF scores"},{"cell":"M56","kind":"number","path":["sites",1,"alternatives",2,"staf","scores","hyporheic-connectivity",5],"sheet":"STAF scores"},{"cell":"N56","kind":"number","path":["sites",1,"alternatives",2,"staf","scores","channel-evolution",5],"sheet":"STAF scores"},{"cell":"O56","kind":"number","path":["sites",1,"alternatives",2,"staf","scores","channel-floodplain-dynamics",5],"sheet":"STAF scores"},{"cell":"P56","kind":"number","path":["sites",1,"alternatives",2,"staf","scores","sediment-continuity",5],"sheet":"STAF scores"},{"cell":"Q56","kind":"number","path":["sites",1,"alternatives",2,"staf","scores","bed-composition-bedform-dynamics",5],"sheet":"STAF scores"},{"cell":"R56","kind":"number","path":["sites",1,"alternatives",2,"staf","scores","light-thermal-regime",5],"sheet":"STAF scores"},{"cell":"S56","kind":"number","path":["sites",1,"alternatives",2,"staf","scores","carbon-processing",5],"sheet":"STAF scores"},{"cell":"T56","kind":"nu</t>
        </is>
      </c>
      <c r="G3" t="inlineStr">
        <is>
          <t>mber","path":["sites",1,"alternatives",2,"staf","scores","nutrient-cycling",5],"sheet":"STAF scores"},{"cell":"U56","kind":"number","path":["sites",1,"alternatives",2,"staf","scores","water-soil-quality",5],"sheet":"STAF scores"},{"cell":"V56","kind":"number","path":["sites",1,"alternatives",2,"staf","scores","habitat-provision",5],"sheet":"STAF scores"},{"cell":"W56","kind":"number","path":["sites",1,"alternatives",2,"staf","scores","population-support",5],"sheet":"STAF scores"},{"cell":"X56","kind":"number","path":["sites",1,"alternatives",2,"staf","scores","community-dynamics",5],"sheet":"STAF scores"},{"cell":"Y56","kind":"number","path":["sites",1,"alternatives",2,"staf","scores","watershed-connectivity",5],"sheet":"STAF scores"},{"cell":"E57","kind":"number","path":["sites",2,"alternatives",0,"staf","quantity",0],"sheet":"STAF scores"},{"cell":"F57","kind":"number","path":["sites",2,"alternatives",0,"staf","scores","catchment-hydrology",0],"sheet":"STAF scores"},{"cell":"G57","kind":"number","path":["sites",2,"alternatives",0,"staf","scores","surface-water-storage",0],"sheet":"STAF scores"},{"cell":"H57","kind":"number","path":["sites",2,"alternatives",0,"staf","scores","reach-inflow",0],"sheet":"STAF scores"},{"cell":"I57","kind":"number","path":["sites",2,"alternatives",0,"staf","scores","streamflow-regime",0],"sheet":"STAF scores"},{"cell":"J57","kind":"number","path":["sites",2,"alternatives",0,"staf","scores","low-flow-baseflow-dynamics",0],"sheet":"STAF scores"},{"cell":"K57","kind":"number","path":["sites",2,"alternatives",0,"staf","scores","high-flow-dynamics",0],"sheet":"STAF scores"},{"cell":"L57","kind":"number","path":["sites",2,"alternatives",0,"staf","scores","floodplain-connectivity",0],"sheet":"STAF scores"},{"cell":"M57","kind":"number","path":["sites",2,"alternatives",0,"staf","scores","hyporheic-connectivity",0],"sheet":"STAF scores"},{"cell":"N57","kind":"number","path":["sites",2,"alternatives",0,"staf","scores","channel-evolution",0],"sheet":"STAF scores"},{"cell":"O57","kind":"number","path":["sites",2,"alternatives",0,"staf","scores","channel-floodplain-dynamics",0],"sheet":"STAF scores"},{"cell":"P57","kind":"number","path":["sites",2,"alternatives",0,"staf","scores","sediment-continuity",0],"sheet":"STAF scores"},{"cell":"Q57","kind":"number","path":["sites",2,"alternatives",0,"staf","scores","bed-composition-bedform-dynamics",0],"sheet":"STAF scores"},{"cell":"R57","kind":"number","path":["sites",2,"alternatives",0,"staf","scores","light-thermal-regime",0],"sheet":"STAF scores"},{"cell":"S57","kind":"number","path":["sites",2,"alternatives",0,"staf","scores","carbon-processing",0],"sheet":"STAF scores"},{"cell":"T57","kind":"number","path":["sites",2,"alternatives",0,"staf","scores","nutrient-cycling",0],"sheet":"STAF scores"},{"cell":"U57","kind":"number","path":["sites",2,"alternatives",0,"staf","scores","water-soil-quality",0],"sheet":"STAF scores"},{"cell":"V57","kind":"number","path":["sites",2,"alternatives",0,"staf","scores","habitat-provision",0],"sheet":"STAF scores"},{"cell":"W57","kind":"number","path":["sites",2,"alternatives",0,"staf","scores","population-support",0],"sheet":"STAF scores"},{"cell":"X57","kind":"number","path":["sites",2,"alternatives",0,"staf","scores","community-dynamics",0],"sheet":"STAF scores"},{"cell":"Y57","kind":"number","path":["sites",2,"alternatives",0,"staf","scores","watershed-connectivity",0],"sheet":"STAF scores"},{"cell":"E58","kind":"number","path":["sites",2,"alternatives",0,"staf","quantity",1],"sheet":"STAF scores"},{"cell":"F58","kind":"number","path":["sites",2,"alternatives",0,"staf","scores","catchment-hydrology",1],"sheet":"STAF scores"},{"cell":"G58","kind":"number","path":["sites",2,"alternatives",0,"staf","scores","surface-water-storage",1],"sheet":"STAF scores"},{"cell":"H58","kind":"number","path":["sites",2,"alternatives",0,"staf","scores","reach-inflow",1],"sheet":"STAF scores"},{"cell":"I58","kind":"number","path":["sites",2,"alternatives",0,"staf","scores","streamflow-regime",1],"sheet":"STAF scores"},{"cell":"J58","kind":"number","path":["sites",2,"alternatives",0,"staf","scores","low-flow-baseflow-dynamics",1],"sheet":"STAF scores"},{"cell":"K58","kind":"number","path":["sites",2,"alternatives",0,"staf","scores","high-flow-dynamics",1],"sheet":"STAF scores"},{"cell":"L58","kind":"number","path":["sites",2,"alternatives",0,"staf","scores","floodplain-connectivity",1],"sheet":"STAF scores"},{"cell":"M58","kind":"number","path":["sites",2,"alternatives",0,"staf","scores","hyporheic-connectivity",1],"sheet":"STAF scores"},{"cell":"N58","kind":"number","path":["sites",2,"alternatives",0,"staf","scores","channel-evolution",1],"sheet":"STAF scores"},{"cell":"O58","kind":"number","path":["sites",2,"alternatives",0,"staf","scores","channel-floodplain-dynamics",1],"sheet":"STAF scores"},{"cell":"P58","kind":"number","path":["sites",2,"alternatives",0,"staf","scores","sediment-continuity",1],"sheet":"STAF scores"},{"cell":"Q58","kind":"number","path":["sites",2,"alternatives",0,"staf","scores","bed-composition-bedform-dynamics",1],"sheet":"STAF scores"},{"cell":"R58","kind":"number","path":["sites",2,"alternatives",0,"staf","scores","light-thermal-regime",1],"sheet":"STAF scores"},{"cell":"S58","kind":"number","path":["sites",2,"alternatives",0,"staf","scores","carbon-processing",1],"sheet":"STAF scores"},{"cell":"T58","kind":"number","path":["sites",2,"alternatives",0,"staf","scores","nutrient-cycling",1],"sheet":"STAF scores"},{"cell":"U58","kind":"number","path":["sites",2,"alternatives",0,"staf","scores","water-soil-quality",1],"sheet":"STAF scores"},{"cell":"V58","kind":"number","path":["sites",2,"alternatives",0,"staf","scores","habitat-provision",1],"sheet":"STAF scores"},{"cell":"W58","kind":"number","path":["sites",2,"alternatives",0,"staf","scores","population-support",1],"sheet":"STAF scores"},{"cell":"X58","kind":"number","path":["sites",2,"alternatives",0,"staf","scores","community-dynamics",1],"sheet":"STAF scores"},{"cell":"Y58","kind":"number","path":["sites",2,"alternatives",0,"staf","scores","watershed-connectivity",1],"sheet":"STAF scores"},{"cell":"E59","kind":"number","path":["sites",2,"alternatives",0,"staf","quantity",2],"sheet":"STAF scores"},{"cell":"F59","kind":"number","path":["sites",2,"alternatives",0,"staf","scores","catchment-hydrology",2],"sheet":"STAF scores"},{"cell":"G59","kind":"number","path":["sites",2,"alternatives",0,"staf","scores","surface-water-storage",2],"sheet":"STAF scores"},{"cell":"H59","kind":"number","path":["sites",2,"alternatives",0,"staf","scores","reach-inflow",2],"sheet":"STAF scores"},{"cell":"I59","kind":"number","path":["sites",2,"alternatives",0,"staf","scores","streamflow-regime",2],"sheet":"STAF scores"},{"cell":"J59","kind":"number","path":["sites",2,"alternatives",0,"staf","scores","low-flow-baseflow-dynamics",2],"sheet":"STAF scores"},{"cell":"K59","kind":"number","path":["sites",2,"alternatives",0,"staf","scores","high-flow-dynamics",2],"sheet":"STAF scores"},{"cell":"L59","kind":"number","path":["sites",2,"alternatives",0,"staf","scores","floodplain-connectivity",2],"sheet":"STAF scores"},{"cell":"M59","kind":"number","path":["sites",2,"alternatives",0,"staf","scores","hyporheic-connectivity",2],"sheet":"STAF scores"},{"cell":"N59","kind":"number","path":["sites",2,"alternatives",0,"staf","scores","channel-evolution",2],"sheet":"STAF scores"},{"cell":"O59","kind":"number","path":["sites",2,"alternatives",0,"staf","scores","channel-floodplain-dynamics",2],"sheet":"STAF scores"},{"cell":"P59","kind":"number","path":["sites",2,"alternatives",0,"staf","scores","sediment-continuity",2],"sheet":"STAF scores"},{"cell":"Q59","kind":"number","path":["sites",2,"alternatives",0,"staf","scores","bed-composition-bedform-dynamics",2],"sheet":"STAF scores"},{"cell":"R59","kind":"number","path":["sites",2,"alternatives",0,"staf","scores","light-thermal-regime",2],"sheet":"STAF scores"},{"cell":"S59","kind":"number","path":["sites",2,"alternatives",0,"staf","scores","carbon-processing",2],"sheet":"STAF scores"},{"cell":"T59","kind":"number","path":["sites",2,"alternatives",0,"staf","scores","nutrient-cycling",2],"sheet":"STAF scores"},{"cell":"U59","kind":"number","path":["sites",2,"alternatives",0,"staf","scores","water-soil-quality",2],"sheet":"STAF scores"},{"cell":"V59","kind":"number","path":["sites",2,"alternatives",0,"staf","scores","habitat-provision",2],"sheet":"STAF scores"},{"cell":"W59","kind":"number","path":["sites",2,"alternatives",0,"staf","scores","population-support",2],"sheet":"STAF scores"},{"cell":"X59","kind":"number","path":["sites",2,"alternatives",0,"staf","scores","community-dynamics",2],"sheet":"STAF scores"},{"cell":"Y59","kind":"number","path":["sites",2,"alternatives",0,"staf","scores","watershed-connectivity",2],"sheet":"STAF scores"},{"cell":"E60","kind":"number","path":["sites",2,"alternatives",0,"staf","quantity",3],"sheet":"STAF scores"},{"cell":"F60","kind":"number","path":["sites",2,"alternatives",0,"staf","scores","catchment-hydrology",3],"sheet":"STAF scores"},{"cell":"G60","kind":"number","path":["sites",2,"alternatives",0,"staf","scores","surface-water-storage",3],"sheet":"STAF scores"},{"cell":"H60","kind":"number","path":["sites",2,"alternatives",0,"staf","scores","reach-inflow",3],"sheet":"STAF scores"},{"cell":"I60","kind":"number","path":["sites",2,"alternatives",0,"staf","scores","streamflow-regime",3],"sheet":"STAF scores"},{"cell":"J60","kind":"number","path":["sites",2,"alternatives",0,"staf","scores","low-flow-baseflow-dynamics",3],"sheet":"STAF scores"},{"cell":"K60","kind":"number","path":["sites",2,"alternatives",0,"staf","scores","high-flow-dynamics",3],"sheet":"STAF scores"},{"cell":"L60","kind":"number","path":["sites",2,"alternatives",0,"staf","scores","floodplain-connectivity",3],"sheet":"STAF scores"},{"cell":"M60","kind":"number","path":["sites",2,"alternatives",0,"staf","scores","hyporheic-connectivity",3],"sheet":"STAF scores"},{"cell":"N60","kind":"number","path":["sites",2,"alternatives",0,"staf","scores","channel-evolution",3],"sheet":"STAF scores"},{"cell":"O60","kind":"number","path":["sites",2,"alternatives",0,"staf","scores","channel-floodplain-dynamics",3],"sheet":"STAF scores"},{"cell":"P60","kind":"number","path":["sites",2,"alternatives",0,"staf","scores","sediment-continuity",3],"sheet":"STAF scores"},{"cell":"Q60","kind":"number","path":["sites",2,"alternatives",0,"staf","scores","bed-composition-bedform-dynamics",3],"sheet":"STAF scores"},{"cell":"R60","kind":"number","path":["sites",2,"alternatives",0,"staf","scores","light-thermal-regime",3],"sheet":"STAF scores"},{"cell":"S60","kind":"number","path":["sites",2,"alternatives",0,"staf","scores","carbon-processing",3],"sheet":"STAF scores"},{"cell":"T60","kind":"number","path":["sites",2,"alternatives",0,"staf","scores","nutrient-cycling",3],"sheet":"STAF scores"},{"cell":"U60","kind":"number","path":["sites",2,"alternatives",0,"staf","scores","water-soil-quality",3],"sheet":"STAF scores"},{"cell":"V60","kind":"number","path":["sites",2,"alternatives",0,"staf","scores","habitat-provision",3],"sheet":"STAF scores"},{"cell":"W60","kind":"number","path":["sites",2,"alternatives",0,"staf","scores","population-support",3],"sheet":"STAF scores"},{"cell":"X60","kind":"number","path":["sites",2,"alternatives",0,"staf","scores","community-dynamics",3],"sheet":"STAF scores"},{"cell":"Y60","kind":"number","path":["sites",2,"alternatives",0,"staf","scores","watershed-connectivity",3],"sheet":"STAF scores"},{"cell":"E61","kind":"number","path":["sites",2,"alternatives",0,"staf","quantity",4],"sheet":"STAF scores"},{"cell":"F61","kind":"number","path":["sites",2,"alternatives",0,"staf","scores","catchment-hydrology",4],"sheet":"STAF scores"},{"cell":"G61","kind":"number","path":["sites",2,"alternatives",0,"staf","scores","surface-water-storage",4],"sheet":"STAF scores"},{"cell":"H61","kind":"number","path":["sites",2,"alternatives",0,"staf","scores","reach-inflow",4],"sheet":"STAF scores"},{"cell":"I61","kind":"number","path":["sites",2,"alternatives",0,"staf","scores","streamflow-regime",4],"sheet":"STAF scores"},{"cell":"J61","kind":"number","path":["sites",2,"alternatives",0,"staf","scores","low-flow-baseflow-dynamics",4],"sheet":"STAF scores"},{"cell":"K61","kind":"number","path":["sites",2,"alternatives",0,"staf","scores","high-flow-dynamics",4],"sheet":"STAF scores"},{"cell":"L61","kind":"number","path":["sites",2,"alternatives",0,"staf","scores","floodplain-connectivity",4],"sheet":"STAF scores"},{"cell":"M61","kind":"number","path":["sites",2,"alternatives",0,"staf","scores","hyporheic-connectivity",4],"sheet":"STAF scores"},{"cell":"N61","kind":"number","path":["sites",2,"alternatives",0,"staf","scores","channel-evolution",4],"sheet":"STAF scores"},{"cell":"O61","kind":"number","path":["sites",2,"alternatives",0,"staf","scores","channel-floodplain-dynamics",4],"sheet":"STAF scores"},{"cell":"P61","kind":"number","path":["sites",2,"alternatives",0,"staf","scores","sediment-continuity",4],"sheet":"STAF scores"},{"cell":"Q61","kind":"number","path":["sites",2,"alternatives",0,"staf","scores","bed-composition-bedform-dynamics",4],"sheet":"STAF scores"},{"cell":"R61","kind":"number","path":["sites",2,"alternatives",0,"staf","scores","light-thermal-regime",4],"sheet":"STAF scores"},{"cell":"S61","kind":"number","path":["sites",2,"alternatives",0,"staf","scores","carbon-processing",4],"sheet":"STAF scores"},{"cell":"T61","kind":"number","path":["sites",2,"alternatives",0,"staf","scores","nutrient-cycling",4],"sheet":"STAF scores"},{"cell":"U61","kind":"number","path":["sites",2,"alternatives",0,"staf","scores","water-soil-quality",4],"sheet":"STAF scores"},{"cell":"V61","kind":"number","path":["sites",2,"alternatives",0,"staf","scores","habitat-provision",4],"sheet":"STAF scores"},{"cell":"W61","kind":"number","path":["sites",2,"alternatives",0,"staf","scores","population-support",4],"sheet":"STAF scores"},{"cell":"X61","kind":"number","path":["sites",2,"alternatives",0,"staf","scores","community-dynamics",4],"sheet":"STAF scores"},{"cell":"Y61","kind":"number","path":["sites",2,"alternatives",0,"staf","scores","watershed-connectivity",4],"sheet":"STAF scores"},{"cell":"E62","kind":"number","path":["sites",2,"alternatives",0,"staf","quantity",5],"sheet":"STAF scores"},{"cell":"F62","kind":"number","path":["sites",2,"alternatives",0,"staf","scores","catchment-hydrology",5],"sheet":"STAF scores"},{"cell":"G62","kind":"number","path":["sites",2,"alternatives",0,"staf","scores","surface-water-storage",5],"sheet":"STAF scores"},{"cell":"H62","kind":"number","path":["sites",2,"alternatives",0,"staf","scores","reach-inflow",5],"sheet":"STAF scores"},{"cell":"I62","kind":"number","path":["sites",2,"alternatives",0,"staf","scores","streamflow-regime",5],"sheet":"STAF scores"},{"cell":"J62","kind":"number","path":["sites",2,"alternatives",0,"staf","scores","low-flow-baseflow-dynamics",5],"sheet":"STAF scores"},{"cell":"K62","kind":"number","path":["sites",2,"alternatives",0,"staf","scores","high-flow-dynamics",5],"sheet":"STAF scores"},{"cell":"L62","kind":"number","path":["sites",2,"alternatives",0,"staf","scores","floodplain-connectivity",5],"sheet":"STAF scores"},{"cell":"M62","kind":"number","path":["sites",2,"alternatives",0,"staf","scores","hyporheic-connectivity",5],"sheet":"STAF scores"},{"cell":"N62","kind":"number","path":["sites",2,"alternatives",0,"staf","scores","channel-evolution",5],"sheet":"STAF scores"},{"cell":"O62","kind":"number","path":["sites",2,"alternatives",0,"staf","scores","channel-floodplain-dynamics",5],"sheet":"STAF scores"},{"cell":"P62","kind":"number","path":["sites",2,"alternatives",0,"staf","scores","sediment-continuity",5],"sheet":"STAF scores"},{"cell":"Q62","kind":"number","path":["sites",2,"alternatives",0,"staf","scores","bed-composition-bedform-dynamics",5],"sheet":"STAF scores"},{"cell":"R62","kind":"number","path":["sites",2,"alternatives",0,"staf","scores","light-thermal-regime",5],"sheet":"STAF scores"},{"cell":"S62","kind":"number","path":["sites",2,"alternatives",0,"staf","scores","carbon-processing",5],"sheet":"STAF scores"},{"cell":"T62","kind":"number","path":["sites",2,"alternatives",0,"staf","scores","nutrient-cycling",5],"sheet":"STAF scores"},{"cell":"U62","kind":"number","path":["sites",2,"alternatives",0,"staf","scores","water-soil-quality",5],"sheet":"STAF scores"},{"cell":"V62","kind":"number","path":["sites",2,"alternatives",0,"staf","scores","habitat-provision",5],"sheet":"STAF scores"},{"cell":"W62","kind":"number","path":["sites",2,"alternatives",0,"staf","scores","population-support",5],"sheet":"STAF scores"},{"cell":"X62","kind":"number","path":["sites",2,"alternatives",0,"staf","scores","community-dynamics",5],"sheet":"STAF scores"},{"cell":"Y62","kind":"number","path":["sites",2,"alternatives",0,"staf","scores","watershed-connectivity",5],"sheet":"STAF scores"},{"cell":"E63","kind":"number","path":["sites",2,"alternatives",1,"staf","quantity",0],"sheet":"STAF scores"},{"cell":"F63","kind":"number","path":["sites",2,"alternatives",1,"staf","scores","catchment-hydrology",0],"sheet":"STAF scores"},{"cell":"G63","kind":"number","path":["sites",2,"alternatives",1,"staf","scores","surface-water-storage",0],"sheet":"STAF scores"},{"cell":"H63","kind":"number","path":["sites",2,"alternatives",1,"staf","scores","reach-inflow",0],"sheet":"STAF scores"},{"cell":"I63","kind":"number","path":["sites",2,"alternatives",1,"staf","scores","streamflow-regime",0],"sheet":"STAF scores"},{"cell":"J63","kind":"number","path":["sites",2,"alternatives",1,"staf","scores","low-flow-baseflow-dynamics",0],"sheet":"STAF scores"},{"cell":"K63","kind":"number","path":["sites",2,"alternatives",1,"staf","scores","high-flow-dynamics",0],"sheet":"STAF scores"},{"cell":"L63","kind":"number","path":["sites",2,"alternatives",1,"staf","scores","floodplain-connectivity",0],"sheet":"STAF scores"},{"cell":"M63","kind":"number","path":["sites",2,"alternatives",1,"staf","scores","hyporheic-connectivity",0],"sheet":"STAF scores"},{"cell":"N63","kind":"number","path":["sites",2,"alternatives",1,"staf","scores","channel-evolution",0],"sheet":"STAF scores"},{"cell":"O63","kind":"number","path":["sites",2,"alternatives",1,"staf","scores","channel-floodplain-dynamics",0],"sheet":"STAF scores"},{"cell":"P63","kind":"number","path":["sites",2,"alternatives",1,"staf","scores","sediment-continuity",0],"sheet":"STAF scores"},{"cell":"Q63","kind":"number","path":["sites",2,"alternatives",1,"staf","scores","bed-composition-bedform-dynamics",0],"sheet":"STAF scores"},{"cell":"R63","kind":"number","path":["sites",2,"alternatives",1,"staf","scores","light-thermal-regime",0],"sheet":"STAF scores"},{"cell":"S63","kind":"number","path":["sites",2,"alternatives",1,"staf","scores","carbon-processing",0],"sheet":"STAF scores"},{"cell":"T63","kind":"number","path":["sites",2,"alternatives",1,"staf","scores","nutrient-cycling",0],"sheet":"STAF scores"},{"cell":"U63","kind":"number","path":["sites",2,"alternatives",1,"staf","scores","water-soil-quality",0],"sheet":"STAF scores"},{"cell":"V63","kind":"number","path":["sites",2,"alternatives",1,"staf","scores","habitat-provision",0],"sheet":"STAF scores"},{"cell":"W63","kind":"number","path":["sites",2,"alternatives",1,"staf","scores","population-support",0],"sheet":"STAF scores"},{"cell":"X63","kind":"number","path":["sites",2,"alternatives",1,"staf","scores","community-dynamics",0],"sheet":"STAF scores"},{"cell":"Y63","kind":"number","path":["sites",2,"alternatives",1,"staf","scores","watershed-connectivity",0],"sheet":"STAF scores"},{"cell":"E64","kind":"number","path":["sites",2,"alternatives",1,"staf","quantity",1],"sheet":"STAF scores"},{"cell":"F64","kind":"number","path":["sites",2,"alternatives",1,"staf","scores","catchment-hydrology",1],"sheet":"STAF scores"},{"cell":"G64","kind":"number","path":["sites",2,"alternatives",1,"staf","scores","surface-water-storage",1],"sheet":"STAF scores"},{"cell":"H64","kind":"number","path":["sites",2,"alternatives",1,"staf","scores","reach-inflow",1],"sheet":"STAF scores"},{"cell":"I64","kind":"number","path":["sites",2,"alternatives",1,"staf","scores","streamflow-regime",1],"sheet":"STAF scores"},{"cell":"J64","kind":"number","path":["sites",2,"alternatives",1,"staf","scores","low-flow-baseflow-dynamics",1],"sheet":"STAF scores"},{"cell":"K64","kind":"number","path":["sites",2,"alternatives",1,"staf","scores","high-flow-dynamics",1],"sheet":"STAF scores"},{"cell":"L64","kind":"number","path":["sites",2,"alternatives",1,"staf","scores","floodplain-connectivity",1],"sheet":"STAF scores"},{"cell":"M64","kind":"number","path":["sites",2,"alternatives",1,"staf","scores","hyporheic-connectivity",1],"sheet":"STAF scores"},{"cell":"N64","kind":"number","path":["sites",2,"alternatives",1,"staf","scores","channel-evolution",1],"sheet":"STAF scores"},{"cell":"O64","kind":"number","path":["sites",2,"alternatives",1,"staf","scores","channel-floodplain-dynamics",1],"sheet":"STAF scores"},{"cell":"P64","kind":"number","path":["sites",2,"alternatives",1,"staf","scores","sediment-continuity",1],"sheet":"STAF scores"},{"cell":"Q64","kind":"number","path":["sites",2,"alternatives",1,"staf","scores","bed-composition-bedform-dynamics",1],"sheet":"STAF scores"},{"cell":"R64","kind":"number","path":["sites",2,"alternatives",1,"staf","scores","light-thermal-regime",1],"sheet":"STAF scores"},{"cell":"S64","kind":"number","path":["sites",2,"alternatives",1,"staf","scores","carbon-processing",1],"sheet":"STAF scores"},{"cell":"T64","kind":"number","path":["sites",2,"alternatives",1,"staf","scores","nutrient-cycling",1],"sheet":"STAF scores"},{"cell":"U64","kind":"number","path":["sites",2,"alternatives",1,"staf","scores","water-soil-quality",1],"sheet":"STAF scores"},{"cell":"V64","kind":"number","path":["sites",2,"alternatives",1,"staf","scores","habitat-provision",1],"sheet":"STAF scores"},{"cell":"W64","kind":"number","path":["sites",2,"alternatives",1,"staf","scores","population-support",1],"sheet":"STAF scores"},{"cell":"X64","kind":"number","path":["sites",2,"alternatives",1,"staf","scores","community-dynamics",1],"sheet":"STAF scores"},{"cell":"Y64","kind":"number","path":["sites",2,"alternatives",1,"staf","scores","watershed-connectivity",1],"sheet":"STAF scores"},{"cell":"E65","kind":"number","path":["sites",2,"alternatives",1,"staf","quantity",2],"sheet":"STAF scores"},{"cell":"F65","kind":"number","path":["sites",2,"alternatives",1,"staf","scores","catchment-hydrology",2],"sheet":"STAF scores"},{"cell":"G65","kind":"number","path":["sites",2,"alternatives",1,"staf","scores","surface-water-storage",2],"sheet":"STAF scores"},{"cell":"H65","kind":"number","path":["sites",2,"alternatives",1,"staf","scores","reach-inflow",2],"sheet":"STAF scores"},{"cell":"I65","kind":"number","path":["sites",2,"alternatives",1,"staf","scores","streamflow-regime",2],"sheet":"STAF scores"},{"cell":"J65","kind":"number","path":["sites",2,"alternatives",1,"staf","scores","low-flow-baseflow-dynamics",2],"sheet":"STAF scores"},{"cell":"K65","kind":"number","path":["sites",2,"alternatives",1,"staf","scores","high-flow-dynamics",2],"sheet":"STAF scores"},{"cell":"L65","kind":"number","path":["sites",2,"alternatives",1,"staf","scores","floodplain-connectivity",2],"sheet":"STAF scores"},{"cell":"M65","kind":"number","path":["sites",2,"alternatives",1,"staf","scores","hyporheic-connectivity",2],"sheet":"STAF scores"},{"cell":"N65","kind":"number","path":["sites",2,"alternatives",1,"staf","scores","channel-evolution",2],"sheet":"STAF scores"},{"cell":"O65","kind":"number","path":["sites",2,"alternatives",1,"staf","scores","channel-floodplain-dynamics",2],"sheet":"STAF scores"},{"cell":"P65","kind":"number","path":["sites",2,"alternatives",1,"staf","scores","sediment-continuity",2],"sheet":"STAF scores"},{"cell":"Q65","kind":"number","path":["sites",2,"alternatives",1,"staf","scores","bed-composition-bedform-dynamics",2],"sheet":"STAF scores"},{"cell":"R65","kind":"number","path":["sites",2,"alternatives",1,"staf","scores","light-thermal-regime",2],"sheet":"STAF scores"},{"cell":"S65","kind":"number","path":["sites",2,"alternatives",1,"staf","scores","carbon-processing",2],"sheet":"STAF scores"},{"cell":"T65","kind":"number","path":["sites",2,"alternatives",1,"staf","scores","nutrient-cycling",2],"sheet":"STAF scores"},{"cell":"U65","kind":"number","path":["sites",2,"alternatives",1,"staf","scores","water-soil-quality",2],"sheet":"STAF scores"},{"cell":"V65","kind":"number","path":["sites",2,"alternatives",1,"staf","scores","habitat-provision",2],"sheet":"STAF scores"},{"cell":"W65","kind":"number","path":["sites",2,"alternatives",1,"staf","scores","population-support",2],"sheet":"STAF scores"},{"cell":"X65","kind":"number","path":["sites",2,"alternatives",1,"staf","scores","community-dynamics",2],"sheet":"STAF scores"},{"cell":"Y65","kind":"number","path":["sites",2,"alternatives",1,"staf","scores","watershed-connectivity",2],"sheet":"STAF scores"},{"cell":"E66","kind":"number","path":["sites",2,"alternatives",1,"staf","quantity",3],"sheet":"STAF scores"},{"cell":"F66","kind":"number","path":["sites",2,"alternatives",1,"staf","scores","catchment-hydrology",3],"sheet":"STAF scores"},{"cell":"G66","kind":"number","path":["sites",2,"alternatives",1,"staf","scores","surface-water-storage",3],"sheet":"STAF scores"},{"cell":"H66","kind":"number","path":["sites",2,"alternatives",1,"staf","scores","reach-inflow",3],"sheet":"STAF scores"},{"cell":"I66","kind":"number","path":["sites",2,"alternatives",1,"staf","scores","streamflow-regime",3],"sheet":"STAF scores"},{"cell":"J66","kind":"number","path":["sites",2,"alternatives",1,"staf","scores","low-flow-baseflow-dynamics",3],"sheet":"STAF scores"},{"cell":"K66","kind":"number","path":["sites",2,"alternatives",1,"staf","scores","high-flow-dynamics",3],"sheet":"STAF scores"},{"cell":"L66","kind":"number","path":["sites",2,"alternatives",1,"staf","scores","floodplain-connectivity",3],"sheet":"STAF scores"},{"cell":"M66","kind":"number","path":["sites",2,"alternatives",1,"staf","scores","hyporheic-connectivity",3],"sheet":"STAF scores"},{"cell":"N66","kind":"number","path":["sites",2,"alternatives",1,"staf","scores","channel-evolution",3],"sheet":"STAF scores"},{"cell":"O66","kind":"number","path":["sites",2,"alternatives",1,"staf","scores","channel-floodplain-dynamics",3],"sheet":"STAF scores"},{"cell":"P66","kind":"number","path":["sites",2,"alternatives",1,"staf","scores","sediment-continuity",3],"sheet":"STAF scores"},{"cell":"Q66","kind":"number","path":["sites",2,"alternatives",1,"staf","scores","bed-composition-bedform-dynamics",3],"sheet":"STAF scores"},{"cell":"R66","kind":"number","path":["sites",2,"alternatives",1,"staf","scores","light-thermal-regime",3],"sheet":"STAF scores"},{"cell":"S66","kind":"number","path":["sites",2,"alternatives",1,"staf","scores","carbon-processing",3],"sheet":"STAF scores"},{"cell":"T66","kind":"number","path":["sites",2,"alternatives",1,"staf","scores","nutrient-cycling",3],"sheet":"STAF scores"},{"cell":"U66","kind":"number","path":["sites",2,"alternatives",1,"staf","scores","water-soil-quality",3],"sheet":"STAF scores"},{"cell":"V66","kind":"number","path":["sites",2,"alternatives",1,"staf","scores","habitat-provision",3],"sheet":"STAF scores"},{"cell":"W66","kind":"number","path":["sites",2,"alternatives",1,"staf","scores","population-support",3],"sheet":"STAF scores"},{"cell":"X66","kind":"number","path":["sites",2,"alternatives",1,"staf","scores","community-dynamics",3],"sheet":"STAF scores"},{"cell":"Y66","kind":"number","path":["sites",2,"alternatives",1,"staf","scores","watershed-connectivity",3],"sheet":"STAF scores"},{"cell":"E67","kind":"number","path":["sites",2,"alternatives",1,"staf","quantity",4],"sheet":"STAF scores"},{"cell":"F67","kind":"number","path":["sites",2,"alternatives",1,"staf","scores","catchment-hydrology",4],"sheet":"STAF scores"},{"cell":"G67","kind":"number","path":["sites",2,"alternatives",1,"staf","scores","surface-water-storage",4],"sheet":"STAF scores"},{"cell":"H67","kind":"number","path":["sites",2,"alternatives",1,"staf","scores","reach-inflow",4],"sheet":"STAF scores"},{"cell":"I67","kind":"number","path":["sites",2,"alternatives",1,"staf","scores","streamflow-regime",4],"sheet":"STAF scores"},{"cell":"J67","kind":"number","path":["sites",2,"alternatives",1,"staf","scores","low-flow-baseflow-dynamics",4],"sheet":"STAF scores"},{"cell":"K67","kind":"number","path":["sites",2,"alternatives",1,"staf","scores","high-flow-dynamics",4],"sheet":"STAF scores"},{"cell":"L67","kind":"number","path":["sites",2,"alternatives",1,"staf","scores","floodplain-connectivity",4],"sheet":"STAF scores"},{"cell":"M67","kind":"number","path":["sites",2,"alternatives",1,"staf","scores","hyporheic-connectivity",4],"sheet":"STAF scores"},{"cell":"N67","kind":"number","path":["sites",2,"alternatives",1,"staf","scores","channel-evolution",4],"sheet":"STAF scores"},{"cell":"O67","kind":"number","path":["sites",2,"alternatives",1,"staf","scores","channel-floodplain-dynamics",4],"sheet":"STAF scores"},{"cell":"P67","kind":"number","path":["sites",2,"alternatives",1,"staf","scores","sediment-continuity",4],"sheet":"STAF scores"},{"cell":"Q67","kind":"number","path":["sites",2,"alternatives",1,"staf","scores","bed-composition-bedform-dynamics",4],"sheet":"STAF scores"},{"cell":"R67","kind":"number","path":["sites",2,"alternatives",1,"staf","scores","light-thermal-regime",4],"sheet":"STAF scores"},{"cell":"S67","kind":"number","path":["sites",2,"alternatives",1,"staf","scores","carbon-processing",4],"sheet":"STAF scores"},{"cell":"T67","kind":"number","path":["sites",2,"alternatives",1,"staf","scores","nutrient-cycling",4],"sheet":"STAF scores"},{"cell":"U67","kind":"number","path":["sites",2,"alternatives",1,"staf","scores","water-soil-quality",4],"shee</t>
        </is>
      </c>
      <c r="H3" t="inlineStr">
        <is>
          <t>t":"STAF scores"},{"cell":"V67","kind":"number","path":["sites",2,"alternatives",1,"staf","scores","habitat-provision",4],"sheet":"STAF scores"},{"cell":"W67","kind":"number","path":["sites",2,"alternatives",1,"staf","scores","population-support",4],"sheet":"STAF scores"},{"cell":"X67","kind":"number","path":["sites",2,"alternatives",1,"staf","scores","community-dynamics",4],"sheet":"STAF scores"},{"cell":"Y67","kind":"number","path":["sites",2,"alternatives",1,"staf","scores","watershed-connectivity",4],"sheet":"STAF scores"},{"cell":"E68","kind":"number","path":["sites",2,"alternatives",1,"staf","quantity",5],"sheet":"STAF scores"},{"cell":"F68","kind":"number","path":["sites",2,"alternatives",1,"staf","scores","catchment-hydrology",5],"sheet":"STAF scores"},{"cell":"G68","kind":"number","path":["sites",2,"alternatives",1,"staf","scores","surface-water-storage",5],"sheet":"STAF scores"},{"cell":"H68","kind":"number","path":["sites",2,"alternatives",1,"staf","scores","reach-inflow",5],"sheet":"STAF scores"},{"cell":"I68","kind":"number","path":["sites",2,"alternatives",1,"staf","scores","streamflow-regime",5],"sheet":"STAF scores"},{"cell":"J68","kind":"number","path":["sites",2,"alternatives",1,"staf","scores","low-flow-baseflow-dynamics",5],"sheet":"STAF scores"},{"cell":"K68","kind":"number","path":["sites",2,"alternatives",1,"staf","scores","high-flow-dynamics",5],"sheet":"STAF scores"},{"cell":"L68","kind":"number","path":["sites",2,"alternatives",1,"staf","scores","floodplain-connectivity",5],"sheet":"STAF scores"},{"cell":"M68","kind":"number","path":["sites",2,"alternatives",1,"staf","scores","hyporheic-connectivity",5],"sheet":"STAF scores"},{"cell":"N68","kind":"number","path":["sites",2,"alternatives",1,"staf","scores","channel-evolution",5],"sheet":"STAF scores"},{"cell":"O68","kind":"number","path":["sites",2,"alternatives",1,"staf","scores","channel-floodplain-dynamics",5],"sheet":"STAF scores"},{"cell":"P68","kind":"number","path":["sites",2,"alternatives",1,"staf","scores","sediment-continuity",5],"sheet":"STAF scores"},{"cell":"Q68","kind":"number","path":["sites",2,"alternatives",1,"staf","scores","bed-composition-bedform-dynamics",5],"sheet":"STAF scores"},{"cell":"R68","kind":"number","path":["sites",2,"alternatives",1,"staf","scores","light-thermal-regime",5],"sheet":"STAF scores"},{"cell":"S68","kind":"number","path":["sites",2,"alternatives",1,"staf","scores","carbon-processing",5],"sheet":"STAF scores"},{"cell":"T68","kind":"number","path":["sites",2,"alternatives",1,"staf","scores","nutrient-cycling",5],"sheet":"STAF scores"},{"cell":"U68","kind":"number","path":["sites",2,"alternatives",1,"staf","scores","water-soil-quality",5],"sheet":"STAF scores"},{"cell":"V68","kind":"number","path":["sites",2,"alternatives",1,"staf","scores","habitat-provision",5],"sheet":"STAF scores"},{"cell":"W68","kind":"number","path":["sites",2,"alternatives",1,"staf","scores","population-support",5],"sheet":"STAF scores"},{"cell":"X68","kind":"number","path":["sites",2,"alternatives",1,"staf","scores","community-dynamics",5],"sheet":"STAF scores"},{"cell":"Y68","kind":"number","path":["sites",2,"alternatives",1,"staf","scores","watershed-connectivity",5],"sheet":"STAF scores"},{"cell":"E69","kind":"number","path":["sites",2,"alternatives",2,"staf","quantity",0],"sheet":"STAF scores"},{"cell":"F69","kind":"number","path":["sites",2,"alternatives",2,"staf","scores","catchment-hydrology",0],"sheet":"STAF scores"},{"cell":"G69","kind":"number","path":["sites",2,"alternatives",2,"staf","scores","surface-water-storage",0],"sheet":"STAF scores"},{"cell":"H69","kind":"number","path":["sites",2,"alternatives",2,"staf","scores","reach-inflow",0],"sheet":"STAF scores"},{"cell":"I69","kind":"number","path":["sites",2,"alternatives",2,"staf","scores","streamflow-regime",0],"sheet":"STAF scores"},{"cell":"J69","kind":"number","path":["sites",2,"alternatives",2,"staf","scores","low-flow-baseflow-dynamics",0],"sheet":"STAF scores"},{"cell":"K69","kind":"number","path":["sites",2,"alternatives",2,"staf","scores","high-flow-dynamics",0],"sheet":"STAF scores"},{"cell":"L69","kind":"number","path":["sites",2,"alternatives",2,"staf","scores","floodplain-connectivity",0],"sheet":"STAF scores"},{"cell":"M69","kind":"number","path":["sites",2,"alternatives",2,"staf","scores","hyporheic-connectivity",0],"sheet":"STAF scores"},{"cell":"N69","kind":"number","path":["sites",2,"alternatives",2,"staf","scores","channel-evolution",0],"sheet":"STAF scores"},{"cell":"O69","kind":"number","path":["sites",2,"alternatives",2,"staf","scores","channel-floodplain-dynamics",0],"sheet":"STAF scores"},{"cell":"P69","kind":"number","path":["sites",2,"alternatives",2,"staf","scores","sediment-continuity",0],"sheet":"STAF scores"},{"cell":"Q69","kind":"number","path":["sites",2,"alternatives",2,"staf","scores","bed-composition-bedform-dynamics",0],"sheet":"STAF scores"},{"cell":"R69","kind":"number","path":["sites",2,"alternatives",2,"staf","scores","light-thermal-regime",0],"sheet":"STAF scores"},{"cell":"S69","kind":"number","path":["sites",2,"alternatives",2,"staf","scores","carbon-processing",0],"sheet":"STAF scores"},{"cell":"T69","kind":"number","path":["sites",2,"alternatives",2,"staf","scores","nutrient-cycling",0],"sheet":"STAF scores"},{"cell":"U69","kind":"number","path":["sites",2,"alternatives",2,"staf","scores","water-soil-quality",0],"sheet":"STAF scores"},{"cell":"V69","kind":"number","path":["sites",2,"alternatives",2,"staf","scores","habitat-provision",0],"sheet":"STAF scores"},{"cell":"W69","kind":"number","path":["sites",2,"alternatives",2,"staf","scores","population-support",0],"sheet":"STAF scores"},{"cell":"X69","kind":"number","path":["sites",2,"alternatives",2,"staf","scores","community-dynamics",0],"sheet":"STAF scores"},{"cell":"Y69","kind":"number","path":["sites",2,"alternatives",2,"staf","scores","watershed-connectivity",0],"sheet":"STAF scores"},{"cell":"E70","kind":"number","path":["sites",2,"alternatives",2,"staf","quantity",1],"sheet":"STAF scores"},{"cell":"F70","kind":"number","path":["sites",2,"alternatives",2,"staf","scores","catchment-hydrology",1],"sheet":"STAF scores"},{"cell":"G70","kind":"number","path":["sites",2,"alternatives",2,"staf","scores","surface-water-storage",1],"sheet":"STAF scores"},{"cell":"H70","kind":"number","path":["sites",2,"alternatives",2,"staf","scores","reach-inflow",1],"sheet":"STAF scores"},{"cell":"I70","kind":"number","path":["sites",2,"alternatives",2,"staf","scores","streamflow-regime",1],"sheet":"STAF scores"},{"cell":"J70","kind":"number","path":["sites",2,"alternatives",2,"staf","scores","low-flow-baseflow-dynamics",1],"sheet":"STAF scores"},{"cell":"K70","kind":"number","path":["sites",2,"alternatives",2,"staf","scores","high-flow-dynamics",1],"sheet":"STAF scores"},{"cell":"L70","kind":"number","path":["sites",2,"alternatives",2,"staf","scores","floodplain-connectivity",1],"sheet":"STAF scores"},{"cell":"M70","kind":"number","path":["sites",2,"alternatives",2,"staf","scores","hyporheic-connectivity",1],"sheet":"STAF scores"},{"cell":"N70","kind":"number","path":["sites",2,"alternatives",2,"staf","scores","channel-evolution",1],"sheet":"STAF scores"},{"cell":"O70","kind":"number","path":["sites",2,"alternatives",2,"staf","scores","channel-floodplain-dynamics",1],"sheet":"STAF scores"},{"cell":"P70","kind":"number","path":["sites",2,"alternatives",2,"staf","scores","sediment-continuity",1],"sheet":"STAF scores"},{"cell":"Q70","kind":"number","path":["sites",2,"alternatives",2,"staf","scores","bed-composition-bedform-dynamics",1],"sheet":"STAF scores"},{"cell":"R70","kind":"number","path":["sites",2,"alternatives",2,"staf","scores","light-thermal-regime",1],"sheet":"STAF scores"},{"cell":"S70","kind":"number","path":["sites",2,"alternatives",2,"staf","scores","carbon-processing",1],"sheet":"STAF scores"},{"cell":"T70","kind":"number","path":["sites",2,"alternatives",2,"staf","scores","nutrient-cycling",1],"sheet":"STAF scores"},{"cell":"U70","kind":"number","path":["sites",2,"alternatives",2,"staf","scores","water-soil-quality",1],"sheet":"STAF scores"},{"cell":"V70","kind":"number","path":["sites",2,"alternatives",2,"staf","scores","habitat-provision",1],"sheet":"STAF scores"},{"cell":"W70","kind":"number","path":["sites",2,"alternatives",2,"staf","scores","population-support",1],"sheet":"STAF scores"},{"cell":"X70","kind":"number","path":["sites",2,"alternatives",2,"staf","scores","community-dynamics",1],"sheet":"STAF scores"},{"cell":"Y70","kind":"number","path":["sites",2,"alternatives",2,"staf","scores","watershed-connectivity",1],"sheet":"STAF scores"},{"cell":"E71","kind":"number","path":["sites",2,"alternatives",2,"staf","quantity",2],"sheet":"STAF scores"},{"cell":"F71","kind":"number","path":["sites",2,"alternatives",2,"staf","scores","catchment-hydrology",2],"sheet":"STAF scores"},{"cell":"G71","kind":"number","path":["sites",2,"alternatives",2,"staf","scores","surface-water-storage",2],"sheet":"STAF scores"},{"cell":"H71","kind":"number","path":["sites",2,"alternatives",2,"staf","scores","reach-inflow",2],"sheet":"STAF scores"},{"cell":"I71","kind":"number","path":["sites",2,"alternatives",2,"staf","scores","streamflow-regime",2],"sheet":"STAF scores"},{"cell":"J71","kind":"number","path":["sites",2,"alternatives",2,"staf","scores","low-flow-baseflow-dynamics",2],"sheet":"STAF scores"},{"cell":"K71","kind":"number","path":["sites",2,"alternatives",2,"staf","scores","high-flow-dynamics",2],"sheet":"STAF scores"},{"cell":"L71","kind":"number","path":["sites",2,"alternatives",2,"staf","scores","floodplain-connectivity",2],"sheet":"STAF scores"},{"cell":"M71","kind":"number","path":["sites",2,"alternatives",2,"staf","scores","hyporheic-connectivity",2],"sheet":"STAF scores"},{"cell":"N71","kind":"number","path":["sites",2,"alternatives",2,"staf","scores","channel-evolution",2],"sheet":"STAF scores"},{"cell":"O71","kind":"number","path":["sites",2,"alternatives",2,"staf","scores","channel-floodplain-dynamics",2],"sheet":"STAF scores"},{"cell":"P71","kind":"number","path":["sites",2,"alternatives",2,"staf","scores","sediment-continuity",2],"sheet":"STAF scores"},{"cell":"Q71","kind":"number","path":["sites",2,"alternatives",2,"staf","scores","bed-composition-bedform-dynamics",2],"sheet":"STAF scores"},{"cell":"R71","kind":"number","path":["sites",2,"alternatives",2,"staf","scores","light-thermal-regime",2],"sheet":"STAF scores"},{"cell":"S71","kind":"number","path":["sites",2,"alternatives",2,"staf","scores","carbon-processing",2],"sheet":"STAF scores"},{"cell":"T71","kind":"number","path":["sites",2,"alternatives",2,"staf","scores","nutrient-cycling",2],"sheet":"STAF scores"},{"cell":"U71","kind":"number","path":["sites",2,"alternatives",2,"staf","scores","water-soil-quality",2],"sheet":"STAF scores"},{"cell":"V71","kind":"number","path":["sites",2,"alternatives",2,"staf","scores","habitat-provision",2],"sheet":"STAF scores"},{"cell":"W71","kind":"number","path":["sites",2,"alternatives",2,"staf","scores","population-support",2],"sheet":"STAF scores"},{"cell":"X71","kind":"number","path":["sites",2,"alternatives",2,"staf","scores","community-dynamics",2],"sheet":"STAF scores"},{"cell":"Y71","kind":"number","path":["sites",2,"alternatives",2,"staf","scores","watershed-connectivity",2],"sheet":"STAF scores"},{"cell":"E72","kind":"number","path":["sites",2,"alternatives",2,"staf","quantity",3],"sheet":"STAF scores"},{"cell":"F72","kind":"number","path":["sites",2,"alternatives",2,"staf","scores","catchment-hydrology",3],"sheet":"STAF scores"},{"cell":"G72","kind":"number","path":["sites",2,"alternatives",2,"staf","scores","surface-water-storage",3],"sheet":"STAF scores"},{"cell":"H72","kind":"number","path":["sites",2,"alternatives",2,"staf","scores","reach-inflow",3],"sheet":"STAF scores"},{"cell":"I72","kind":"number","path":["sites",2,"alternatives",2,"staf","scores","streamflow-regime",3],"sheet":"STAF scores"},{"cell":"J72","kind":"number","path":["sites",2,"alternatives",2,"staf","scores","low-flow-baseflow-dynamics",3],"sheet":"STAF scores"},{"cell":"K72","kind":"number","path":["sites",2,"alternatives",2,"staf","scores","high-flow-dynamics",3],"sheet":"STAF scores"},{"cell":"L72","kind":"number","path":["sites",2,"alternatives",2,"staf","scores","floodplain-connectivity",3],"sheet":"STAF scores"},{"cell":"M72","kind":"number","path":["sites",2,"alternatives",2,"staf","scores","hyporheic-connectivity",3],"sheet":"STAF scores"},{"cell":"N72","kind":"number","path":["sites",2,"alternatives",2,"staf","scores","channel-evolution",3],"sheet":"STAF scores"},{"cell":"O72","kind":"number","path":["sites",2,"alternatives",2,"staf","scores","channel-floodplain-dynamics",3],"sheet":"STAF scores"},{"cell":"P72","kind":"number","path":["sites",2,"alternatives",2,"staf","scores","sediment-continuity",3],"sheet":"STAF scores"},{"cell":"Q72","kind":"number","path":["sites",2,"alternatives",2,"staf","scores","bed-composition-bedform-dynamics",3],"sheet":"STAF scores"},{"cell":"R72","kind":"number","path":["sites",2,"alternatives",2,"staf","scores","light-thermal-regime",3],"sheet":"STAF scores"},{"cell":"S72","kind":"number","path":["sites",2,"alternatives",2,"staf","scores","carbon-processing",3],"sheet":"STAF scores"},{"cell":"T72","kind":"number","path":["sites",2,"alternatives",2,"staf","scores","nutrient-cycling",3],"sheet":"STAF scores"},{"cell":"U72","kind":"number","path":["sites",2,"alternatives",2,"staf","scores","water-soil-quality",3],"sheet":"STAF scores"},{"cell":"V72","kind":"number","path":["sites",2,"alternatives",2,"staf","scores","habitat-provision",3],"sheet":"STAF scores"},{"cell":"W72","kind":"number","path":["sites",2,"alternatives",2,"staf","scores","population-support",3],"sheet":"STAF scores"},{"cell":"X72","kind":"number","path":["sites",2,"alternatives",2,"staf","scores","community-dynamics",3],"sheet":"STAF scores"},{"cell":"Y72","kind":"number","path":["sites",2,"alternatives",2,"staf","scores","watershed-connectivity",3],"sheet":"STAF scores"},{"cell":"E73","kind":"number","path":["sites",2,"alternatives",2,"staf","quantity",4],"sheet":"STAF scores"},{"cell":"F73","kind":"number","path":["sites",2,"alternatives",2,"staf","scores","catchment-hydrology",4],"sheet":"STAF scores"},{"cell":"G73","kind":"number","path":["sites",2,"alternatives",2,"staf","scores","surface-water-storage",4],"sheet":"STAF scores"},{"cell":"H73","kind":"number","path":["sites",2,"alternatives",2,"staf","scores","reach-inflow",4],"sheet":"STAF scores"},{"cell":"I73","kind":"number","path":["sites",2,"alternatives",2,"staf","scores","streamflow-regime",4],"sheet":"STAF scores"},{"cell":"J73","kind":"number","path":["sites",2,"alternatives",2,"staf","scores","low-flow-baseflow-dynamics",4],"sheet":"STAF scores"},{"cell":"K73","kind":"number","path":["sites",2,"alternatives",2,"staf","scores","high-flow-dynamics",4],"sheet":"STAF scores"},{"cell":"L73","kind":"number","path":["sites",2,"alternatives",2,"staf","scores","floodplain-connectivity",4],"sheet":"STAF scores"},{"cell":"M73","kind":"number","path":["sites",2,"alternatives",2,"staf","scores","hyporheic-connectivity",4],"sheet":"STAF scores"},{"cell":"N73","kind":"number","path":["sites",2,"alternatives",2,"staf","scores","channel-evolution",4],"sheet":"STAF scores"},{"cell":"O73","kind":"number","path":["sites",2,"alternatives",2,"staf","scores","channel-floodplain-dynamics",4],"sheet":"STAF scores"},{"cell":"P73","kind":"number","path":["sites",2,"alternatives",2,"staf","scores","sediment-continuity",4],"sheet":"STAF scores"},{"cell":"Q73","kind":"number","path":["sites",2,"alternatives",2,"staf","scores","bed-composition-bedform-dynamics",4],"sheet":"STAF scores"},{"cell":"R73","kind":"number","path":["sites",2,"alternatives",2,"staf","scores","light-thermal-regime",4],"sheet":"STAF scores"},{"cell":"S73","kind":"number","path":["sites",2,"alternatives",2,"staf","scores","carbon-processing",4],"sheet":"STAF scores"},{"cell":"T73","kind":"number","path":["sites",2,"alternatives",2,"staf","scores","nutrient-cycling",4],"sheet":"STAF scores"},{"cell":"U73","kind":"number","path":["sites",2,"alternatives",2,"staf","scores","water-soil-quality",4],"sheet":"STAF scores"},{"cell":"V73","kind":"number","path":["sites",2,"alternatives",2,"staf","scores","habitat-provision",4],"sheet":"STAF scores"},{"cell":"W73","kind":"number","path":["sites",2,"alternatives",2,"staf","scores","population-support",4],"sheet":"STAF scores"},{"cell":"X73","kind":"number","path":["sites",2,"alternatives",2,"staf","scores","community-dynamics",4],"sheet":"STAF scores"},{"cell":"Y73","kind":"number","path":["sites",2,"alternatives",2,"staf","scores","watershed-connectivity",4],"sheet":"STAF scores"},{"cell":"E74","kind":"number","path":["sites",2,"alternatives",2,"staf","quantity",5],"sheet":"STAF scores"},{"cell":"F74","kind":"number","path":["sites",2,"alternatives",2,"staf","scores","catchment-hydrology",5],"sheet":"STAF scores"},{"cell":"G74","kind":"number","path":["sites",2,"alternatives",2,"staf","scores","surface-water-storage",5],"sheet":"STAF scores"},{"cell":"H74","kind":"number","path":["sites",2,"alternatives",2,"staf","scores","reach-inflow",5],"sheet":"STAF scores"},{"cell":"I74","kind":"number","path":["sites",2,"alternatives",2,"staf","scores","streamflow-regime",5],"sheet":"STAF scores"},{"cell":"J74","kind":"number","path":["sites",2,"alternatives",2,"staf","scores","low-flow-baseflow-dynamics",5],"sheet":"STAF scores"},{"cell":"K74","kind":"number","path":["sites",2,"alternatives",2,"staf","scores","high-flow-dynamics",5],"sheet":"STAF scores"},{"cell":"L74","kind":"number","path":["sites",2,"alternatives",2,"staf","scores","floodplain-connectivity",5],"sheet":"STAF scores"},{"cell":"M74","kind":"number","path":["sites",2,"alternatives",2,"staf","scores","hyporheic-connectivity",5],"sheet":"STAF scores"},{"cell":"N74","kind":"number","path":["sites",2,"alternatives",2,"staf","scores","channel-evolution",5],"sheet":"STAF scores"},{"cell":"O74","kind":"number","path":["sites",2,"alternatives",2,"staf","scores","channel-floodplain-dynamics",5],"sheet":"STAF scores"},{"cell":"P74","kind":"number","path":["sites",2,"alternatives",2,"staf","scores","sediment-continuity",5],"sheet":"STAF scores"},{"cell":"Q74","kind":"number","path":["sites",2,"alternatives",2,"staf","scores","bed-composition-bedform-dynamics",5],"sheet":"STAF scores"},{"cell":"R74","kind":"number","path":["sites",2,"alternatives",2,"staf","scores","light-thermal-regime",5],"sheet":"STAF scores"},{"cell":"S74","kind":"number","path":["sites",2,"alternatives",2,"staf","scores","carbon-processing",5],"sheet":"STAF scores"},{"cell":"T74","kind":"number","path":["sites",2,"alternatives",2,"staf","scores","nutrient-cycling",5],"sheet":"STAF scores"},{"cell":"U74","kind":"number","path":["sites",2,"alternatives",2,"staf","scores","water-soil-quality",5],"sheet":"STAF scores"},{"cell":"V74","kind":"number","path":["sites",2,"alternatives",2,"staf","scores","habitat-provision",5],"sheet":"STAF scores"},{"cell":"W74","kind":"number","path":["sites",2,"alternatives",2,"staf","scores","population-support",5],"sheet":"STAF scores"},{"cell":"X74","kind":"number","path":["sites",2,"alternatives",2,"staf","scores","community-dynamics",5],"sheet":"STAF scores"},{"cell":"Y74","kind":"number","path":["sites",2,"alternatives",2,"staf","scores","watershed-connectivity",5],"sheet":"STAF scores"},{"cell":"D6","kind":"number","path":["sites",0,"alternatives",0,"costs","first_costs","construction"],"sheet":"Costs"},{"cell":"E6","kind":"number","path":["sites",0,"alternatives",0,"costs","first_costs","monitoring"],"sheet":"Costs"},{"cell":"F6","kind":"number","path":["sites",0,"alternatives",0,"costs","first_costs","adaptive_management"],"sheet":"Costs"},{"cell":"G6","kind":"number","path":["sites",0,"alternatives",0,"costs","construction_months"],"sheet":"Costs"},{"cell":"L6","kind":"optional","path":["sites",0,"alternatives",0,"costs","annual_override"],"sheet":"Costs"},{"cell":"D7","kind":"number","path":["sites",0,"alternatives",1,"costs","first_costs","construction"],"sheet":"Costs"},{"cell":"E7","kind":"number","path":["sites",0,"alternatives",1,"costs","first_costs","monitoring"],"sheet":"Costs"},{"cell":"F7","kind":"number","path":["sites",0,"alternatives",1,"costs","first_costs","adaptive_management"],"sheet":"Costs"},{"cell":"G7","kind":"number","path":["sites",0,"alternatives",1,"costs","construction_months"],"sheet":"Costs"},{"cell":"L7","kind":"optional","path":["sites",0,"alternatives",1,"costs","annual_override"],"sheet":"Costs"},{"cell":"D8","kind":"number","path":["sites",0,"alternatives",2,"costs","first_costs","construction"],"sheet":"Costs"},{"cell":"E8","kind":"number","path":["sites",0,"alternatives",2,"costs","first_costs","monitoring"],"sheet":"Costs"},{"cell":"F8","kind":"number","path":["sites",0,"alternatives",2,"costs","first_costs","adaptive_management"],"sheet":"Costs"},{"cell":"G8","kind":"number","path":["sites",0,"alternatives",2,"costs","construction_months"],"sheet":"Costs"},{"cell":"L8","kind":"optional","path":["sites",0,"alternatives",2,"costs","annual_override"],"sheet":"Costs"},{"cell":"D9","kind":"number","path":["sites",0,"alternatives",3,"costs","first_costs","construction"],"sheet":"Costs"},{"cell":"E9","kind":"number","path":["sites",0,"alternatives",3,"costs","first_costs","monitoring"],"sheet":"Costs"},{"cell":"F9","kind":"number","path":["sites",0,"alternatives",3,"costs","first_costs","adaptive_management"],"sheet":"Costs"},{"cell":"G9","kind":"number","path":["sites",0,"alternatives",3,"costs","construction_months"],"sheet":"Costs"},{"cell":"L9","kind":"optional","path":["sites",0,"alternatives",3,"costs","annual_override"],"sheet":"Costs"},{"cell":"D10","kind":"number","path":["sites",1,"alternatives",0,"costs","first_costs","construction"],"sheet":"Costs"},{"cell":"E10","kind":"number","path":["sites",1,"alternatives",0,"costs","first_costs","monitoring"],"sheet":"Costs"},{"cell":"F10","kind":"number","path":["sites",1,"alternatives",0,"costs","first_costs","adaptive_management"],"sheet":"Costs"},{"cell":"G10","kind":"number","path":["sites",1,"alternatives",0,"costs","construction_months"],"sheet":"Costs"},{"cell":"L10","kind":"optional","path":["sites",1,"alternatives",0,"costs","annual_override"],"sheet":"Costs"},{"cell":"D11","kind":"number","path":["sites",1,"alternatives",1,"costs","first_costs","construction"],"sheet":"Costs"},{"cell":"E11","kind":"number","path":["sites",1,"alternatives",1,"costs","first_costs","monitoring"],"sheet":"Costs"},{"cell":"F11","kind":"number","path":["sites",1,"alternatives",1,"costs","first_costs","adaptive_management"],"sheet":"Costs"},{"cell":"G11","kind":"number","path":["sites",1,"alternatives",1,"costs","construction_months"],"sheet":"Costs"},{"cell":"L11","kind":"optional","path":["sites",1,"alternatives",1,"costs","annual_override"],"sheet":"Costs"},{"cell":"D12","kind":"number","path":["sites",1,"alternatives",2,"costs","first_costs","construction"],"sheet":"Costs"},{"cell":"E12","kind":"number","path":["sites",1,"alternatives",2,"costs","first_costs","monitoring"],"sheet":"Costs"},{"cell":"F12","kind":"number","path":["sites",1,"alternatives",2,"costs","first_costs","adaptive_management"],"sheet":"Costs"},{"cell":"G12","kind":"number","path":["sites",1,"alternatives",2,"costs","construction_months"],"sheet":"Costs"},{"cell":"L12","kind":"optional","path":["sites",1,"alternatives",2,"costs","annual_override"],"sheet":"Costs"},{"cell":"D13","kind":"number","path":["sites",2,"alternatives",0,"costs","first_costs","construction"],"sheet":"Costs"},{"cell":"E13","kind":"number","path":["sites",2,"alternatives",0,"costs","first_costs","monitoring"],"sheet":"Costs"},{"cell":"F13","kind":"number","path":["sites",2,"alternatives",0,"costs","first_costs","adaptive_management"],"sheet":"Costs"},{"cell":"G13","kind":"number","path":["sites",2,"alternatives",0,"costs","construction_months"],"sheet":"Costs"},{"cell":"L13","kind":"optional","path":["sites",2,"alternatives",0,"costs","annual_override"],"sheet":"Costs"},{"cell":"D14","kind":"number","path":["sites",2,"alternatives",1,"costs","first_costs","construction"],"sheet":"Costs"},{"cell":"E14","kind":"number","path":["sites",2,"alternatives",1,"costs","first_costs","monitoring"],"sheet":"Costs"},{"cell":"F14","kind":"number","path":["sites",2,"alternatives",1,"costs","first_costs","adaptive_management"],"sheet":"Costs"},{"cell":"G14","kind":"number","path":["sites",2,"alternatives",1,"costs","construction_months"],"sheet":"Costs"},{"cell":"L14","kind":"optional","path":["sites",2,"alternatives",1,"costs","annual_override"],"sheet":"Costs"},{"cell":"D15","kind":"number","path":["sites",2,"alternatives",2,"costs","first_costs","construction"],"sheet":"Costs"},{"cell":"E15","kind":"number","path":["sites",2,"alternatives",2,"costs","first_costs","monitoring"],"sheet":"Costs"},{"cell":"F15","kind":"number","path":["sites",2,"alternatives",2,"costs","first_costs","adaptive_management"],"sheet":"Costs"},{"cell":"G15","kind":"number","path":["sites",2,"alternatives",2,"costs","construction_months"],"sheet":"Costs"},{"cell":"L15","kind":"optional","path":["sites",2,"alternatives",2,"costs","annual_override"],"sheet":"Costs"},{"cell":"F5","kind":"number","path":["sites",0,"alternatives",1,"costs","recurring",0,"amount"],"sheet":"OMRRR"},{"cell":"K5","kind":"int","path":["sites",0,"alternatives",1,"costs","recurring",0,"every_years"],"sheet":"OMRRR"},{"cell":"L5","kind":"optional_int","path":["sites",0,"alternatives",1,"costs","recurring",0,"first_year"],"sheet":"OMRRR"},{"cell":"M5","kind":"optional_int","path":["sites",0,"alternatives",1,"costs","recurring",0,"last_year"],"sheet":"OMRRR"},{"cell":"G6","kind":"number","path":["sites",0,"alternatives",1,"costs","recurring",1,"percent"],"sheet":"OMRRR"},{"cell":"K6","kind":"int","path":["sites",0,"alternatives",1,"costs","recurring",1,"every_years"],"sheet":"OMRRR"},{"cell":"L6","kind":"optional_int","path":["sites",0,"alternatives",1,"costs","recurring",1,"first_year"],"sheet":"OMRRR"},{"cell":"M6","kind":"optional_int","path":["sites",0,"alternatives",1,"costs","recurring",1,"last_year"],"sheet":"OMRRR"},{"cell":"F7","kind":"number","path":["sites",0,"alternatives",2,"costs","recurring",0,"amount"],"sheet":"OMRRR"},{"cell":"K7","kind":"int","path":["sites",0,"alternatives",2,"costs","recurring",0,"every_years"],"sheet":"OMRRR"},{"cell":"L7","kind":"optional_int","path":["sites",0,"alternatives",2,"costs","recurring",0,"first_year"],"sheet":"OMRRR"},{"cell":"M7","kind":"optional_int","path":["sites",0,"alternatives",2,"costs","recurring",0,"last_year"],"sheet":"OMRRR"},{"cell":"G8","kind":"number","path":["sites",0,"alternatives",2,"costs","recurring",1,"percent"],"sheet":"OMRRR"},{"cell":"K8","kind":"int","path":["sites",0,"alternatives",2,"costs","recurring",1,"every_years"],"sheet":"OMRRR"},{"cell":"L8","kind":"optional_int","path":["sites",0,"alternatives",2,"costs","recurring",1,"first_year"],"sheet":"OMRRR"},{"cell":"M8","kind":"optional_int","path":["sites",0,"alternatives",2,"costs","recurring",1,"last_year"],"sheet":"OMRRR"},{"cell":"F9","kind":"number","path":["sites",0,"alternatives",3,"costs","recurring",0,"amount"],"sheet":"OMRRR"},{"cell":"K9","kind":"int","path":["sites",0,"alternatives",3,"costs","recurring",0,"every_years"],"sheet":"OMRRR"},{"cell":"L9","kind":"optional_int","path":["sites",0,"alternatives",3,"costs","recurring",0,"first_year"],"sheet":"OMRRR"},{"cell":"M9","kind":"optional_int","path":["sites",0,"alternatives",3,"costs","recurring",0,"last_year"],"sheet":"OMRRR"},{"cell":"G10","kind":"number","path":["sites",0,"alternatives",3,"costs","recurring",1,"percent"],"sheet":"OMRRR"},{"cell":"K10","kind":"int","path":["sites",0,"alternatives",3,"costs","recurring",1,"every_years"],"sheet":"OMRRR"},{"cell":"L10","kind":"optional_int","path":["sites",0,"alternatives",3,"costs","recurring",1,"first_year"],"sheet":"OMRRR"},{"cell":"M10","kind":"optional_int","path":["sites",0,"alternatives",3,"costs","recurring",1,"last_year"],"sheet":"OMRRR"},{"cell":"I11","kind":"number","path":["sites",0,"alternatives",3,"costs","recurring",2,"unit_rate"],"sheet":"OMRRR"},{"cell":"J11","kind":"number","path":["sites",0,"alternatives",3,"costs","recurring",2,"quantity"],"sheet":"OMRRR"},{"cell":"K11","kind":"int","path":["sites",0,"alternatives",3,"costs","recurring",2,"every_years"],"sheet":"OMRRR"},{"cell":"L11","kind":"optional_int","path":["sites",0,"alternatives",3,"costs","recurring",2,"first_year"],"sheet":"OMRRR"},{"cell":"M11","kind":"optional_int","path":["sites",0,"alternatives",3,"costs","recurring",2,"last_year"],"sheet":"OMRRR"},{"cell":"F12","kind":"number","path":["sites",1,"alternatives",1,"costs","recurring",0,"amount"],"sheet":"OMRRR"},{"cell":"K12","kind":"int","path":["sites",1,"alternatives",1,"costs","recurring",0,"every_years"],"sheet":"OMRRR"},{"cell":"L12","kind":"optional_int","path":["sites",1,"alternatives",1,"costs","recurring",0,"first_year"],"sheet":"OMRRR"},{"cell":"M12","kind":"optional_int","path":["sites",1,"alternatives",1,"costs","recurring",0,"last_year"],"sheet":"OMRRR"},{"cell":"G13","kind":"number","path":["sites",1,"alternatives",1,"costs","recurring",1,"percent"],"sheet":"OMRRR"},{"cell":"K13","kind":"int","path":["sites",1,"alternatives",1,"costs","recurring",1,"every_years"],"sheet":"OMRRR"},{"cell":"L13","kind":"optional_int","path":["sites",1,"alternatives",1,"costs","recurring",1,"first_year"],"sheet":"OMRRR"},{"cell":"M13","kind":"optional_int","path":["sites",1,"alternatives",1,"costs","recurring",1,"last_year"],"sheet":"OMRRR"},{"cell":"F14","kind":"number","path":["sites",1,"alternatives",2,"costs","recurring",0,"amount"],"sheet":"OMRRR"},{"cell":"K14","kind":"int","path":["sites",1,"alternatives",2,"costs","recurring",0,"every_years"],"sheet":"OMRRR"},{"cell":"L14","</t>
        </is>
      </c>
      <c r="I3" t="inlineStr">
        <is>
          <t>kind":"optional_int","path":["sites",1,"alternatives",2,"costs","recurring",0,"first_year"],"sheet":"OMRRR"},{"cell":"M14","kind":"optional_int","path":["sites",1,"alternatives",2,"costs","recurring",0,"last_year"],"sheet":"OMRRR"},{"cell":"G15","kind":"number","path":["sites",1,"alternatives",2,"costs","recurring",1,"percent"],"sheet":"OMRRR"},{"cell":"K15","kind":"int","path":["sites",1,"alternatives",2,"costs","recurring",1,"every_years"],"sheet":"OMRRR"},{"cell":"L15","kind":"optional_int","path":["sites",1,"alternatives",2,"costs","recurring",1,"first_year"],"sheet":"OMRRR"},{"cell":"M15","kind":"optional_int","path":["sites",1,"alternatives",2,"costs","recurring",1,"last_year"],"sheet":"OMRRR"},{"cell":"F16","kind":"number","path":["sites",2,"alternatives",1,"costs","recurring",0,"amount"],"sheet":"OMRRR"},{"cell":"K16","kind":"int","path":["sites",2,"alternatives",1,"costs","recurring",0,"every_years"],"sheet":"OMRRR"},{"cell":"L16","kind":"optional_int","path":["sites",2,"alternatives",1,"costs","recurring",0,"first_year"],"sheet":"OMRRR"},{"cell":"M16","kind":"optional_int","path":["sites",2,"alternatives",1,"costs","recurring",0,"last_year"],"sheet":"OMRRR"},{"cell":"I17","kind":"number","path":["sites",2,"alternatives",1,"costs","recurring",1,"unit_rate"],"sheet":"OMRRR"},{"cell":"J17","kind":"number","path":["sites",2,"alternatives",1,"costs","recurring",1,"quantity"],"sheet":"OMRRR"},{"cell":"K17","kind":"int","path":["sites",2,"alternatives",1,"costs","recurring",1,"every_years"],"sheet":"OMRRR"},{"cell":"L17","kind":"optional_int","path":["sites",2,"alternatives",1,"costs","recurring",1,"first_year"],"sheet":"OMRRR"},{"cell":"M17","kind":"optional_int","path":["sites",2,"alternatives",1,"costs","recurring",1,"last_year"],"sheet":"OMRRR"},{"cell":"F18","kind":"number","path":["sites",2,"alternatives",2,"costs","recurring",0,"amount"],"sheet":"OMRRR"},{"cell":"K18","kind":"int","path":["sites",2,"alternatives",2,"costs","recurring",0,"every_years"],"sheet":"OMRRR"},{"cell":"L18","kind":"optional_int","path":["sites",2,"alternatives",2,"costs","recurring",0,"first_year"],"sheet":"OMRRR"},{"cell":"M18","kind":"optional_int","path":["sites",2,"alternatives",2,"costs","recurring",0,"last_year"],"sheet":"OMRRR"},{"cell":"F19","kind":"number","path":["sites",2,"alternatives",2,"costs","recurring",1,"amount"],"sheet":"OMRRR"},{"cell":"K19","kind":"int","path":["sites",2,"alternatives",2,"costs","recurring",1,"every_years"],"sheet":"OMRRR"},{"cell":"L19","kind":"optional_int","path":["sites",2,"alternatives",2,"costs","recurring",1,"first_year"],"sheet":"OMRRR"},{"cell":"M19","kind":"optional_int","path":["sites",2,"alternatives",2,"costs","recurring",1,"last_year"],"sheet":"OMRRR"},{"cell":"C5","exported":"A3","kind":"rec","path":["decisions","sites","R1","recommended_alt_id"],"sheet":"Sites"},{"cell":"C6","exported":"A2","kind":"rec","path":["decisions","sites","R2","recommended_alt_id"],"sheet":"Sites"},{"cell":"C7","exported":"A2","kind":"rec","path":["decisions","sites","R3","recommended_alt_id"],"sheet":"Sites"},{"cell":"AA12","kind":"final","path":["@final",12],"sheet":"Watershed plans"},{"cell":"AA13","kind":"final","path":["@final",13],"sheet":"Watershed plans"},{"cell":"AA14","kind":"final","path":["@final",14],"sheet":"Watershed plans"},{"cell":"AA15","kind":"final","path":["@final",15],"sheet":"Watershed plans"},{"cell":"AA16","kind":"final","path":["@final",16],"sheet":"Watershed plans"},{"cell":"AA17","kind":"final","path":["@final",17],"sheet":"Watershed plans"},{"cell":"AA18","kind":"final","path":["@final",18],"sheet":"Watershed plans"},{"cell":"AA19","kind":"final","path":["@final",19],"sheet":"Watershed plans"},{"cell":"K50","kind":"text","path":["@worth",0],"sheet":"Watershed summary"},{"cell":"L50","kind":"text","path":["@why",0],"sheet":"Watershed summary"},{"cell":"K51","kind":"text","path":["@worth",1],"sheet":"Watershed summary"},{"cell":"L51","kind":"text","path":["@why",1],"sheet":"Watershed summary"},{"cell":"K52","kind":"text","path":["@worth",2],"sheet":"Watershed summary"},{"cell":"L52","kind":"text","path":["@why",2],"sheet":"Watershed summary"},{"cell":"K53","kind":"text","path":["@worth",3],"sheet":"Watershed summary"},{"cell":"L53","kind":"text","path":["@why",3],"sheet":"Watershed summary"},{"cell":"K54","kind":"text","path":["@worth",4],"sheet":"Watershed summary"},{"cell":"L54","kind":"text","path":["@why",4],"sheet":"Watershed summary"},{"cell":"K55","kind":"text","path":["@worth",5],"sheet":"Watershed summary"},{"cell":"L55","kind":"text","path":["@why",5],"sheet":"Watershed summary"},{"cell":"K56","kind":"text","path":["@worth",6],"sheet":"Watershed summary"},{"cell":"L56","kind":"text","path":["@why",6],"sheet":"Watershed summary"},{"cell":"K57","kind":"text","path":["@worth",7],"sheet":"Watershed summary"},{"cell":"L57","kind":"text","path":["@why",7],"sheet":"Watershed summary"},{"cell":"K58","kind":"text","path":["@worth",8],"sheet":"Watershed summary"},{"cell":"L58","kind":"text","path":["@why",8],"sheet":"Watershed summary"},{"cell":"K59","kind":"text","path":["@worth",9],"sheet":"Watershed summary"},{"cell":"L59","kind":"text","path":["@why",9],"sheet":"Watershed summary"},{"cell":"K60","kind":"text","path":["@worth",10],"sheet":"Watershed summary"},{"cell":"L60","kind":"text","path":["@why",10],"sheet":"Watershed summary"},{"cell":"K61","kind":"text","path":["@worth",11],"sheet":"Watershed summary"},{"cell":"L61","kind":"text","path":["@why",11],"sheet":"Watershed summary"},{"cell":"K62","kind":"text","path":["@worth",12],"sheet":"Watershed summary"},{"cell":"L62","kind":"text","path":["@why",12],"sheet":"Watershed summary"},{"cell":"K63","kind":"text","path":["@worth",13],"sheet":"Watershed summary"},{"cell":"L63","kind":"text","path":["@why",13],"sheet":"Watershed summary"},{"cell":"K64","kind":"text","path":["@worth",14],"sheet":"Watershed summary"},{"cell":"L64","kind":"text","path":["@why",14],"sheet":"Watershed summary"},{"cell":"K65","kind":"text","path":["@worth",15],"sheet":"Watershed summary"},{"cell":"L65","kind":"text","path":["@why",15],"sheet":"Watershed summary"},{"cell":"K66","kind":"text","path":["@worth",16],"sheet":"Watershed summary"},{"cell":"L66","kind":"text","path":["@why",16],"sheet":"Watershed summary"},{"cell":"K67","kind":"text","path":["@worth",17],"sheet":"Watershed summary"},{"cell":"L67","kind":"text","path":["@why",17],"sheet":"Watershed summary"},{"cell":"K68","kind":"text","path":["@worth",18],"sheet":"Watershed summary"},{"cell":"L68","kind":"text","path":["@why",18],"sheet":"Watershed summary"},{"cell":"K69","kind":"text","path":["@worth",19],"sheet":"Watershed summary"},{"cell":"L69","kind":"text","path":["@why",19],"sheet":"Watershed summary"},{"cell":"K70","kind":"text","path":["@worth",20],"sheet":"Watershed summary"},{"cell":"L70","kind":"text","path":["@why",20],"sheet":"Watershed summary"},{"cell":"K71","kind":"text","path":["@worth",21],"sheet":"Watershed summary"},{"cell":"L71","kind":"text","path":["@why",21],"sheet":"Watershed summary"},{"cell":"K72","kind":"text","path":["@worth",22],"sheet":"Watershed summary"},{"cell":"L72","kind":"text","path":["@why",22],"sheet":"Watershed summary"},{"cell":"K73","kind":"text","path":["@worth",23],"sheet":"Watershed summary"},{"cell":"L73","kind":"text","path":["@why",23],"sheet":"Watershed summary"},{"cell":"K74","kind":"text","path":["@worth",24],"sheet":"Watershed summary"},{"cell":"L74","kind":"text","path":["@why",24],"sheet":"Watershed summary"},{"cell":"K75","kind":"text","path":["@worth",25],"sheet":"Watershed summary"},{"cell":"L75","kind":"text","path":["@why",25],"sheet":"Watershed summary"},{"cell":"K76","kind":"text","path":["@worth",26],"sheet":"Watershed summary"},{"cell":"L76","kind":"text","path":["@why",26],"sheet":"Watershed summary"},{"cell":"K77","kind":"text","path":["@worth",27],"sheet":"Watershed summary"},{"cell":"L77","kind":"text","path":["@why",27],"sheet":"Watershed summary"},{"cell":"K78","kind":"text","path":["@worth",28],"sheet":"Watershed summary"},{"cell":"L78","kind":"text","path":["@why",28],"sheet":"Watershed summary"},{"cell":"K79","kind":"text","path":["@worth",29],"sheet":"Watershed summary"},{"cell":"L79","kind":"text","path":["@why",29],"sheet":"Watershed summary"},{"cell":"K80","kind":"text","path":["@worth",30],"sheet":"Watershed summary"},{"cell":"L80","kind":"text","path":["@why",30],"sheet":"Watershed summary"},{"cell":"K81","kind":"text","path":["@worth",31],"sheet":"Watershed summary"},{"cell":"L81","kind":"text","path":["@why",31],"sheet":"Watershed summary"},{"cell":"K82","kind":"text","path":["@worth",32],"sheet":"Watershed summary"},{"cell":"L82","kind":"text","path":["@why",32],"sheet":"Watershed summary"},{"cell":"K83","kind":"text","path":["@worth",33],"sheet":"Watershed summary"},{"cell":"L83","kind":"text","path":["@why",33],"sheet":"Watershed summary"},{"cell":"K84","kind":"text","path":["@worth",34],"sheet":"Watershed summary"},{"cell":"L84","kind":"text","path":["@why",34],"sheet":"Watershed summary"},{"cell":"K85","kind":"text","path":["@worth",35],"sheet":"Watershed summary"},{"cell":"L85","kind":"text","path":["@why",35],"sheet":"Watershed summary"},{"cell":"K86","kind":"text","path":["@worth",36],"sheet":"Watershed summary"},{"cell":"L86","kind":"text","path":["@why",36],"sheet":"Watershed summary"},{"cell":"K87","kind":"text","path":["@worth",37],"sheet":"Watershed summary"},{"cell":"L87","kind":"text","path":["@why",37],"sheet":"Watershed summary"},{"cell":"K88","kind":"text","path":["@worth",38],"sheet":"Watershed summary"},{"cell":"L88","kind":"text","path":["@why",38],"sheet":"Watershed summary"},{"cell":"K89","kind":"text","path":["@worth",39],"sheet":"Watershed summary"},{"cell":"L89","kind":"text","path":["@why",39],"sheet":"Watershed summary"},{"cell":"B93","kind":"tsp","path":["@tsp"],"sheet":"Watershed summary"}],"liveWatershed":true,"planBits":[4,6],"planRowKeys":{"12":"","13":"R3=A2","14":"R2=A2","15":"R2=A2;R3=A2","16":"R1=A3","17":"R1=A3;R3=A2","18":"R1=A3;R2=A2","19":"R1=A3;R2=A2;R3=A2"},"planSites":["R1","R2","R3"],"projectDigest":"5d6ded045e76"}</t>
        </is>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