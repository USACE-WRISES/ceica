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snap Parameters" sheetId="13" state="veryHidden" r:id="rId13"/>
    <sheet xmlns:r="http://schemas.openxmlformats.org/officeDocument/2006/relationships" name="snap Benefits" sheetId="14" state="veryHidden" r:id="rId14"/>
    <sheet xmlns:r="http://schemas.openxmlformats.org/officeDocument/2006/relationships" name="snap Costs" sheetId="15" state="veryHidden" r:id="rId15"/>
    <sheet xmlns:r="http://schemas.openxmlformats.org/officeDocument/2006/relationships" name="snap OMRRR" sheetId="16" state="veryHidden" r:id="rId16"/>
    <sheet xmlns:r="http://schemas.openxmlformats.org/officeDocument/2006/relationships" name="snap Sites" sheetId="17" state="veryHidden" r:id="rId17"/>
    <sheet xmlns:r="http://schemas.openxmlformats.org/officeDocument/2006/relationships" name="snap Watershed plans" sheetId="18" state="veryHidden" r:id="rId18"/>
    <sheet xmlns:r="http://schemas.openxmlformats.org/officeDocument/2006/relationships" name="snap Watershed summary" sheetId="19" state="veryHidden" r:id="rId19"/>
    <sheet xmlns:r="http://schemas.openxmlformats.org/officeDocument/2006/relationships" name="snap Summary" sheetId="20" state="veryHidden" r:id="rId20"/>
    <sheet xmlns:r="http://schemas.openxmlformats.org/officeDocument/2006/relationships" name="snap Site CE-ICA" sheetId="21" state="veryHidden" r:id="rId21"/>
    <sheet xmlns:r="http://schemas.openxmlformats.org/officeDocument/2006/relationships" name="manifest" sheetId="22" state="veryHidden" r:id="rId22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%"/>
    <numFmt numFmtId="165" formatCode="0.0000000000"/>
    <numFmt numFmtId="166" formatCode="0.##"/>
    <numFmt numFmtId="167" formatCode="#,##0.000"/>
    <numFmt numFmtId="168" formatCode="&quot;$&quot;#,##0"/>
    <numFmt numFmtId="169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/>
    </xf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8" fontId="0" fillId="3" borderId="1" applyProtection="1" pivotButton="0" quotePrefix="0" xfId="0">
      <protection locked="0" hidden="0"/>
    </xf>
    <xf numFmtId="168" fontId="0" fillId="4" borderId="1" pivotButton="0" quotePrefix="0" xfId="0"/>
    <xf numFmtId="169" fontId="0" fillId="4" borderId="1" pivotButton="0" quotePrefix="0" xfId="0"/>
    <xf numFmtId="169" fontId="0" fillId="3" borderId="1" applyProtection="1" pivotButton="0" quotePrefix="0" xfId="0">
      <protection locked="0" hidden="0"/>
    </xf>
    <xf numFmtId="10" fontId="0" fillId="3" borderId="1" applyProtection="1" pivotButton="0" quotePrefix="0" xfId="0">
      <protection locked="0" hidden="0"/>
    </xf>
    <xf numFmtId="4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3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Cost-effectiveness</a:t>
            </a:r>
          </a:p>
        </rich>
      </tx>
    </title>
    <plotArea>
      <scatterChart>
        <ser>
          <idx val="0"/>
          <order val="0"/>
          <tx>
            <v>All plans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'Charts'!$A$31:$A$38</f>
            </numRef>
          </xVal>
          <yVal>
            <numRef>
              <f>'Charts'!$B$31:$B$38</f>
            </numRef>
          </yVal>
        </ser>
        <ser>
          <idx val="1"/>
          <order val="1"/>
          <tx>
            <v>Cost-effective frontier</v>
          </tx>
          <spPr>
            <a:ln xmlns:a="http://schemas.openxmlformats.org/drawingml/2006/main"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'Charts'!$C$31:$C$38</f>
            </numRef>
          </xVal>
          <yVal>
            <numRef>
              <f>'Charts'!$D$31:$D$38</f>
            </numRef>
          </yVal>
        </ser>
        <ser>
          <idx val="2"/>
          <order val="2"/>
          <tx>
            <v>Best buys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'Charts'!$E$31:$E$38</f>
            </numRef>
          </xVal>
          <yVal>
            <numRef>
              <f>'Charts'!$F$31:$F$38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Ecological lift (AAHU)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annual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Incremental cost per unit</a:t>
            </a:r>
          </a:p>
        </rich>
      </tx>
    </title>
    <plotArea>
      <scatterChart>
        <ser>
          <idx val="0"/>
          <order val="0"/>
          <tx>
            <v>Best-buy steps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'Charts'!$G$31:$G$55</f>
            </numRef>
          </xVal>
          <yVal>
            <numRef>
              <f>'Charts'!$H$31:$H$55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Ecological lift (AAHU)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per AAHU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Small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Small test</t>
        </is>
      </c>
    </row>
    <row r="5">
      <c r="A5" s="3" t="inlineStr">
        <is>
          <t>Generated by</t>
        </is>
      </c>
      <c r="B5" s="4" t="inlineStr">
        <is>
          <t>CEICA 0.1.0 (engine 1)</t>
        </is>
      </c>
    </row>
    <row r="6">
      <c r="A6" s="3" t="inlineStr">
        <is>
          <t>Project digest</t>
        </is>
      </c>
      <c r="B6" s="4" t="inlineStr">
        <is>
          <t>f4d289ead17a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Parameters'!B14:D14))+SUMPRODUCT(1*(Benefits!F6:H14&lt;&gt;'snap Benefits'!F6:H14))+SUMPRODUCT(1*(Costs!D6:G14&lt;&gt;'snap Costs'!D6:G14))+SUMPRODUCT(1*(Costs!L6:L14&lt;&gt;'snap Costs'!L6:L14))+SUMPRODUCT(1*(OMRRR!F5:M8&lt;&gt;'snap OMRRR'!F5:M8))+SUMPRODUCT(1*(Sites!C5:C7&lt;&gt;'snap Sites'!C5:C7))+SUMPRODUCT(1*('Watershed plans'!AA12:AA19&lt;&gt;'snap Watershed plans'!AA12:AA19))+SUMPRODUCT(1*('Watershed summary'!K50:L89&lt;&gt;'snap Watershed summary'!K50:L89))+SUMPRODUCT(1*('Watershed summary'!B93:B93&lt;&gt;'snap Watershed summary'!B93:B93)))</f>
        <v/>
      </c>
    </row>
    <row r="12">
      <c r="A12" s="4" t="inlineStr">
        <is>
          <t>Results that differ from the export</t>
        </is>
      </c>
      <c r="B12" s="6">
        <f>(SUMPRODUCT(1*(ABS(Summary!G5:G13-'snap Summary'!G5:G13)&gt;1e-06))+SUMPRODUCT(1*(ABS(Summary!L5:L13-'snap Summary'!L5:L13)&gt;0.0001))+SUMPRODUCT(1*('Site CE-ICA'!L6:L8&lt;&gt;'snap Site CE-ICA'!L6:L8))+SUMPRODUCT(1*('Site CE-ICA'!P6:P8&lt;&gt;'snap Site CE-ICA'!P6:P8))+SUMPRODUCT(1*('Site CE-ICA'!L11:L14&lt;&gt;'snap Site CE-ICA'!L11:L14))+SUMPRODUCT(1*('Site CE-ICA'!P11:P14&lt;&gt;'snap Site CE-ICA'!P11:P14))+SUMPRODUCT(1*('Site CE-ICA'!L17:L18&lt;&gt;'snap Site CE-ICA'!L17:L18))+SUMPRODUCT(1*('Site CE-ICA'!P17:P18&lt;&gt;'snap Site CE-ICA'!P17:P18))+SUMPRODUCT(1*('Watershed plans'!O12:O19&lt;&gt;'snap Watershed plans'!O12:O19))+SUMPRODUCT(1*('Watershed plans'!S12:S19&lt;&gt;'snap Watershed plans'!S12:S19)))</f>
        <v/>
      </c>
    </row>
    <row r="14">
      <c r="A14" s="7" t="inlineStr">
        <is>
          <t>How to use</t>
        </is>
      </c>
    </row>
    <row r="15">
      <c r="A15" s="8" t="inlineStr">
        <is>
          <t>- Orange cells are inputs; grey cells are formulas. Sheets are protected (password 'ceica') only to prevent accidental edits.</t>
        </is>
      </c>
    </row>
    <row r="16">
      <c r="A16" s="8" t="inlineStr">
        <is>
          <t>- Change any orange cell: annualization, site CE/ICA, the watershed plans and the summary update. Changed inputs turn yellow.</t>
        </is>
      </c>
    </row>
    <row r="17">
      <c r="A17" s="8" t="inlineStr">
        <is>
          <t>- To add sites, alternatives or years, make the change in CEICA and export again.</t>
        </is>
      </c>
    </row>
    <row r="18">
      <c r="A18" s="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9" customWidth="1" min="2" max="2"/>
    <col width="14" customWidth="1" min="3" max="3"/>
    <col width="22" customWidth="1" min="4" max="4"/>
    <col width="18" customWidth="1" min="5" max="5"/>
    <col width="11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Total: habitat units entered at each target year.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Habitat units (HU)</t>
        </is>
      </c>
      <c r="I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Total</t>
        </is>
      </c>
      <c r="E6" s="4" t="inlineStr">
        <is>
          <t>Habitat units</t>
        </is>
      </c>
      <c r="F6" s="19" t="n">
        <v>1</v>
      </c>
      <c r="G6" s="19" t="n">
        <v>1</v>
      </c>
      <c r="H6" s="19" t="n">
        <v>1</v>
      </c>
      <c r="I6" s="20">
        <f>SUMPRODUCT($G$5:$H$5-$F$5:$G$5,(G6:H6+F6:G6)/2)/($H$5-$F$5)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Total</t>
        </is>
      </c>
      <c r="E7" s="4" t="inlineStr">
        <is>
          <t>Habitat units</t>
        </is>
      </c>
      <c r="F7" s="19" t="n">
        <v>1</v>
      </c>
      <c r="G7" s="19" t="n">
        <v>5</v>
      </c>
      <c r="H7" s="19" t="n">
        <v>6</v>
      </c>
      <c r="I7" s="20">
        <f>SUMPRODUCT($G$5:$H$5-$F$5:$G$5,(G7:H7+F7:G7)/2)/($H$5-$F$5)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Total</t>
        </is>
      </c>
      <c r="E8" s="4" t="inlineStr">
        <is>
          <t>Habitat units</t>
        </is>
      </c>
      <c r="F8" s="19" t="n">
        <v>1</v>
      </c>
      <c r="G8" s="19" t="n">
        <v>3</v>
      </c>
      <c r="H8" s="19" t="n">
        <v>3.5</v>
      </c>
      <c r="I8" s="20">
        <f>SUMPRODUCT($G$5:$H$5-$F$5:$G$5,(G8:H8+F8:G8)/2)/($H$5-$F$5)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Total</t>
        </is>
      </c>
      <c r="E9" s="4" t="inlineStr">
        <is>
          <t>Habitat units</t>
        </is>
      </c>
      <c r="F9" s="19" t="n">
        <v>2</v>
      </c>
      <c r="G9" s="19" t="n">
        <v>2</v>
      </c>
      <c r="H9" s="19" t="n">
        <v>2</v>
      </c>
      <c r="I9" s="20">
        <f>SUMPRODUCT($G$5:$H$5-$F$5:$G$5,(G9:H9+F9:G9)/2)/($H$5-$F$5)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Total</t>
        </is>
      </c>
      <c r="E10" s="4" t="inlineStr">
        <is>
          <t>Habitat units</t>
        </is>
      </c>
      <c r="F10" s="19" t="n">
        <v>2</v>
      </c>
      <c r="G10" s="19" t="n">
        <v>4</v>
      </c>
      <c r="H10" s="19" t="n">
        <v>4</v>
      </c>
      <c r="I10" s="20">
        <f>SUMPRODUCT($G$5:$H$5-$F$5:$G$5,(G10:H10+F10:G10)/2)/($H$5-$F$5)</f>
        <v/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B2</t>
        </is>
      </c>
      <c r="D11" s="4" t="inlineStr">
        <is>
          <t>Total</t>
        </is>
      </c>
      <c r="E11" s="4" t="inlineStr">
        <is>
          <t>Habitat units</t>
        </is>
      </c>
      <c r="F11" s="19" t="n">
        <v>2</v>
      </c>
      <c r="G11" s="19" t="n">
        <v>4</v>
      </c>
      <c r="H11" s="19" t="n">
        <v>4</v>
      </c>
      <c r="I11" s="20">
        <f>SUMPRODUCT($G$5:$H$5-$F$5:$G$5,(G11:H11+F11:G11)/2)/($H$5-$F$5)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B3</t>
        </is>
      </c>
      <c r="D12" s="4" t="inlineStr">
        <is>
          <t>Total</t>
        </is>
      </c>
      <c r="E12" s="4" t="inlineStr">
        <is>
          <t>Habitat units</t>
        </is>
      </c>
      <c r="F12" s="19" t="n">
        <v>2</v>
      </c>
      <c r="G12" s="19" t="n">
        <v>6</v>
      </c>
      <c r="H12" s="19" t="n">
        <v>6</v>
      </c>
      <c r="I12" s="20">
        <f>SUMPRODUCT($G$5:$H$5-$F$5:$G$5,(G12:H12+F12:G12)/2)/($H$5-$F$5)</f>
        <v/>
      </c>
    </row>
    <row r="13">
      <c r="A13" s="10">
        <f>B13&amp;"|"&amp;C13</f>
        <v/>
      </c>
      <c r="B13" s="4" t="inlineStr">
        <is>
          <t>C</t>
        </is>
      </c>
      <c r="C13" s="4" t="inlineStr">
        <is>
          <t>NA</t>
        </is>
      </c>
      <c r="D13" s="4" t="inlineStr">
        <is>
          <t>Total</t>
        </is>
      </c>
      <c r="E13" s="4" t="inlineStr">
        <is>
          <t>Habitat units</t>
        </is>
      </c>
      <c r="F13" s="19" t="n">
        <v>0.5</v>
      </c>
      <c r="G13" s="19" t="n">
        <v>0.5</v>
      </c>
      <c r="H13" s="19" t="n">
        <v>0.5</v>
      </c>
      <c r="I13" s="20">
        <f>SUMPRODUCT($G$5:$H$5-$F$5:$G$5,(G13:H13+F13:G13)/2)/($H$5-$F$5)</f>
        <v/>
      </c>
    </row>
    <row r="14">
      <c r="A14" s="10">
        <f>B14&amp;"|"&amp;C14</f>
        <v/>
      </c>
      <c r="B14" s="4" t="inlineStr">
        <is>
          <t>C</t>
        </is>
      </c>
      <c r="C14" s="4" t="inlineStr">
        <is>
          <t>C1</t>
        </is>
      </c>
      <c r="D14" s="4" t="inlineStr">
        <is>
          <t>Total</t>
        </is>
      </c>
      <c r="E14" s="4" t="inlineStr">
        <is>
          <t>Habitat units</t>
        </is>
      </c>
      <c r="F14" s="19" t="n">
        <v>0.5</v>
      </c>
      <c r="G14" s="19" t="n">
        <v>2</v>
      </c>
      <c r="H14" s="19" t="n">
        <v>2.5</v>
      </c>
      <c r="I14" s="20">
        <f>SUMPRODUCT($G$5:$H$5-$F$5:$G$5,(G14:H14+F14:G14)/2)/($H$5-$F$5)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F4:H4"/>
  </mergeCells>
  <conditionalFormatting sqref="F6:H14">
    <cfRule type="expression" priority="1" dxfId="0" stopIfTrue="0">
      <formula>F6&lt;&gt;'snap Benefits'!F6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1" t="inlineStr">
        <is>
          <t>construction</t>
        </is>
      </c>
      <c r="E5" s="21" t="inlineStr">
        <is>
          <t>monitoring</t>
        </is>
      </c>
      <c r="F5" s="21" t="inlineStr">
        <is>
          <t>adaptive_management</t>
        </is>
      </c>
      <c r="G5" s="22" t="inlineStr"/>
      <c r="H5" s="22" t="inlineStr"/>
      <c r="I5" s="22" t="inlineStr"/>
      <c r="J5" s="22" t="inlineStr"/>
      <c r="K5" s="22" t="inlineStr"/>
      <c r="L5" s="22" t="inlineStr"/>
      <c r="M5" s="2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3" t="n"/>
      <c r="E6" s="23" t="n"/>
      <c r="F6" s="23" t="n"/>
      <c r="G6" s="17" t="n">
        <v>0</v>
      </c>
      <c r="H6" s="24">
        <f>D6</f>
        <v/>
      </c>
      <c r="I6" s="25">
        <f>IF(OR(G6=0,in_rate=0,H6=0),0,H6/G6*(IF(in_idc_method="START",1+((1+in_rate)^(1/in_ppy)-1),IF(in_idc_method="MIDDLE",1+((1+in_rate)^(1/in_ppy)-1)/2,1))*((1+in_rate)^(G6/in_ppy)-1)/((1+in_rate)^(1/in_ppy)-1)-G6))</f>
        <v/>
      </c>
      <c r="J6" s="25">
        <f>SUMIFS(OMRRR!$S$5:$S$8,OMRRR!$A$5:$A$8,A6)</f>
        <v/>
      </c>
      <c r="K6" s="25">
        <f>SUM(D6:F6)+I6+J6</f>
        <v/>
      </c>
      <c r="L6" s="26" t="n"/>
      <c r="M6" s="25">
        <f>IF(ISNUMBER(L6),L6,calc_crf*K6)</f>
        <v/>
      </c>
      <c r="N6" s="25">
        <f>calc_crf*D6</f>
        <v/>
      </c>
      <c r="O6" s="25">
        <f>calc_crf*E6</f>
        <v/>
      </c>
      <c r="P6" s="25">
        <f>calc_crf*F6</f>
        <v/>
      </c>
      <c r="Q6" s="25">
        <f>calc_crf*I6</f>
        <v/>
      </c>
      <c r="R6" s="25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3" t="n">
        <v>300000</v>
      </c>
      <c r="E7" s="23" t="n">
        <v>20000</v>
      </c>
      <c r="F7" s="23" t="n"/>
      <c r="G7" s="17" t="n">
        <v>6</v>
      </c>
      <c r="H7" s="24">
        <f>D7</f>
        <v/>
      </c>
      <c r="I7" s="25">
        <f>IF(OR(G7=0,in_rate=0,H7=0),0,H7/G7*(IF(in_idc_method="START",1+((1+in_rate)^(1/in_ppy)-1),IF(in_idc_method="MIDDLE",1+((1+in_rate)^(1/in_ppy)-1)/2,1))*((1+in_rate)^(G7/in_ppy)-1)/((1+in_rate)^(1/in_ppy)-1)-G7))</f>
        <v/>
      </c>
      <c r="J7" s="25">
        <f>SUMIFS(OMRRR!$S$5:$S$8,OMRRR!$A$5:$A$8,A7)</f>
        <v/>
      </c>
      <c r="K7" s="25">
        <f>SUM(D7:F7)+I7+J7</f>
        <v/>
      </c>
      <c r="L7" s="26" t="n"/>
      <c r="M7" s="25">
        <f>IF(ISNUMBER(L7),L7,calc_crf*K7)</f>
        <v/>
      </c>
      <c r="N7" s="25">
        <f>calc_crf*D7</f>
        <v/>
      </c>
      <c r="O7" s="25">
        <f>calc_crf*E7</f>
        <v/>
      </c>
      <c r="P7" s="25">
        <f>calc_crf*F7</f>
        <v/>
      </c>
      <c r="Q7" s="25">
        <f>calc_crf*I7</f>
        <v/>
      </c>
      <c r="R7" s="25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3" t="n">
        <v>150000</v>
      </c>
      <c r="E8" s="23" t="n"/>
      <c r="F8" s="23" t="n"/>
      <c r="G8" s="17" t="n">
        <v>6</v>
      </c>
      <c r="H8" s="24">
        <f>D8</f>
        <v/>
      </c>
      <c r="I8" s="25">
        <f>IF(OR(G8=0,in_rate=0,H8=0),0,H8/G8*(IF(in_idc_method="START",1+((1+in_rate)^(1/in_ppy)-1),IF(in_idc_method="MIDDLE",1+((1+in_rate)^(1/in_ppy)-1)/2,1))*((1+in_rate)^(G8/in_ppy)-1)/((1+in_rate)^(1/in_ppy)-1)-G8))</f>
        <v/>
      </c>
      <c r="J8" s="25">
        <f>SUMIFS(OMRRR!$S$5:$S$8,OMRRR!$A$5:$A$8,A8)</f>
        <v/>
      </c>
      <c r="K8" s="25">
        <f>SUM(D8:F8)+I8+J8</f>
        <v/>
      </c>
      <c r="L8" s="26" t="n"/>
      <c r="M8" s="25">
        <f>IF(ISNUMBER(L8),L8,calc_crf*K8)</f>
        <v/>
      </c>
      <c r="N8" s="25">
        <f>calc_crf*D8</f>
        <v/>
      </c>
      <c r="O8" s="25">
        <f>calc_crf*E8</f>
        <v/>
      </c>
      <c r="P8" s="25">
        <f>calc_crf*F8</f>
        <v/>
      </c>
      <c r="Q8" s="25">
        <f>calc_crf*I8</f>
        <v/>
      </c>
      <c r="R8" s="25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3" t="n"/>
      <c r="E9" s="23" t="n"/>
      <c r="F9" s="23" t="n"/>
      <c r="G9" s="17" t="n">
        <v>0</v>
      </c>
      <c r="H9" s="24">
        <f>D9</f>
        <v/>
      </c>
      <c r="I9" s="25">
        <f>IF(OR(G9=0,in_rate=0,H9=0),0,H9/G9*(IF(in_idc_method="START",1+((1+in_rate)^(1/in_ppy)-1),IF(in_idc_method="MIDDLE",1+((1+in_rate)^(1/in_ppy)-1)/2,1))*((1+in_rate)^(G9/in_ppy)-1)/((1+in_rate)^(1/in_ppy)-1)-G9))</f>
        <v/>
      </c>
      <c r="J9" s="25">
        <f>SUMIFS(OMRRR!$S$5:$S$8,OMRRR!$A$5:$A$8,A9)</f>
        <v/>
      </c>
      <c r="K9" s="25">
        <f>SUM(D9:F9)+I9+J9</f>
        <v/>
      </c>
      <c r="L9" s="26" t="n"/>
      <c r="M9" s="25">
        <f>IF(ISNUMBER(L9),L9,calc_crf*K9)</f>
        <v/>
      </c>
      <c r="N9" s="25">
        <f>calc_crf*D9</f>
        <v/>
      </c>
      <c r="O9" s="25">
        <f>calc_crf*E9</f>
        <v/>
      </c>
      <c r="P9" s="25">
        <f>calc_crf*F9</f>
        <v/>
      </c>
      <c r="Q9" s="25">
        <f>calc_crf*I9</f>
        <v/>
      </c>
      <c r="R9" s="25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3" t="n">
        <v>100000</v>
      </c>
      <c r="E10" s="23" t="n"/>
      <c r="F10" s="23" t="n"/>
      <c r="G10" s="17" t="n">
        <v>3</v>
      </c>
      <c r="H10" s="24">
        <f>D10</f>
        <v/>
      </c>
      <c r="I10" s="25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5">
        <f>SUMIFS(OMRRR!$S$5:$S$8,OMRRR!$A$5:$A$8,A10)</f>
        <v/>
      </c>
      <c r="K10" s="25">
        <f>SUM(D10:F10)+I10+J10</f>
        <v/>
      </c>
      <c r="L10" s="26" t="n"/>
      <c r="M10" s="25">
        <f>IF(ISNUMBER(L10),L10,calc_crf*K10)</f>
        <v/>
      </c>
      <c r="N10" s="25">
        <f>calc_crf*D10</f>
        <v/>
      </c>
      <c r="O10" s="25">
        <f>calc_crf*E10</f>
        <v/>
      </c>
      <c r="P10" s="25">
        <f>calc_crf*F10</f>
        <v/>
      </c>
      <c r="Q10" s="25">
        <f>calc_crf*I10</f>
        <v/>
      </c>
      <c r="R10" s="25">
        <f>calc_crf*J10</f>
        <v/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B2</t>
        </is>
      </c>
      <c r="D11" s="23" t="n">
        <v>100000</v>
      </c>
      <c r="E11" s="23" t="n"/>
      <c r="F11" s="23" t="n"/>
      <c r="G11" s="17" t="n">
        <v>3</v>
      </c>
      <c r="H11" s="24">
        <f>D11</f>
        <v/>
      </c>
      <c r="I11" s="25">
        <f>IF(OR(G11=0,in_rate=0,H11=0),0,H11/G11*(IF(in_idc_method="START",1+((1+in_rate)^(1/in_ppy)-1),IF(in_idc_method="MIDDLE",1+((1+in_rate)^(1/in_ppy)-1)/2,1))*((1+in_rate)^(G11/in_ppy)-1)/((1+in_rate)^(1/in_ppy)-1)-G11))</f>
        <v/>
      </c>
      <c r="J11" s="25">
        <f>SUMIFS(OMRRR!$S$5:$S$8,OMRRR!$A$5:$A$8,A11)</f>
        <v/>
      </c>
      <c r="K11" s="25">
        <f>SUM(D11:F11)+I11+J11</f>
        <v/>
      </c>
      <c r="L11" s="26" t="n"/>
      <c r="M11" s="25">
        <f>IF(ISNUMBER(L11),L11,calc_crf*K11)</f>
        <v/>
      </c>
      <c r="N11" s="25">
        <f>calc_crf*D11</f>
        <v/>
      </c>
      <c r="O11" s="25">
        <f>calc_crf*E11</f>
        <v/>
      </c>
      <c r="P11" s="25">
        <f>calc_crf*F11</f>
        <v/>
      </c>
      <c r="Q11" s="25">
        <f>calc_crf*I11</f>
        <v/>
      </c>
      <c r="R11" s="25">
        <f>calc_crf*J11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B3</t>
        </is>
      </c>
      <c r="D12" s="23" t="n">
        <v>200000</v>
      </c>
      <c r="E12" s="23" t="n"/>
      <c r="F12" s="23" t="n"/>
      <c r="G12" s="17" t="n">
        <v>3</v>
      </c>
      <c r="H12" s="24">
        <f>D12</f>
        <v/>
      </c>
      <c r="I12" s="25">
        <f>IF(OR(G12=0,in_rate=0,H12=0),0,H12/G12*(IF(in_idc_method="START",1+((1+in_rate)^(1/in_ppy)-1),IF(in_idc_method="MIDDLE",1+((1+in_rate)^(1/in_ppy)-1)/2,1))*((1+in_rate)^(G12/in_ppy)-1)/((1+in_rate)^(1/in_ppy)-1)-G12))</f>
        <v/>
      </c>
      <c r="J12" s="25">
        <f>SUMIFS(OMRRR!$S$5:$S$8,OMRRR!$A$5:$A$8,A12)</f>
        <v/>
      </c>
      <c r="K12" s="25">
        <f>SUM(D12:F12)+I12+J12</f>
        <v/>
      </c>
      <c r="L12" s="26" t="n"/>
      <c r="M12" s="25">
        <f>IF(ISNUMBER(L12),L12,calc_crf*K12)</f>
        <v/>
      </c>
      <c r="N12" s="25">
        <f>calc_crf*D12</f>
        <v/>
      </c>
      <c r="O12" s="25">
        <f>calc_crf*E12</f>
        <v/>
      </c>
      <c r="P12" s="25">
        <f>calc_crf*F12</f>
        <v/>
      </c>
      <c r="Q12" s="25">
        <f>calc_crf*I12</f>
        <v/>
      </c>
      <c r="R12" s="25">
        <f>calc_crf*J12</f>
        <v/>
      </c>
    </row>
    <row r="13">
      <c r="A13" s="10">
        <f>B13&amp;"|"&amp;C13</f>
        <v/>
      </c>
      <c r="B13" s="4" t="inlineStr">
        <is>
          <t>C</t>
        </is>
      </c>
      <c r="C13" s="4" t="inlineStr">
        <is>
          <t>NA</t>
        </is>
      </c>
      <c r="D13" s="23" t="n"/>
      <c r="E13" s="23" t="n"/>
      <c r="F13" s="23" t="n"/>
      <c r="G13" s="17" t="n">
        <v>0</v>
      </c>
      <c r="H13" s="24">
        <f>D13</f>
        <v/>
      </c>
      <c r="I13" s="25">
        <f>IF(OR(G13=0,in_rate=0,H13=0),0,H13/G13*(IF(in_idc_method="START",1+((1+in_rate)^(1/in_ppy)-1),IF(in_idc_method="MIDDLE",1+((1+in_rate)^(1/in_ppy)-1)/2,1))*((1+in_rate)^(G13/in_ppy)-1)/((1+in_rate)^(1/in_ppy)-1)-G13))</f>
        <v/>
      </c>
      <c r="J13" s="25">
        <f>SUMIFS(OMRRR!$S$5:$S$8,OMRRR!$A$5:$A$8,A13)</f>
        <v/>
      </c>
      <c r="K13" s="25">
        <f>SUM(D13:F13)+I13+J13</f>
        <v/>
      </c>
      <c r="L13" s="26" t="n"/>
      <c r="M13" s="25">
        <f>IF(ISNUMBER(L13),L13,calc_crf*K13)</f>
        <v/>
      </c>
      <c r="N13" s="25">
        <f>calc_crf*D13</f>
        <v/>
      </c>
      <c r="O13" s="25">
        <f>calc_crf*E13</f>
        <v/>
      </c>
      <c r="P13" s="25">
        <f>calc_crf*F13</f>
        <v/>
      </c>
      <c r="Q13" s="25">
        <f>calc_crf*I13</f>
        <v/>
      </c>
      <c r="R13" s="25">
        <f>calc_crf*J13</f>
        <v/>
      </c>
    </row>
    <row r="14">
      <c r="A14" s="10">
        <f>B14&amp;"|"&amp;C14</f>
        <v/>
      </c>
      <c r="B14" s="4" t="inlineStr">
        <is>
          <t>C</t>
        </is>
      </c>
      <c r="C14" s="4" t="inlineStr">
        <is>
          <t>C1</t>
        </is>
      </c>
      <c r="D14" s="23" t="n">
        <v>90000</v>
      </c>
      <c r="E14" s="23" t="n"/>
      <c r="F14" s="23" t="n"/>
      <c r="G14" s="17" t="n">
        <v>6</v>
      </c>
      <c r="H14" s="24">
        <f>D14</f>
        <v/>
      </c>
      <c r="I14" s="25">
        <f>IF(OR(G14=0,in_rate=0,H14=0),0,H14/G14*(IF(in_idc_method="START",1+((1+in_rate)^(1/in_ppy)-1),IF(in_idc_method="MIDDLE",1+((1+in_rate)^(1/in_ppy)-1)/2,1))*((1+in_rate)^(G14/in_ppy)-1)/((1+in_rate)^(1/in_ppy)-1)-G14))</f>
        <v/>
      </c>
      <c r="J14" s="25">
        <f>SUMIFS(OMRRR!$S$5:$S$8,OMRRR!$A$5:$A$8,A14)</f>
        <v/>
      </c>
      <c r="K14" s="25">
        <f>SUM(D14:F14)+I14+J14</f>
        <v/>
      </c>
      <c r="L14" s="26" t="n"/>
      <c r="M14" s="25">
        <f>IF(ISNUMBER(L14),L14,calc_crf*K14)</f>
        <v/>
      </c>
      <c r="N14" s="25">
        <f>calc_crf*D14</f>
        <v/>
      </c>
      <c r="O14" s="25">
        <f>calc_crf*E14</f>
        <v/>
      </c>
      <c r="P14" s="25">
        <f>calc_crf*F14</f>
        <v/>
      </c>
      <c r="Q14" s="25">
        <f>calc_crf*I14</f>
        <v/>
      </c>
      <c r="R14" s="25">
        <f>calc_crf*J14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4">
    <cfRule type="expression" priority="1" dxfId="0" stopIfTrue="0">
      <formula>D6&lt;&gt;'snap Costs'!D6</formula>
    </cfRule>
  </conditionalFormatting>
  <conditionalFormatting sqref="L6:L14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9" customWidth="1" min="2" max="2"/>
    <col width="14" customWidth="1" min="3" max="3"/>
    <col width="26" customWidth="1" min="4" max="4"/>
    <col width="9" customWidth="1" min="5" max="5"/>
    <col width="12" customWidth="1" min="6" max="6"/>
    <col width="9" customWidth="1" min="7" max="7"/>
    <col width="13" customWidth="1" min="8" max="8"/>
    <col width="10" customWidth="1" min="9" max="9"/>
    <col width="11" customWidth="1" min="10" max="10"/>
    <col width="9" customWidth="1" min="11" max="11"/>
    <col width="8" customWidth="1" min="12" max="12"/>
    <col width="8" customWidth="1" min="13" max="13"/>
    <col width="13" customWidth="1" min="14" max="14"/>
    <col width="7" customWidth="1" min="15" max="15"/>
    <col width="7" customWidth="1" min="16" max="16"/>
    <col width="11" customWidth="1" min="17" max="17"/>
    <col width="14" customWidth="1" min="18" max="18"/>
    <col width="14" customWidth="1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A1</t>
        </is>
      </c>
      <c r="D5" s="4" t="inlineStr">
        <is>
          <t>Annual O&amp;M</t>
        </is>
      </c>
      <c r="E5" s="4" t="inlineStr">
        <is>
          <t>FIXED</t>
        </is>
      </c>
      <c r="F5" s="26" t="n">
        <v>2500</v>
      </c>
      <c r="G5" s="10" t="n"/>
      <c r="H5" s="4" t="inlineStr"/>
      <c r="I5" s="10" t="n"/>
      <c r="J5" s="10" t="n"/>
      <c r="K5" s="14" t="n">
        <v>1</v>
      </c>
      <c r="L5" s="14" t="n"/>
      <c r="M5" s="14" t="n"/>
      <c r="N5" s="25">
        <f>IF(E5="FIXED",F5,IF(E5="PERCENT",G5*IFERROR(INDEX(Costs!$D$6:$F$14,MATCH(A5,Costs!$A$6:$A$14,0),MATCH(H5,Costs!$D$5:$F$5,0)),0),I5*J5))</f>
        <v/>
      </c>
      <c r="O5" s="6">
        <f>IF(ISNUMBER(L5),L5,K5)</f>
        <v/>
      </c>
      <c r="P5" s="6">
        <f>IF(ISNUMBER(M5),MIN(M5,in_poa),in_poa)</f>
        <v/>
      </c>
      <c r="Q5" s="6">
        <f>IF(P5&lt;O5,0,INT((P5-O5)/K5)+1)</f>
        <v/>
      </c>
      <c r="R5" s="25">
        <f>IF(Q5=0,0,IF(in_rate=0,N5*Q5,N5*(1+in_rate)^(-O5)*(1-(1+in_rate)^(-K5*Q5))/(1-(1+in_rate)^(-K5))))</f>
        <v/>
      </c>
      <c r="S5" s="25">
        <f>IF(in_timing="MID_YEAR",IF(O5=0,IF(Q5=0,0,N5+(R5-N5)*(1+in_rate)^0.5),R5*(1+in_rate)^0.5),R5)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A2</t>
        </is>
      </c>
      <c r="D6" s="4" t="inlineStr">
        <is>
          <t>Repair</t>
        </is>
      </c>
      <c r="E6" s="4" t="inlineStr">
        <is>
          <t>PERCENT</t>
        </is>
      </c>
      <c r="F6" s="10" t="n"/>
      <c r="G6" s="27" t="n">
        <v>0.1</v>
      </c>
      <c r="H6" s="4" t="inlineStr">
        <is>
          <t>construction</t>
        </is>
      </c>
      <c r="I6" s="10" t="n"/>
      <c r="J6" s="10" t="n"/>
      <c r="K6" s="14" t="n">
        <v>20</v>
      </c>
      <c r="L6" s="14" t="n"/>
      <c r="M6" s="14" t="n"/>
      <c r="N6" s="25">
        <f>IF(E6="FIXED",F6,IF(E6="PERCENT",G6*IFERROR(INDEX(Costs!$D$6:$F$14,MATCH(A6,Costs!$A$6:$A$14,0),MATCH(H6,Costs!$D$5:$F$5,0)),0),I6*J6))</f>
        <v/>
      </c>
      <c r="O6" s="6">
        <f>IF(ISNUMBER(L6),L6,K6)</f>
        <v/>
      </c>
      <c r="P6" s="6">
        <f>IF(ISNUMBER(M6),MIN(M6,in_poa),in_poa)</f>
        <v/>
      </c>
      <c r="Q6" s="6">
        <f>IF(P6&lt;O6,0,INT((P6-O6)/K6)+1)</f>
        <v/>
      </c>
      <c r="R6" s="25">
        <f>IF(Q6=0,0,IF(in_rate=0,N6*Q6,N6*(1+in_rate)^(-O6)*(1-(1+in_rate)^(-K6*Q6))/(1-(1+in_rate)^(-K6))))</f>
        <v/>
      </c>
      <c r="S6" s="25">
        <f>IF(in_timing="MID_YEAR",IF(O6=0,IF(Q6=0,0,N6+(R6-N6)*(1+in_rate)^0.5),R6*(1+in_rate)^0.5),R6)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Inspection</t>
        </is>
      </c>
      <c r="E7" s="4" t="inlineStr">
        <is>
          <t>RATE</t>
        </is>
      </c>
      <c r="F7" s="10" t="n"/>
      <c r="G7" s="10" t="n"/>
      <c r="H7" s="4" t="inlineStr"/>
      <c r="I7" s="26" t="n">
        <v>4</v>
      </c>
      <c r="J7" s="28" t="n">
        <v>1200</v>
      </c>
      <c r="K7" s="14" t="n">
        <v>2</v>
      </c>
      <c r="L7" s="14" t="n"/>
      <c r="M7" s="14" t="n"/>
      <c r="N7" s="25">
        <f>IF(E7="FIXED",F7,IF(E7="PERCENT",G7*IFERROR(INDEX(Costs!$D$6:$F$14,MATCH(A7,Costs!$A$6:$A$14,0),MATCH(H7,Costs!$D$5:$F$5,0)),0),I7*J7))</f>
        <v/>
      </c>
      <c r="O7" s="6">
        <f>IF(ISNUMBER(L7),L7,K7)</f>
        <v/>
      </c>
      <c r="P7" s="6">
        <f>IF(ISNUMBER(M7),MIN(M7,in_poa),in_poa)</f>
        <v/>
      </c>
      <c r="Q7" s="6">
        <f>IF(P7&lt;O7,0,INT((P7-O7)/K7)+1)</f>
        <v/>
      </c>
      <c r="R7" s="25">
        <f>IF(Q7=0,0,IF(in_rate=0,N7*Q7,N7*(1+in_rate)^(-O7)*(1-(1+in_rate)^(-K7*Q7))/(1-(1+in_rate)^(-K7))))</f>
        <v/>
      </c>
      <c r="S7" s="25">
        <f>IF(in_timing="MID_YEAR",IF(O7=0,IF(Q7=0,0,N7+(R7-N7)*(1+in_rate)^0.5),R7*(1+in_rate)^0.5),R7)</f>
        <v/>
      </c>
    </row>
    <row r="8">
      <c r="A8" s="10">
        <f>B8&amp;"|"&amp;C8</f>
        <v/>
      </c>
      <c r="B8" s="4" t="inlineStr">
        <is>
          <t>C</t>
        </is>
      </c>
      <c r="C8" s="4" t="inlineStr">
        <is>
          <t>C1</t>
        </is>
      </c>
      <c r="D8" s="4" t="inlineStr">
        <is>
          <t>Annual O&amp;M</t>
        </is>
      </c>
      <c r="E8" s="4" t="inlineStr">
        <is>
          <t>FIXED</t>
        </is>
      </c>
      <c r="F8" s="26" t="n">
        <v>2500</v>
      </c>
      <c r="G8" s="10" t="n"/>
      <c r="H8" s="4" t="inlineStr"/>
      <c r="I8" s="10" t="n"/>
      <c r="J8" s="10" t="n"/>
      <c r="K8" s="14" t="n">
        <v>1</v>
      </c>
      <c r="L8" s="14" t="n"/>
      <c r="M8" s="14" t="n"/>
      <c r="N8" s="25">
        <f>IF(E8="FIXED",F8,IF(E8="PERCENT",G8*IFERROR(INDEX(Costs!$D$6:$F$14,MATCH(A8,Costs!$A$6:$A$14,0),MATCH(H8,Costs!$D$5:$F$5,0)),0),I8*J8))</f>
        <v/>
      </c>
      <c r="O8" s="6">
        <f>IF(ISNUMBER(L8),L8,K8)</f>
        <v/>
      </c>
      <c r="P8" s="6">
        <f>IF(ISNUMBER(M8),MIN(M8,in_poa),in_poa)</f>
        <v/>
      </c>
      <c r="Q8" s="6">
        <f>IF(P8&lt;O8,0,INT((P8-O8)/K8)+1)</f>
        <v/>
      </c>
      <c r="R8" s="25">
        <f>IF(Q8=0,0,IF(in_rate=0,N8*Q8,N8*(1+in_rate)^(-O8)*(1-(1+in_rate)^(-K8*Q8))/(1-(1+in_rate)^(-K8))))</f>
        <v/>
      </c>
      <c r="S8" s="25">
        <f>IF(in_timing="MID_YEAR",IF(O8=0,IF(Q8=0,0,N8+(R8-N8)*(1+in_rate)^0.5),R8*(1+in_rate)^0.5),R8)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F5:M8">
    <cfRule type="expression" priority="1" dxfId="0" stopIfTrue="0">
      <formula>F5&lt;&gt;'snap OMRRR'!F5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9" customWidth="1" min="2" max="2"/>
    <col width="14" customWidth="1" min="3" max="3"/>
    <col width="26" customWidth="1" min="4" max="4"/>
    <col width="8" customWidth="1" min="5" max="5"/>
    <col width="13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SUMIFS(Benefits!$I$6:$I$14,Benefits!$A$6:$A$14,A5)</f>
        <v/>
      </c>
      <c r="G5" s="20">
        <f>F5-$F$5</f>
        <v/>
      </c>
      <c r="H5" s="24">
        <f>Costs!D6</f>
        <v/>
      </c>
      <c r="I5" s="24">
        <f>SUM(Costs!D6:F6)</f>
        <v/>
      </c>
      <c r="J5" s="24">
        <f>Costs!I6</f>
        <v/>
      </c>
      <c r="K5" s="24">
        <f>Costs!J6</f>
        <v/>
      </c>
      <c r="L5" s="25">
        <f>Costs!M6</f>
        <v/>
      </c>
      <c r="M5" s="25">
        <f>L5-$L$5</f>
        <v/>
      </c>
      <c r="N5" s="24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SUMIFS(Benefits!$I$6:$I$14,Benefits!$A$6:$A$14,A6)</f>
        <v/>
      </c>
      <c r="G6" s="20">
        <f>F6-$F$5</f>
        <v/>
      </c>
      <c r="H6" s="24">
        <f>Costs!D7</f>
        <v/>
      </c>
      <c r="I6" s="24">
        <f>SUM(Costs!D7:F7)</f>
        <v/>
      </c>
      <c r="J6" s="24">
        <f>Costs!I7</f>
        <v/>
      </c>
      <c r="K6" s="24">
        <f>Costs!J7</f>
        <v/>
      </c>
      <c r="L6" s="25">
        <f>Costs!M7</f>
        <v/>
      </c>
      <c r="M6" s="25">
        <f>L6-$L$5</f>
        <v/>
      </c>
      <c r="N6" s="24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SUMIFS(Benefits!$I$6:$I$14,Benefits!$A$6:$A$14,A7)</f>
        <v/>
      </c>
      <c r="G7" s="20">
        <f>F7-$F$5</f>
        <v/>
      </c>
      <c r="H7" s="24">
        <f>Costs!D8</f>
        <v/>
      </c>
      <c r="I7" s="24">
        <f>SUM(Costs!D8:F8)</f>
        <v/>
      </c>
      <c r="J7" s="24">
        <f>Costs!I8</f>
        <v/>
      </c>
      <c r="K7" s="24">
        <f>Costs!J8</f>
        <v/>
      </c>
      <c r="L7" s="25">
        <f>Costs!M8</f>
        <v/>
      </c>
      <c r="M7" s="25">
        <f>L7-$L$5</f>
        <v/>
      </c>
      <c r="N7" s="24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SUMIFS(Benefits!$I$6:$I$14,Benefits!$A$6:$A$14,A8)</f>
        <v/>
      </c>
      <c r="G8" s="20">
        <f>F8-$F$8</f>
        <v/>
      </c>
      <c r="H8" s="24">
        <f>Costs!D9</f>
        <v/>
      </c>
      <c r="I8" s="24">
        <f>SUM(Costs!D9:F9)</f>
        <v/>
      </c>
      <c r="J8" s="24">
        <f>Costs!I9</f>
        <v/>
      </c>
      <c r="K8" s="24">
        <f>Costs!J9</f>
        <v/>
      </c>
      <c r="L8" s="25">
        <f>Costs!M9</f>
        <v/>
      </c>
      <c r="M8" s="25">
        <f>L8-$L$8</f>
        <v/>
      </c>
      <c r="N8" s="24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SUMIFS(Benefits!$I$6:$I$14,Benefits!$A$6:$A$14,A9)</f>
        <v/>
      </c>
      <c r="G9" s="20">
        <f>F9-$F$8</f>
        <v/>
      </c>
      <c r="H9" s="24">
        <f>Costs!D10</f>
        <v/>
      </c>
      <c r="I9" s="24">
        <f>SUM(Costs!D10:F10)</f>
        <v/>
      </c>
      <c r="J9" s="24">
        <f>Costs!I10</f>
        <v/>
      </c>
      <c r="K9" s="24">
        <f>Costs!J10</f>
        <v/>
      </c>
      <c r="L9" s="25">
        <f>Costs!M10</f>
        <v/>
      </c>
      <c r="M9" s="25">
        <f>L9-$L$8</f>
        <v/>
      </c>
      <c r="N9" s="24">
        <f>IF(G9&gt;0,M9/G9,"n/a")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B2</t>
        </is>
      </c>
      <c r="D10" s="4" t="inlineStr">
        <is>
          <t>B2</t>
        </is>
      </c>
      <c r="E10" s="4" t="n">
        <v>0</v>
      </c>
      <c r="F10" s="20">
        <f>SUMIFS(Benefits!$I$6:$I$14,Benefits!$A$6:$A$14,A10)</f>
        <v/>
      </c>
      <c r="G10" s="20">
        <f>F10-$F$8</f>
        <v/>
      </c>
      <c r="H10" s="24">
        <f>Costs!D11</f>
        <v/>
      </c>
      <c r="I10" s="24">
        <f>SUM(Costs!D11:F11)</f>
        <v/>
      </c>
      <c r="J10" s="24">
        <f>Costs!I11</f>
        <v/>
      </c>
      <c r="K10" s="24">
        <f>Costs!J11</f>
        <v/>
      </c>
      <c r="L10" s="25">
        <f>Costs!M11</f>
        <v/>
      </c>
      <c r="M10" s="25">
        <f>L10-$L$8</f>
        <v/>
      </c>
      <c r="N10" s="24">
        <f>IF(G10&gt;0,M10/G10,"n/a")</f>
        <v/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B3</t>
        </is>
      </c>
      <c r="D11" s="4" t="inlineStr">
        <is>
          <t>B3</t>
        </is>
      </c>
      <c r="E11" s="4" t="n">
        <v>0</v>
      </c>
      <c r="F11" s="20">
        <f>SUMIFS(Benefits!$I$6:$I$14,Benefits!$A$6:$A$14,A11)</f>
        <v/>
      </c>
      <c r="G11" s="20">
        <f>F11-$F$8</f>
        <v/>
      </c>
      <c r="H11" s="24">
        <f>Costs!D12</f>
        <v/>
      </c>
      <c r="I11" s="24">
        <f>SUM(Costs!D12:F12)</f>
        <v/>
      </c>
      <c r="J11" s="24">
        <f>Costs!I12</f>
        <v/>
      </c>
      <c r="K11" s="24">
        <f>Costs!J12</f>
        <v/>
      </c>
      <c r="L11" s="25">
        <f>Costs!M12</f>
        <v/>
      </c>
      <c r="M11" s="25">
        <f>L11-$L$8</f>
        <v/>
      </c>
      <c r="N11" s="24">
        <f>IF(G11&gt;0,M11/G11,"n/a")</f>
        <v/>
      </c>
    </row>
    <row r="12">
      <c r="A12" s="10">
        <f>B12&amp;"|"&amp;C12</f>
        <v/>
      </c>
      <c r="B12" s="4" t="inlineStr">
        <is>
          <t>C</t>
        </is>
      </c>
      <c r="C12" s="4" t="inlineStr">
        <is>
          <t>NA</t>
        </is>
      </c>
      <c r="D12" s="4" t="inlineStr">
        <is>
          <t>NA</t>
        </is>
      </c>
      <c r="E12" s="4" t="n">
        <v>1</v>
      </c>
      <c r="F12" s="20">
        <f>SUMIFS(Benefits!$I$6:$I$14,Benefits!$A$6:$A$14,A12)</f>
        <v/>
      </c>
      <c r="G12" s="20">
        <f>F12-$F$12</f>
        <v/>
      </c>
      <c r="H12" s="24">
        <f>Costs!D13</f>
        <v/>
      </c>
      <c r="I12" s="24">
        <f>SUM(Costs!D13:F13)</f>
        <v/>
      </c>
      <c r="J12" s="24">
        <f>Costs!I13</f>
        <v/>
      </c>
      <c r="K12" s="24">
        <f>Costs!J13</f>
        <v/>
      </c>
      <c r="L12" s="25">
        <f>Costs!M13</f>
        <v/>
      </c>
      <c r="M12" s="25">
        <f>L12-$L$12</f>
        <v/>
      </c>
      <c r="N12" s="24">
        <f>IF(G12&gt;0,M12/G12,"n/a")</f>
        <v/>
      </c>
    </row>
    <row r="13">
      <c r="A13" s="10">
        <f>B13&amp;"|"&amp;C13</f>
        <v/>
      </c>
      <c r="B13" s="4" t="inlineStr">
        <is>
          <t>C</t>
        </is>
      </c>
      <c r="C13" s="4" t="inlineStr">
        <is>
          <t>C1</t>
        </is>
      </c>
      <c r="D13" s="4" t="inlineStr">
        <is>
          <t>C1</t>
        </is>
      </c>
      <c r="E13" s="4" t="n">
        <v>0</v>
      </c>
      <c r="F13" s="20">
        <f>SUMIFS(Benefits!$I$6:$I$14,Benefits!$A$6:$A$14,A13)</f>
        <v/>
      </c>
      <c r="G13" s="20">
        <f>F13-$F$12</f>
        <v/>
      </c>
      <c r="H13" s="24">
        <f>Costs!D14</f>
        <v/>
      </c>
      <c r="I13" s="24">
        <f>SUM(Costs!D14:F14)</f>
        <v/>
      </c>
      <c r="J13" s="24">
        <f>Costs!I14</f>
        <v/>
      </c>
      <c r="K13" s="24">
        <f>Costs!J14</f>
        <v/>
      </c>
      <c r="L13" s="25">
        <f>Costs!M14</f>
        <v/>
      </c>
      <c r="M13" s="25">
        <f>L13-$L$12</f>
        <v/>
      </c>
      <c r="N13" s="24">
        <f>IF(G13&gt;0,M13/G13,"n/a")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min="1" max="1"/>
    <col width="9" customWidth="1" min="2" max="2"/>
    <col width="14" customWidth="1" min="3" max="3"/>
    <col width="24" customWidth="1" min="4" max="4"/>
    <col width="8" customWidth="1" min="5" max="5"/>
    <col width="7" customWidth="1" min="6" max="6"/>
    <col width="11" customWidth="1" min="7" max="7"/>
    <col width="13" customWidth="1" min="8" max="8"/>
    <col hidden="1" width="11" customWidth="1" min="9" max="9"/>
    <col hidden="1" width="11" customWidth="1" min="10" max="10"/>
    <col hidden="1" width="8" customWidth="1" min="11" max="11"/>
    <col width="9" customWidth="1" min="12" max="12"/>
    <col hidden="1" width="8" customWidth="1" min="13" max="13"/>
    <col hidden="1" width="11" customWidth="1" min="14" max="14"/>
    <col hidden="1" width="11" customWidth="1" min="15" max="15"/>
    <col width="7" customWidth="1" min="16" max="16"/>
    <col hidden="1" width="8" customWidth="1" min="17" max="17"/>
    <col hidden="1" width="11" customWidth="1" min="18" max="18"/>
    <col hidden="1" width="11" customWidth="1" min="19" max="19"/>
    <col width="11" customWidth="1" min="20" max="20"/>
    <col width="13" customWidth="1" min="21" max="21"/>
    <col width="13" customWidth="1" min="22" max="22"/>
    <col width="11" customWidth="1" min="23" max="23"/>
    <col width="11" customWidth="1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  Upper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5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9">
        <f>IF(M6=1,MAX(J6/I6,SUMPRODUCT(MAX(((J6-$J$6:$J$8)*($M$6:$M$8*($I$6:$I$8&lt;I6)))/((I6-$I$6:$I$8)*($M$6:$M$8*($I$6:$I$8&lt;I6))+1-($M$6:$M$8*($I$6:$I$8&lt;I6)))-(1-($M$6:$M$8*($I$6:$I$8&lt;I6)))*1E+300))),0)</f>
        <v/>
      </c>
      <c r="O6" s="29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5">
        <f>IF(Q6=0,"",(J6-S6)/10^in_cost_dp)</f>
        <v/>
      </c>
      <c r="V6" s="25">
        <f>IF(Q6=0,"",IF(I6=R6,0,U6/T6))</f>
        <v/>
      </c>
      <c r="W6" s="25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5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9">
        <f>IF(M7=1,MAX(J7/I7,SUMPRODUCT(MAX(((J7-$J$6:$J$8)*($M$6:$M$8*($I$6:$I$8&lt;I7)))/((I7-$I$6:$I$8)*($M$6:$M$8*($I$6:$I$8&lt;I7))+1-($M$6:$M$8*($I$6:$I$8&lt;I7)))-(1-($M$6:$M$8*($I$6:$I$8&lt;I7)))*1E+300))),0)</f>
        <v/>
      </c>
      <c r="O7" s="29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5">
        <f>IF(Q7=0,"",(J7-S7)/10^in_cost_dp)</f>
        <v/>
      </c>
      <c r="V7" s="25">
        <f>IF(Q7=0,"",IF(I7=R7,0,U7/T7))</f>
        <v/>
      </c>
      <c r="W7" s="25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5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9">
        <f>IF(M8=1,MAX(J8/I8,SUMPRODUCT(MAX(((J8-$J$6:$J$8)*($M$6:$M$8*($I$6:$I$8&lt;I8)))/((I8-$I$6:$I$8)*($M$6:$M$8*($I$6:$I$8&lt;I8))+1-($M$6:$M$8*($I$6:$I$8&lt;I8)))-(1-($M$6:$M$8*($I$6:$I$8&lt;I8)))*1E+300))),0)</f>
        <v/>
      </c>
      <c r="O8" s="29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5">
        <f>IF(Q8=0,"",(J8-S8)/10^in_cost_dp)</f>
        <v/>
      </c>
      <c r="V8" s="25">
        <f>IF(Q8=0,"",IF(I8=R8,0,U8/T8))</f>
        <v/>
      </c>
      <c r="W8" s="25">
        <f>IF(I8&gt;0,(J8/10^in_cost_dp)/(I8/10^in_out_dp),"n/a")</f>
        <v/>
      </c>
      <c r="X8" s="10">
        <f>IF(Sites!$C$5=C8,1,0)</f>
        <v/>
      </c>
    </row>
    <row r="10">
      <c r="B10" s="7" t="inlineStr">
        <is>
          <t>B  Middle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5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SUMPRODUCT(($I$11:$I$14=I11)*($J$11:$J$14&lt;J11)+($I$11:$I$14&gt;I11)*($J$11:$J$14&lt;=J11))</f>
        <v/>
      </c>
      <c r="L11" s="10">
        <f>IF(OR(E11=1,K11=0),1,0)</f>
        <v/>
      </c>
      <c r="M11" s="10">
        <f>IF(AND(L11=1,E11=0,I11&gt;0),1,0)</f>
        <v/>
      </c>
      <c r="N11" s="29">
        <f>IF(M11=1,MAX(J11/I11,SUMPRODUCT(MAX(((J11-$J$11:$J$14)*($M$11:$M$14*($I$11:$I$14&lt;I11)))/((I11-$I$11:$I$14)*($M$11:$M$14*($I$11:$I$14&lt;I11))+1-($M$11:$M$14*($I$11:$I$14&lt;I11)))-(1-($M$11:$M$14*($I$11:$I$14&lt;I11)))*1E+300))),0)</f>
        <v/>
      </c>
      <c r="O11" s="29">
        <f>IF(M11=1,SUMPRODUCT(MIN(((($J$11:$J$14-J11)*($M$11:$M$14*($I$11:$I$14&gt;I11)))/(($I$11:$I$14-I11)*($M$11:$M$14*($I$11:$I$14&gt;I11))+1-($M$11:$M$14*($I$11:$I$14&gt;I11)))+(1-($M$11:$M$14*($I$11:$I$14&gt;I11)))*1E+300))),0)</f>
        <v/>
      </c>
      <c r="P11" s="10">
        <f>IF(E11=1,1,IF(AND(M11=1,N11&lt;=O11),1,0))</f>
        <v/>
      </c>
      <c r="Q11" s="10">
        <f>IF(P11=1,1+SUMPRODUCT($P$11:$P$14*(($I$11:$I$14&lt;I11)+($I$11:$I$14=I11)*($F$11:$F$14&lt;F11))),0)</f>
        <v/>
      </c>
      <c r="R11" s="10">
        <f>IF(Q11&lt;=1,0,SUMPRODUCT(($Q$11:$Q$14=Q11-1)*$I$11:$I$14))</f>
        <v/>
      </c>
      <c r="S11" s="10">
        <f>IF(Q11&lt;=1,0,SUMPRODUCT(($Q$11:$Q$14=Q11-1)*$J$11:$J$14))</f>
        <v/>
      </c>
      <c r="T11" s="20">
        <f>IF(Q11=0,"",(I11-R11)/10^in_out_dp)</f>
        <v/>
      </c>
      <c r="U11" s="25">
        <f>IF(Q11=0,"",(J11-S11)/10^in_cost_dp)</f>
        <v/>
      </c>
      <c r="V11" s="25">
        <f>IF(Q11=0,"",IF(I11=R11,0,U11/T11))</f>
        <v/>
      </c>
      <c r="W11" s="25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5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SUMPRODUCT(($I$11:$I$14=I12)*($J$11:$J$14&lt;J12)+($I$11:$I$14&gt;I12)*($J$11:$J$14&lt;=J12))</f>
        <v/>
      </c>
      <c r="L12" s="10">
        <f>IF(OR(E12=1,K12=0),1,0)</f>
        <v/>
      </c>
      <c r="M12" s="10">
        <f>IF(AND(L12=1,E12=0,I12&gt;0),1,0)</f>
        <v/>
      </c>
      <c r="N12" s="29">
        <f>IF(M12=1,MAX(J12/I12,SUMPRODUCT(MAX(((J12-$J$11:$J$14)*($M$11:$M$14*($I$11:$I$14&lt;I12)))/((I12-$I$11:$I$14)*($M$11:$M$14*($I$11:$I$14&lt;I12))+1-($M$11:$M$14*($I$11:$I$14&lt;I12)))-(1-($M$11:$M$14*($I$11:$I$14&lt;I12)))*1E+300))),0)</f>
        <v/>
      </c>
      <c r="O12" s="29">
        <f>IF(M12=1,SUMPRODUCT(MIN(((($J$11:$J$14-J12)*($M$11:$M$14*($I$11:$I$14&gt;I12)))/(($I$11:$I$14-I12)*($M$11:$M$14*($I$11:$I$14&gt;I12))+1-($M$11:$M$14*($I$11:$I$14&gt;I12)))+(1-($M$11:$M$14*($I$11:$I$14&gt;I12)))*1E+300))),0)</f>
        <v/>
      </c>
      <c r="P12" s="10">
        <f>IF(E12=1,1,IF(AND(M12=1,N12&lt;=O12),1,0))</f>
        <v/>
      </c>
      <c r="Q12" s="10">
        <f>IF(P12=1,1+SUMPRODUCT($P$11:$P$14*(($I$11:$I$14&lt;I12)+($I$11:$I$14=I12)*($F$11:$F$14&lt;F12))),0)</f>
        <v/>
      </c>
      <c r="R12" s="10">
        <f>IF(Q12&lt;=1,0,SUMPRODUCT(($Q$11:$Q$14=Q12-1)*$I$11:$I$14))</f>
        <v/>
      </c>
      <c r="S12" s="10">
        <f>IF(Q12&lt;=1,0,SUMPRODUCT(($Q$11:$Q$14=Q12-1)*$J$11:$J$14))</f>
        <v/>
      </c>
      <c r="T12" s="20">
        <f>IF(Q12=0,"",(I12-R12)/10^in_out_dp)</f>
        <v/>
      </c>
      <c r="U12" s="25">
        <f>IF(Q12=0,"",(J12-S12)/10^in_cost_dp)</f>
        <v/>
      </c>
      <c r="V12" s="25">
        <f>IF(Q12=0,"",IF(I12=R12,0,U12/T12))</f>
        <v/>
      </c>
      <c r="W12" s="25">
        <f>IF(I12&gt;0,(J12/10^in_cost_dp)/(I12/10^in_out_dp),"n/a")</f>
        <v/>
      </c>
      <c r="X12" s="10">
        <f>IF(Sites!$C$6=C12,1,0)</f>
        <v/>
      </c>
    </row>
    <row r="13">
      <c r="A13" s="10">
        <f>B13&amp;"|"&amp;C13</f>
        <v/>
      </c>
      <c r="B13" s="4" t="inlineStr">
        <is>
          <t>B</t>
        </is>
      </c>
      <c r="C13" s="4" t="inlineStr">
        <is>
          <t>B2</t>
        </is>
      </c>
      <c r="D13" s="4" t="inlineStr">
        <is>
          <t>B2</t>
        </is>
      </c>
      <c r="E13" s="4" t="n">
        <v>0</v>
      </c>
      <c r="F13" s="4" t="n">
        <v>3</v>
      </c>
      <c r="G13" s="20">
        <f>Summary!G10</f>
        <v/>
      </c>
      <c r="H13" s="25">
        <f>Summary!M10</f>
        <v/>
      </c>
      <c r="I13" s="6">
        <f>ROUND(G13*10^in_out_dp,0)</f>
        <v/>
      </c>
      <c r="J13" s="6">
        <f>ROUND(H13*10^in_cost_dp,0)</f>
        <v/>
      </c>
      <c r="K13" s="10">
        <f>SUMPRODUCT(($I$11:$I$14=I13)*($J$11:$J$14&lt;J13)+($I$11:$I$14&gt;I13)*($J$11:$J$14&lt;=J13))</f>
        <v/>
      </c>
      <c r="L13" s="10">
        <f>IF(OR(E13=1,K13=0),1,0)</f>
        <v/>
      </c>
      <c r="M13" s="10">
        <f>IF(AND(L13=1,E13=0,I13&gt;0),1,0)</f>
        <v/>
      </c>
      <c r="N13" s="29">
        <f>IF(M13=1,MAX(J13/I13,SUMPRODUCT(MAX(((J13-$J$11:$J$14)*($M$11:$M$14*($I$11:$I$14&lt;I13)))/((I13-$I$11:$I$14)*($M$11:$M$14*($I$11:$I$14&lt;I13))+1-($M$11:$M$14*($I$11:$I$14&lt;I13)))-(1-($M$11:$M$14*($I$11:$I$14&lt;I13)))*1E+300))),0)</f>
        <v/>
      </c>
      <c r="O13" s="29">
        <f>IF(M13=1,SUMPRODUCT(MIN(((($J$11:$J$14-J13)*($M$11:$M$14*($I$11:$I$14&gt;I13)))/(($I$11:$I$14-I13)*($M$11:$M$14*($I$11:$I$14&gt;I13))+1-($M$11:$M$14*($I$11:$I$14&gt;I13)))+(1-($M$11:$M$14*($I$11:$I$14&gt;I13)))*1E+300))),0)</f>
        <v/>
      </c>
      <c r="P13" s="10">
        <f>IF(E13=1,1,IF(AND(M13=1,N13&lt;=O13),1,0))</f>
        <v/>
      </c>
      <c r="Q13" s="10">
        <f>IF(P13=1,1+SUMPRODUCT($P$11:$P$14*(($I$11:$I$14&lt;I13)+($I$11:$I$14=I13)*($F$11:$F$14&lt;F13))),0)</f>
        <v/>
      </c>
      <c r="R13" s="10">
        <f>IF(Q13&lt;=1,0,SUMPRODUCT(($Q$11:$Q$14=Q13-1)*$I$11:$I$14))</f>
        <v/>
      </c>
      <c r="S13" s="10">
        <f>IF(Q13&lt;=1,0,SUMPRODUCT(($Q$11:$Q$14=Q13-1)*$J$11:$J$14))</f>
        <v/>
      </c>
      <c r="T13" s="20">
        <f>IF(Q13=0,"",(I13-R13)/10^in_out_dp)</f>
        <v/>
      </c>
      <c r="U13" s="25">
        <f>IF(Q13=0,"",(J13-S13)/10^in_cost_dp)</f>
        <v/>
      </c>
      <c r="V13" s="25">
        <f>IF(Q13=0,"",IF(I13=R13,0,U13/T13))</f>
        <v/>
      </c>
      <c r="W13" s="25">
        <f>IF(I13&gt;0,(J13/10^in_cost_dp)/(I13/10^in_out_dp),"n/a")</f>
        <v/>
      </c>
      <c r="X13" s="10">
        <f>IF(Sites!$C$6=C13,1,0)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B3</t>
        </is>
      </c>
      <c r="D14" s="4" t="inlineStr">
        <is>
          <t>B3</t>
        </is>
      </c>
      <c r="E14" s="4" t="n">
        <v>0</v>
      </c>
      <c r="F14" s="4" t="n">
        <v>4</v>
      </c>
      <c r="G14" s="20">
        <f>Summary!G11</f>
        <v/>
      </c>
      <c r="H14" s="25">
        <f>Summary!M11</f>
        <v/>
      </c>
      <c r="I14" s="6">
        <f>ROUND(G14*10^in_out_dp,0)</f>
        <v/>
      </c>
      <c r="J14" s="6">
        <f>ROUND(H14*10^in_cost_dp,0)</f>
        <v/>
      </c>
      <c r="K14" s="10">
        <f>SUMPRODUCT(($I$11:$I$14=I14)*($J$11:$J$14&lt;J14)+($I$11:$I$14&gt;I14)*($J$11:$J$14&lt;=J14))</f>
        <v/>
      </c>
      <c r="L14" s="10">
        <f>IF(OR(E14=1,K14=0),1,0)</f>
        <v/>
      </c>
      <c r="M14" s="10">
        <f>IF(AND(L14=1,E14=0,I14&gt;0),1,0)</f>
        <v/>
      </c>
      <c r="N14" s="29">
        <f>IF(M14=1,MAX(J14/I14,SUMPRODUCT(MAX(((J14-$J$11:$J$14)*($M$11:$M$14*($I$11:$I$14&lt;I14)))/((I14-$I$11:$I$14)*($M$11:$M$14*($I$11:$I$14&lt;I14))+1-($M$11:$M$14*($I$11:$I$14&lt;I14)))-(1-($M$11:$M$14*($I$11:$I$14&lt;I14)))*1E+300))),0)</f>
        <v/>
      </c>
      <c r="O14" s="29">
        <f>IF(M14=1,SUMPRODUCT(MIN(((($J$11:$J$14-J14)*($M$11:$M$14*($I$11:$I$14&gt;I14)))/(($I$11:$I$14-I14)*($M$11:$M$14*($I$11:$I$14&gt;I14))+1-($M$11:$M$14*($I$11:$I$14&gt;I14)))+(1-($M$11:$M$14*($I$11:$I$14&gt;I14)))*1E+300))),0)</f>
        <v/>
      </c>
      <c r="P14" s="10">
        <f>IF(E14=1,1,IF(AND(M14=1,N14&lt;=O14),1,0))</f>
        <v/>
      </c>
      <c r="Q14" s="10">
        <f>IF(P14=1,1+SUMPRODUCT($P$11:$P$14*(($I$11:$I$14&lt;I14)+($I$11:$I$14=I14)*($F$11:$F$14&lt;F14))),0)</f>
        <v/>
      </c>
      <c r="R14" s="10">
        <f>IF(Q14&lt;=1,0,SUMPRODUCT(($Q$11:$Q$14=Q14-1)*$I$11:$I$14))</f>
        <v/>
      </c>
      <c r="S14" s="10">
        <f>IF(Q14&lt;=1,0,SUMPRODUCT(($Q$11:$Q$14=Q14-1)*$J$11:$J$14))</f>
        <v/>
      </c>
      <c r="T14" s="20">
        <f>IF(Q14=0,"",(I14-R14)/10^in_out_dp)</f>
        <v/>
      </c>
      <c r="U14" s="25">
        <f>IF(Q14=0,"",(J14-S14)/10^in_cost_dp)</f>
        <v/>
      </c>
      <c r="V14" s="25">
        <f>IF(Q14=0,"",IF(I14=R14,0,U14/T14))</f>
        <v/>
      </c>
      <c r="W14" s="25">
        <f>IF(I14&gt;0,(J14/10^in_cost_dp)/(I14/10^in_out_dp),"n/a")</f>
        <v/>
      </c>
      <c r="X14" s="10">
        <f>IF(Sites!$C$6=C14,1,0)</f>
        <v/>
      </c>
    </row>
    <row r="16">
      <c r="B16" s="7" t="inlineStr">
        <is>
          <t>C  Lower</t>
        </is>
      </c>
    </row>
    <row r="17">
      <c r="A17" s="10">
        <f>B17&amp;"|"&amp;C17</f>
        <v/>
      </c>
      <c r="B17" s="4" t="inlineStr">
        <is>
          <t>C</t>
        </is>
      </c>
      <c r="C17" s="4" t="inlineStr">
        <is>
          <t>NA</t>
        </is>
      </c>
      <c r="D17" s="4" t="inlineStr">
        <is>
          <t>NA</t>
        </is>
      </c>
      <c r="E17" s="4" t="n">
        <v>1</v>
      </c>
      <c r="F17" s="4" t="n">
        <v>1</v>
      </c>
      <c r="G17" s="20">
        <f>Summary!G12</f>
        <v/>
      </c>
      <c r="H17" s="25">
        <f>Summary!M12</f>
        <v/>
      </c>
      <c r="I17" s="6">
        <f>ROUND(G17*10^in_out_dp,0)</f>
        <v/>
      </c>
      <c r="J17" s="6">
        <f>ROUND(H17*10^in_cost_dp,0)</f>
        <v/>
      </c>
      <c r="K17" s="10">
        <f>SUMPRODUCT(($I$17:$I$18=I17)*($J$17:$J$18&lt;J17)+($I$17:$I$18&gt;I17)*($J$17:$J$18&lt;=J17))</f>
        <v/>
      </c>
      <c r="L17" s="10">
        <f>IF(OR(E17=1,K17=0),1,0)</f>
        <v/>
      </c>
      <c r="M17" s="10">
        <f>IF(AND(L17=1,E17=0,I17&gt;0),1,0)</f>
        <v/>
      </c>
      <c r="N17" s="29">
        <f>IF(M17=1,MAX(J17/I17,SUMPRODUCT(MAX(((J17-$J$17:$J$18)*($M$17:$M$18*($I$17:$I$18&lt;I17)))/((I17-$I$17:$I$18)*($M$17:$M$18*($I$17:$I$18&lt;I17))+1-($M$17:$M$18*($I$17:$I$18&lt;I17)))-(1-($M$17:$M$18*($I$17:$I$18&lt;I17)))*1E+300))),0)</f>
        <v/>
      </c>
      <c r="O17" s="29">
        <f>IF(M17=1,SUMPRODUCT(MIN(((($J$17:$J$18-J17)*($M$17:$M$18*($I$17:$I$18&gt;I17)))/(($I$17:$I$18-I17)*($M$17:$M$18*($I$17:$I$18&gt;I17))+1-($M$17:$M$18*($I$17:$I$18&gt;I17)))+(1-($M$17:$M$18*($I$17:$I$18&gt;I17)))*1E+300))),0)</f>
        <v/>
      </c>
      <c r="P17" s="10">
        <f>IF(E17=1,1,IF(AND(M17=1,N17&lt;=O17),1,0))</f>
        <v/>
      </c>
      <c r="Q17" s="10">
        <f>IF(P17=1,1+SUMPRODUCT($P$17:$P$18*(($I$17:$I$18&lt;I17)+($I$17:$I$18=I17)*($F$17:$F$18&lt;F17))),0)</f>
        <v/>
      </c>
      <c r="R17" s="10">
        <f>IF(Q17&lt;=1,0,SUMPRODUCT(($Q$17:$Q$18=Q17-1)*$I$17:$I$18))</f>
        <v/>
      </c>
      <c r="S17" s="10">
        <f>IF(Q17&lt;=1,0,SUMPRODUCT(($Q$17:$Q$18=Q17-1)*$J$17:$J$18))</f>
        <v/>
      </c>
      <c r="T17" s="20">
        <f>IF(Q17=0,"",(I17-R17)/10^in_out_dp)</f>
        <v/>
      </c>
      <c r="U17" s="25">
        <f>IF(Q17=0,"",(J17-S17)/10^in_cost_dp)</f>
        <v/>
      </c>
      <c r="V17" s="25">
        <f>IF(Q17=0,"",IF(I17=R17,0,U17/T17))</f>
        <v/>
      </c>
      <c r="W17" s="25">
        <f>IF(I17&gt;0,(J17/10^in_cost_dp)/(I17/10^in_out_dp),"n/a")</f>
        <v/>
      </c>
      <c r="X17" s="10">
        <f>IF(Sites!$C$7=C17,1,0)</f>
        <v/>
      </c>
    </row>
    <row r="18">
      <c r="A18" s="10">
        <f>B18&amp;"|"&amp;C18</f>
        <v/>
      </c>
      <c r="B18" s="4" t="inlineStr">
        <is>
          <t>C</t>
        </is>
      </c>
      <c r="C18" s="4" t="inlineStr">
        <is>
          <t>C1</t>
        </is>
      </c>
      <c r="D18" s="4" t="inlineStr">
        <is>
          <t>C1</t>
        </is>
      </c>
      <c r="E18" s="4" t="n">
        <v>0</v>
      </c>
      <c r="F18" s="4" t="n">
        <v>2</v>
      </c>
      <c r="G18" s="20">
        <f>Summary!G13</f>
        <v/>
      </c>
      <c r="H18" s="25">
        <f>Summary!M13</f>
        <v/>
      </c>
      <c r="I18" s="6">
        <f>ROUND(G18*10^in_out_dp,0)</f>
        <v/>
      </c>
      <c r="J18" s="6">
        <f>ROUND(H18*10^in_cost_dp,0)</f>
        <v/>
      </c>
      <c r="K18" s="10">
        <f>SUMPRODUCT(($I$17:$I$18=I18)*($J$17:$J$18&lt;J18)+($I$17:$I$18&gt;I18)*($J$17:$J$18&lt;=J18))</f>
        <v/>
      </c>
      <c r="L18" s="10">
        <f>IF(OR(E18=1,K18=0),1,0)</f>
        <v/>
      </c>
      <c r="M18" s="10">
        <f>IF(AND(L18=1,E18=0,I18&gt;0),1,0)</f>
        <v/>
      </c>
      <c r="N18" s="29">
        <f>IF(M18=1,MAX(J18/I18,SUMPRODUCT(MAX(((J18-$J$17:$J$18)*($M$17:$M$18*($I$17:$I$18&lt;I18)))/((I18-$I$17:$I$18)*($M$17:$M$18*($I$17:$I$18&lt;I18))+1-($M$17:$M$18*($I$17:$I$18&lt;I18)))-(1-($M$17:$M$18*($I$17:$I$18&lt;I18)))*1E+300))),0)</f>
        <v/>
      </c>
      <c r="O18" s="29">
        <f>IF(M18=1,SUMPRODUCT(MIN(((($J$17:$J$18-J18)*($M$17:$M$18*($I$17:$I$18&gt;I18)))/(($I$17:$I$18-I18)*($M$17:$M$18*($I$17:$I$18&gt;I18))+1-($M$17:$M$18*($I$17:$I$18&gt;I18)))+(1-($M$17:$M$18*($I$17:$I$18&gt;I18)))*1E+300))),0)</f>
        <v/>
      </c>
      <c r="P18" s="10">
        <f>IF(E18=1,1,IF(AND(M18=1,N18&lt;=O18),1,0))</f>
        <v/>
      </c>
      <c r="Q18" s="10">
        <f>IF(P18=1,1+SUMPRODUCT($P$17:$P$18*(($I$17:$I$18&lt;I18)+($I$17:$I$18=I18)*($F$17:$F$18&lt;F18))),0)</f>
        <v/>
      </c>
      <c r="R18" s="10">
        <f>IF(Q18&lt;=1,0,SUMPRODUCT(($Q$17:$Q$18=Q18-1)*$I$17:$I$18))</f>
        <v/>
      </c>
      <c r="S18" s="10">
        <f>IF(Q18&lt;=1,0,SUMPRODUCT(($Q$17:$Q$18=Q18-1)*$J$17:$J$18))</f>
        <v/>
      </c>
      <c r="T18" s="20">
        <f>IF(Q18=0,"",(I18-R18)/10^in_out_dp)</f>
        <v/>
      </c>
      <c r="U18" s="25">
        <f>IF(Q18=0,"",(J18-S18)/10^in_cost_dp)</f>
        <v/>
      </c>
      <c r="V18" s="25">
        <f>IF(Q18=0,"",IF(I18=R18,0,U18/T18))</f>
        <v/>
      </c>
      <c r="W18" s="25">
        <f>IF(I18&gt;0,(J18/10^in_cost_dp)/(I18/10^in_out_dp),"n/a")</f>
        <v/>
      </c>
      <c r="X18" s="10">
        <f>IF(Sites!$C$7=C18,1,0)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16" customWidth="1" min="3" max="3"/>
    <col width="10" customWidth="1" min="4" max="4"/>
    <col width="8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9" customWidth="1" min="11" max="11"/>
    <col width="8" customWidth="1" min="12" max="12"/>
    <col width="12" customWidth="1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>
        <is>
          <t>Upper</t>
        </is>
      </c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CE-ICA'!$G$5:$G$18,MATCH(A5&amp;"|"&amp;C5,'Site CE-ICA'!$A$5:$A$18,0)),0)</f>
        <v/>
      </c>
      <c r="G5" s="25">
        <f>IFERROR(INDEX('Site CE-ICA'!$H$5:$H$18,MATCH(A5&amp;"|"&amp;C5,'Site CE-ICA'!$A$5:$A$18,0)),0)</f>
        <v/>
      </c>
      <c r="H5" s="24">
        <f>IFERROR(INDEX(Summary!$H$5:$H$7,MATCH(C5,Summary!$C$5:$C$7,0)),0)</f>
        <v/>
      </c>
      <c r="I5" s="6">
        <f>IF(E5=1,IFERROR(INDEX('Site CE-ICA'!$I$5:$I$18,MATCH(A5&amp;"|"&amp;C5,'Site CE-ICA'!$A$5:$A$18,0)),0),0)</f>
        <v/>
      </c>
      <c r="J5" s="6">
        <f>IF(E5=1,IFERROR(INDEX('Site CE-ICA'!$J$5:$J$18,MATCH(A5&amp;"|"&amp;C5,'Site CE-ICA'!$A$5:$A$18,0)),0),0)</f>
        <v/>
      </c>
      <c r="K5" s="10">
        <f>IFERROR(INDEX('Site CE-ICA'!$L$5:$L$18,MATCH(A5&amp;"|"&amp;C5,'Site CE-ICA'!$A$5:$A$18,0)),0)</f>
        <v/>
      </c>
      <c r="L5" s="10">
        <f>IFERROR(INDEX('Site CE-ICA'!$P$5:$P$18,MATCH(A5&amp;"|"&amp;C5,'Site CE-ICA'!$A$5:$A$18,0)),0)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>
        <is>
          <t>Middle</t>
        </is>
      </c>
      <c r="C6" s="15" t="inlineStr">
        <is>
          <t>B3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CE-ICA'!$G$5:$G$18,MATCH(A6&amp;"|"&amp;C6,'Site CE-ICA'!$A$5:$A$18,0)),0)</f>
        <v/>
      </c>
      <c r="G6" s="25">
        <f>IFERROR(INDEX('Site CE-ICA'!$H$5:$H$18,MATCH(A6&amp;"|"&amp;C6,'Site CE-ICA'!$A$5:$A$18,0)),0)</f>
        <v/>
      </c>
      <c r="H6" s="24">
        <f>IFERROR(INDEX(Summary!$H$8:$H$11,MATCH(C6,Summary!$C$8:$C$11,0)),0)</f>
        <v/>
      </c>
      <c r="I6" s="6">
        <f>IF(E6=1,IFERROR(INDEX('Site CE-ICA'!$I$5:$I$18,MATCH(A6&amp;"|"&amp;C6,'Site CE-ICA'!$A$5:$A$18,0)),0),0)</f>
        <v/>
      </c>
      <c r="J6" s="6">
        <f>IF(E6=1,IFERROR(INDEX('Site CE-ICA'!$J$5:$J$18,MATCH(A6&amp;"|"&amp;C6,'Site CE-ICA'!$A$5:$A$18,0)),0),0)</f>
        <v/>
      </c>
      <c r="K6" s="10">
        <f>IFERROR(INDEX('Site CE-ICA'!$L$5:$L$18,MATCH(A6&amp;"|"&amp;C6,'Site CE-ICA'!$A$5:$A$18,0)),0)</f>
        <v/>
      </c>
      <c r="L6" s="10">
        <f>IFERROR(INDEX('Site CE-ICA'!$P$5:$P$18,MATCH(A6&amp;"|"&amp;C6,'Site CE-ICA'!$A$5:$A$18,0)),0)</f>
        <v/>
      </c>
      <c r="M6" s="4" t="inlineStr">
        <is>
          <t>Suggested</t>
        </is>
      </c>
    </row>
    <row r="7">
      <c r="A7" s="4" t="inlineStr">
        <is>
          <t>C</t>
        </is>
      </c>
      <c r="B7" s="4" t="inlineStr">
        <is>
          <t>Lower</t>
        </is>
      </c>
      <c r="C7" s="15" t="inlineStr">
        <is>
          <t>C1</t>
        </is>
      </c>
      <c r="D7" s="4" t="inlineStr">
        <is>
          <t>NA</t>
        </is>
      </c>
      <c r="E7" s="10">
        <f>IF(C7&lt;&gt;D7,1,0)</f>
        <v/>
      </c>
      <c r="F7" s="20">
        <f>IFERROR(INDEX('Site CE-ICA'!$G$5:$G$18,MATCH(A7&amp;"|"&amp;C7,'Site CE-ICA'!$A$5:$A$18,0)),0)</f>
        <v/>
      </c>
      <c r="G7" s="25">
        <f>IFERROR(INDEX('Site CE-ICA'!$H$5:$H$18,MATCH(A7&amp;"|"&amp;C7,'Site CE-ICA'!$A$5:$A$18,0)),0)</f>
        <v/>
      </c>
      <c r="H7" s="24">
        <f>IFERROR(INDEX(Summary!$H$12:$H$13,MATCH(C7,Summary!$C$12:$C$13,0)),0)</f>
        <v/>
      </c>
      <c r="I7" s="6">
        <f>IF(E7=1,IFERROR(INDEX('Site CE-ICA'!$I$5:$I$18,MATCH(A7&amp;"|"&amp;C7,'Site CE-ICA'!$A$5:$A$18,0)),0),0)</f>
        <v/>
      </c>
      <c r="J7" s="6">
        <f>IF(E7=1,IFERROR(INDEX('Site CE-ICA'!$J$5:$J$18,MATCH(A7&amp;"|"&amp;C7,'Site CE-ICA'!$A$5:$A$18,0)),0),0)</f>
        <v/>
      </c>
      <c r="K7" s="10">
        <f>IFERROR(INDEX('Site CE-ICA'!$L$5:$L$18,MATCH(A7&amp;"|"&amp;C7,'Site CE-ICA'!$A$5:$A$18,0)),0)</f>
        <v/>
      </c>
      <c r="L7" s="10">
        <f>IFERROR(INDEX('Site CE-ICA'!$P$5:$P$18,MATCH(A7&amp;"|"&amp;C7,'Site CE-ICA'!$A$5:$A$18,0)),0)</f>
        <v/>
      </c>
      <c r="M7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7">
    <cfRule type="expression" priority="1" dxfId="0" stopIfTrue="0">
      <formula>C5&lt;&gt;'snap Sites'!C5</formula>
    </cfRule>
  </conditionalFormatting>
  <dataValidations count="3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"NA,B1,B2,B3"</formula1>
    </dataValidation>
    <dataValidation sqref="C7" showDropDown="0" showInputMessage="0" showErrorMessage="0" allowBlank="0" type="list">
      <formula1>"NA,C1"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9"/>
  <sheetViews>
    <sheetView showGridLines="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6" customWidth="1" min="1" max="1"/>
    <col width="34" customWidth="1" min="2" max="2"/>
    <col width="6" customWidth="1" min="3" max="3"/>
    <col width="7" customWidth="1" min="4" max="4"/>
    <col width="7" customWidth="1" min="5" max="5"/>
    <col width="7" customWidth="1" min="6" max="6"/>
    <col width="8" customWidth="1" min="7" max="7"/>
    <col hidden="1" width="10" customWidth="1" min="8" max="8"/>
    <col hidden="1" width="11" customWidth="1" min="9" max="9"/>
    <col width="13" customWidth="1" min="10" max="10"/>
    <col width="11" customWidth="1" min="11" max="11"/>
    <col width="13" customWidth="1" min="12" max="12"/>
    <col hidden="1" width="6" customWidth="1" min="13" max="13"/>
    <col hidden="1" width="8" customWidth="1" min="14" max="14"/>
    <col width="9" customWidth="1" min="15" max="15"/>
    <col hidden="1" width="8" customWidth="1" min="16" max="16"/>
    <col hidden="1" width="10" customWidth="1" min="17" max="17"/>
    <col hidden="1" width="10" customWidth="1" min="18" max="18"/>
    <col width="7" customWidth="1" min="19" max="19"/>
    <col width="8" customWidth="1" min="20" max="20"/>
    <col hidden="1" width="10" customWidth="1" min="21" max="21"/>
    <col hidden="1" width="10" customWidth="1" min="22" max="22"/>
    <col width="11" customWidth="1" min="23" max="23"/>
    <col width="12" customWidth="1" min="24" max="24"/>
    <col width="12" customWidth="1" min="25" max="25"/>
    <col width="11" customWidth="1" min="26" max="26"/>
    <col width="7" customWidth="1" min="27" max="27"/>
    <col width="8" customWidth="1" min="28" max="28"/>
  </cols>
  <sheetData>
    <row r="1">
      <c r="A1" s="1" t="inlineStr">
        <is>
          <t>Watershed plans: every combination of the recommended site actions</t>
        </is>
      </c>
    </row>
    <row r="2">
      <c r="A2" s="2" t="inlineStr">
        <is>
          <t>1 and 0 mark a site included or excluded. Rows that include a site whose recommendation is No Action are not valid plans.</t>
        </is>
      </c>
    </row>
    <row r="4">
      <c r="C4" s="3" t="inlineStr">
        <is>
          <t>Site</t>
        </is>
      </c>
      <c r="D4" s="12" t="inlineStr">
        <is>
          <t>A</t>
        </is>
      </c>
      <c r="E4" s="12" t="inlineStr">
        <is>
          <t>B</t>
        </is>
      </c>
      <c r="F4" s="12" t="inlineStr">
        <is>
          <t>C</t>
        </is>
      </c>
    </row>
    <row r="5">
      <c r="C5" s="3" t="inlineStr">
        <is>
          <t>Carried</t>
        </is>
      </c>
      <c r="D5" s="10">
        <f>Sites!E5</f>
        <v/>
      </c>
      <c r="E5" s="10">
        <f>Sites!E6</f>
        <v/>
      </c>
      <c r="F5" s="10">
        <f>Sites!E7</f>
        <v/>
      </c>
    </row>
    <row r="6">
      <c r="C6" s="3" t="inlineStr">
        <is>
          <t>Lift (scaled)</t>
        </is>
      </c>
      <c r="D6" s="6">
        <f>Sites!I5</f>
        <v/>
      </c>
      <c r="E6" s="6">
        <f>Sites!I6</f>
        <v/>
      </c>
      <c r="F6" s="6">
        <f>Sites!I7</f>
        <v/>
      </c>
    </row>
    <row r="7">
      <c r="C7" s="3" t="inlineStr">
        <is>
          <t>Cost (scaled)</t>
        </is>
      </c>
      <c r="D7" s="6">
        <f>Sites!J5</f>
        <v/>
      </c>
      <c r="E7" s="6">
        <f>Sites!J6</f>
        <v/>
      </c>
      <c r="F7" s="6">
        <f>Sites!J7</f>
        <v/>
      </c>
    </row>
    <row r="8">
      <c r="C8" s="3" t="inlineStr">
        <is>
          <t>Construction cost</t>
        </is>
      </c>
      <c r="D8" s="24">
        <f>Sites!H5</f>
        <v/>
      </c>
      <c r="E8" s="24">
        <f>Sites!H6</f>
        <v/>
      </c>
      <c r="F8" s="24">
        <f>Sites!H7</f>
        <v/>
      </c>
    </row>
    <row r="9">
      <c r="C9" s="3" t="inlineStr">
        <is>
          <t>Weight</t>
        </is>
      </c>
      <c r="D9" s="6">
        <f>IF(D5=1,2^SUM(E5:$F$5),0)</f>
        <v/>
      </c>
      <c r="E9" s="6">
        <f>IF(E5=1,2^SUM(F5:$F$5),0)</f>
        <v/>
      </c>
      <c r="F9" s="6">
        <f>IF(F5=1,1,0)</f>
        <v/>
      </c>
    </row>
    <row r="11">
      <c r="A11" s="12" t="inlineStr">
        <is>
          <t>Row</t>
        </is>
      </c>
      <c r="B11" s="12" t="inlineStr">
        <is>
          <t>Plan</t>
        </is>
      </c>
      <c r="C11" s="12" t="inlineStr">
        <is>
          <t>Valid</t>
        </is>
      </c>
      <c r="D11" s="12" t="inlineStr">
        <is>
          <t>A</t>
        </is>
      </c>
      <c r="E11" s="12" t="inlineStr">
        <is>
          <t>B</t>
        </is>
      </c>
      <c r="F11" s="12" t="inlineStr">
        <is>
          <t>C</t>
        </is>
      </c>
      <c r="G11" s="12" t="inlineStr">
        <is>
          <t>Plan number</t>
        </is>
      </c>
      <c r="H11" s="12" t="inlineStr">
        <is>
          <t>Lift (scaled)</t>
        </is>
      </c>
      <c r="I11" s="12" t="inlineStr">
        <is>
          <t>Cost (scaled)</t>
        </is>
      </c>
      <c r="J11" s="12" t="inlineStr">
        <is>
          <t>Construction cost</t>
        </is>
      </c>
      <c r="K11" s="12" t="inlineStr">
        <is>
          <t>Lift (AAHU)</t>
        </is>
      </c>
      <c r="L11" s="12" t="inlineStr">
        <is>
          <t>Average annual cost</t>
        </is>
      </c>
      <c r="M11" s="12" t="inlineStr">
        <is>
          <t>No Action</t>
        </is>
      </c>
      <c r="N11" s="12" t="inlineStr">
        <is>
          <t>Dominated by</t>
        </is>
      </c>
      <c r="O11" s="12" t="inlineStr">
        <is>
          <t>Cost-effective</t>
        </is>
      </c>
      <c r="P11" s="12" t="inlineStr">
        <is>
          <t>Candidate</t>
        </is>
      </c>
      <c r="Q11" s="12" t="inlineStr">
        <is>
          <t>Slope in (max)</t>
        </is>
      </c>
      <c r="R11" s="12" t="inlineStr">
        <is>
          <t>Slope out (min)</t>
        </is>
      </c>
      <c r="S11" s="12" t="inlineStr">
        <is>
          <t>Best buy</t>
        </is>
      </c>
      <c r="T11" s="12" t="inlineStr">
        <is>
          <t>Best-buy step</t>
        </is>
      </c>
      <c r="U11" s="12" t="inlineStr">
        <is>
          <t>Previous lift (scaled)</t>
        </is>
      </c>
      <c r="V11" s="12" t="inlineStr">
        <is>
          <t>Previous cost (scaled)</t>
        </is>
      </c>
      <c r="W11" s="12" t="inlineStr">
        <is>
          <t>Incremental output</t>
        </is>
      </c>
      <c r="X11" s="12" t="inlineStr">
        <is>
          <t>Incremental cost</t>
        </is>
      </c>
      <c r="Y11" s="12" t="inlineStr">
        <is>
          <t>Incremental cost per unit</t>
        </is>
      </c>
      <c r="Z11" s="12" t="inlineStr">
        <is>
          <t>Unit cost</t>
        </is>
      </c>
      <c r="AA11" s="12" t="inlineStr">
        <is>
          <t>Final array</t>
        </is>
      </c>
      <c r="AB11" s="12" t="inlineStr">
        <is>
          <t>Final array order</t>
        </is>
      </c>
    </row>
    <row r="12">
      <c r="A12" s="4" t="n">
        <v>1</v>
      </c>
      <c r="B12" s="4" t="inlineStr">
        <is>
          <t>No Action</t>
        </is>
      </c>
      <c r="C12" s="10">
        <f>IF(SUMPRODUCT(D12:F12,1-$D$5:$F$5)=0,1,0)</f>
        <v/>
      </c>
      <c r="D12" s="4" t="n">
        <v>0</v>
      </c>
      <c r="E12" s="4" t="n">
        <v>0</v>
      </c>
      <c r="F12" s="4" t="n">
        <v>0</v>
      </c>
      <c r="G12" s="6">
        <f>IF(C12=1,1+SUMPRODUCT(D12:F12,$D$9:$F$9),"")</f>
        <v/>
      </c>
      <c r="H12" s="6">
        <f>SUMPRODUCT(D12:F12,$D$6:$F$6)</f>
        <v/>
      </c>
      <c r="I12" s="6">
        <f>SUMPRODUCT(D12:F12,$D$7:$F$7)</f>
        <v/>
      </c>
      <c r="J12" s="24">
        <f>SUMPRODUCT(D12:F12,$D$8:$F$8)</f>
        <v/>
      </c>
      <c r="K12" s="20">
        <f>H12/10^in_out_dp</f>
        <v/>
      </c>
      <c r="L12" s="25">
        <f>I12/10^in_cost_dp</f>
        <v/>
      </c>
      <c r="M12" s="10">
        <f>IF(SUM(D12:F12)=0,1,0)</f>
        <v/>
      </c>
      <c r="N12" s="10">
        <f>SUMPRODUCT($C$12:$C$19*(($H$12:$H$19=H12)*($I$12:$I$19&lt;I12)+($H$12:$H$19&gt;H12)*($I$12:$I$19&lt;=I12)))</f>
        <v/>
      </c>
      <c r="O12" s="10">
        <f>IF(C12=0,0,IF(OR(M12=1,N12=0),1,0))</f>
        <v/>
      </c>
      <c r="P12" s="10">
        <f>IF(AND(O12=1,M12=0,H12&gt;0),1,0)</f>
        <v/>
      </c>
      <c r="Q12" s="29">
        <f>IF(P12=1,MAX(I12/H12,SUMPRODUCT(MAX(((I12-$I$12:$I$19)*($P$12:$P$19*($H$12:$H$19&lt;H12)))/((H12-$H$12:$H$19)*($P$12:$P$19*($H$12:$H$19&lt;H12))+1-($P$12:$P$19*($H$12:$H$19&lt;H12)))-(1-($P$12:$P$19*($H$12:$H$19&lt;H12)))*1E+300))),0)</f>
        <v/>
      </c>
      <c r="R12" s="29">
        <f>IF(P12=1,SUMPRODUCT(MIN(((($I$12:$I$19-I12)*($P$12:$P$19*($H$12:$H$19&gt;H12)))/(($H$12:$H$19-H12)*($P$12:$P$19*($H$12:$H$19&gt;H12))+1-($P$12:$P$19*($H$12:$H$19&gt;H12)))+(1-($P$12:$P$19*($H$12:$H$19&gt;H12)))*1E+300))),0)</f>
        <v/>
      </c>
      <c r="S12" s="10">
        <f>IF(C12=0,0,IF(M12=1,1,IF(AND(P12=1,Q12&lt;=R12),1,0)))</f>
        <v/>
      </c>
      <c r="T12" s="10">
        <f>IF(S12=1,1+SUMPRODUCT($S$12:$S$19*(($H$12:$H$19&lt;H12)+($H$12:$H$19=H12)*($A$12:$A$19&lt;A12))),0)</f>
        <v/>
      </c>
      <c r="U12" s="10">
        <f>IF(T12&lt;=1,0,SUMPRODUCT(($T$12:$T$19=T12-1)*$H$12:$H$19))</f>
        <v/>
      </c>
      <c r="V12" s="10">
        <f>IF(T12&lt;=1,0,SUMPRODUCT(($T$12:$T$19=T12-1)*$I$12:$I$19))</f>
        <v/>
      </c>
      <c r="W12" s="20">
        <f>IF(T12=0,"",(H12-U12)/10^in_out_dp)</f>
        <v/>
      </c>
      <c r="X12" s="25">
        <f>IF(T12=0,"",(I12-V12)/10^in_cost_dp)</f>
        <v/>
      </c>
      <c r="Y12" s="25">
        <f>IF(T12=0,"",IF(H12=U12,0,X12/W12))</f>
        <v/>
      </c>
      <c r="Z12" s="25">
        <f>IF(AND(C12=1,H12&gt;0),L12/K12,"n/a")</f>
        <v/>
      </c>
      <c r="AA12" s="15" t="n">
        <v>1</v>
      </c>
      <c r="AB12" s="6">
        <f>IF(AND(C12=1,AA12=1),1+SUMPRODUCT($C$12:$C$19*$AA$12:$AA$19*(($H$12:$H$19&lt;H12)+($H$12:$H$19=H12)*($I$12:$I$19&lt;I12)+($H$12:$H$19=H12)*($I$12:$I$19=I12)*($A$12:$A$19&lt;A12))),0)</f>
        <v/>
      </c>
    </row>
    <row r="13">
      <c r="A13" s="4" t="n">
        <v>2</v>
      </c>
      <c r="B13" s="4" t="inlineStr">
        <is>
          <t>C</t>
        </is>
      </c>
      <c r="C13" s="10">
        <f>IF(SUMPRODUCT(D13:F13,1-$D$5:$F$5)=0,1,0)</f>
        <v/>
      </c>
      <c r="D13" s="4" t="n">
        <v>0</v>
      </c>
      <c r="E13" s="4" t="n">
        <v>0</v>
      </c>
      <c r="F13" s="4" t="n">
        <v>1</v>
      </c>
      <c r="G13" s="6">
        <f>IF(C13=1,1+SUMPRODUCT(D13:F13,$D$9:$F$9),"")</f>
        <v/>
      </c>
      <c r="H13" s="6">
        <f>SUMPRODUCT(D13:F13,$D$6:$F$6)</f>
        <v/>
      </c>
      <c r="I13" s="6">
        <f>SUMPRODUCT(D13:F13,$D$7:$F$7)</f>
        <v/>
      </c>
      <c r="J13" s="24">
        <f>SUMPRODUCT(D13:F13,$D$8:$F$8)</f>
        <v/>
      </c>
      <c r="K13" s="20">
        <f>H13/10^in_out_dp</f>
        <v/>
      </c>
      <c r="L13" s="25">
        <f>I13/10^in_cost_dp</f>
        <v/>
      </c>
      <c r="M13" s="10">
        <f>IF(SUM(D13:F13)=0,1,0)</f>
        <v/>
      </c>
      <c r="N13" s="10">
        <f>SUMPRODUCT($C$12:$C$19*(($H$12:$H$19=H13)*($I$12:$I$19&lt;I13)+($H$12:$H$19&gt;H13)*($I$12:$I$19&lt;=I13)))</f>
        <v/>
      </c>
      <c r="O13" s="10">
        <f>IF(C13=0,0,IF(OR(M13=1,N13=0),1,0))</f>
        <v/>
      </c>
      <c r="P13" s="10">
        <f>IF(AND(O13=1,M13=0,H13&gt;0),1,0)</f>
        <v/>
      </c>
      <c r="Q13" s="29">
        <f>IF(P13=1,MAX(I13/H13,SUMPRODUCT(MAX(((I13-$I$12:$I$19)*($P$12:$P$19*($H$12:$H$19&lt;H13)))/((H13-$H$12:$H$19)*($P$12:$P$19*($H$12:$H$19&lt;H13))+1-($P$12:$P$19*($H$12:$H$19&lt;H13)))-(1-($P$12:$P$19*($H$12:$H$19&lt;H13)))*1E+300))),0)</f>
        <v/>
      </c>
      <c r="R13" s="29">
        <f>IF(P13=1,SUMPRODUCT(MIN(((($I$12:$I$19-I13)*($P$12:$P$19*($H$12:$H$19&gt;H13)))/(($H$12:$H$19-H13)*($P$12:$P$19*($H$12:$H$19&gt;H13))+1-($P$12:$P$19*($H$12:$H$19&gt;H13)))+(1-($P$12:$P$19*($H$12:$H$19&gt;H13)))*1E+300))),0)</f>
        <v/>
      </c>
      <c r="S13" s="10">
        <f>IF(C13=0,0,IF(M13=1,1,IF(AND(P13=1,Q13&lt;=R13),1,0)))</f>
        <v/>
      </c>
      <c r="T13" s="10">
        <f>IF(S13=1,1+SUMPRODUCT($S$12:$S$19*(($H$12:$H$19&lt;H13)+($H$12:$H$19=H13)*($A$12:$A$19&lt;A13))),0)</f>
        <v/>
      </c>
      <c r="U13" s="10">
        <f>IF(T13&lt;=1,0,SUMPRODUCT(($T$12:$T$19=T13-1)*$H$12:$H$19))</f>
        <v/>
      </c>
      <c r="V13" s="10">
        <f>IF(T13&lt;=1,0,SUMPRODUCT(($T$12:$T$19=T13-1)*$I$12:$I$19))</f>
        <v/>
      </c>
      <c r="W13" s="20">
        <f>IF(T13=0,"",(H13-U13)/10^in_out_dp)</f>
        <v/>
      </c>
      <c r="X13" s="25">
        <f>IF(T13=0,"",(I13-V13)/10^in_cost_dp)</f>
        <v/>
      </c>
      <c r="Y13" s="25">
        <f>IF(T13=0,"",IF(H13=U13,0,X13/W13))</f>
        <v/>
      </c>
      <c r="Z13" s="25">
        <f>IF(AND(C13=1,H13&gt;0),L13/K13,"n/a")</f>
        <v/>
      </c>
      <c r="AA13" s="15" t="n">
        <v>0</v>
      </c>
      <c r="AB13" s="6">
        <f>IF(AND(C13=1,AA13=1),1+SUMPRODUCT($C$12:$C$19*$AA$12:$AA$19*(($H$12:$H$19&lt;H13)+($H$12:$H$19=H13)*($I$12:$I$19&lt;I13)+($H$12:$H$19=H13)*($I$12:$I$19=I13)*($A$12:$A$19&lt;A13))),0)</f>
        <v/>
      </c>
    </row>
    <row r="14">
      <c r="A14" s="4" t="n">
        <v>3</v>
      </c>
      <c r="B14" s="4" t="inlineStr">
        <is>
          <t>B</t>
        </is>
      </c>
      <c r="C14" s="10">
        <f>IF(SUMPRODUCT(D14:F14,1-$D$5:$F$5)=0,1,0)</f>
        <v/>
      </c>
      <c r="D14" s="4" t="n">
        <v>0</v>
      </c>
      <c r="E14" s="4" t="n">
        <v>1</v>
      </c>
      <c r="F14" s="4" t="n">
        <v>0</v>
      </c>
      <c r="G14" s="6">
        <f>IF(C14=1,1+SUMPRODUCT(D14:F14,$D$9:$F$9),"")</f>
        <v/>
      </c>
      <c r="H14" s="6">
        <f>SUMPRODUCT(D14:F14,$D$6:$F$6)</f>
        <v/>
      </c>
      <c r="I14" s="6">
        <f>SUMPRODUCT(D14:F14,$D$7:$F$7)</f>
        <v/>
      </c>
      <c r="J14" s="24">
        <f>SUMPRODUCT(D14:F14,$D$8:$F$8)</f>
        <v/>
      </c>
      <c r="K14" s="20">
        <f>H14/10^in_out_dp</f>
        <v/>
      </c>
      <c r="L14" s="25">
        <f>I14/10^in_cost_dp</f>
        <v/>
      </c>
      <c r="M14" s="10">
        <f>IF(SUM(D14:F14)=0,1,0)</f>
        <v/>
      </c>
      <c r="N14" s="10">
        <f>SUMPRODUCT($C$12:$C$19*(($H$12:$H$19=H14)*($I$12:$I$19&lt;I14)+($H$12:$H$19&gt;H14)*($I$12:$I$19&lt;=I14)))</f>
        <v/>
      </c>
      <c r="O14" s="10">
        <f>IF(C14=0,0,IF(OR(M14=1,N14=0),1,0))</f>
        <v/>
      </c>
      <c r="P14" s="10">
        <f>IF(AND(O14=1,M14=0,H14&gt;0),1,0)</f>
        <v/>
      </c>
      <c r="Q14" s="29">
        <f>IF(P14=1,MAX(I14/H14,SUMPRODUCT(MAX(((I14-$I$12:$I$19)*($P$12:$P$19*($H$12:$H$19&lt;H14)))/((H14-$H$12:$H$19)*($P$12:$P$19*($H$12:$H$19&lt;H14))+1-($P$12:$P$19*($H$12:$H$19&lt;H14)))-(1-($P$12:$P$19*($H$12:$H$19&lt;H14)))*1E+300))),0)</f>
        <v/>
      </c>
      <c r="R14" s="29">
        <f>IF(P14=1,SUMPRODUCT(MIN(((($I$12:$I$19-I14)*($P$12:$P$19*($H$12:$H$19&gt;H14)))/(($H$12:$H$19-H14)*($P$12:$P$19*($H$12:$H$19&gt;H14))+1-($P$12:$P$19*($H$12:$H$19&gt;H14)))+(1-($P$12:$P$19*($H$12:$H$19&gt;H14)))*1E+300))),0)</f>
        <v/>
      </c>
      <c r="S14" s="10">
        <f>IF(C14=0,0,IF(M14=1,1,IF(AND(P14=1,Q14&lt;=R14),1,0)))</f>
        <v/>
      </c>
      <c r="T14" s="10">
        <f>IF(S14=1,1+SUMPRODUCT($S$12:$S$19*(($H$12:$H$19&lt;H14)+($H$12:$H$19=H14)*($A$12:$A$19&lt;A14))),0)</f>
        <v/>
      </c>
      <c r="U14" s="10">
        <f>IF(T14&lt;=1,0,SUMPRODUCT(($T$12:$T$19=T14-1)*$H$12:$H$19))</f>
        <v/>
      </c>
      <c r="V14" s="10">
        <f>IF(T14&lt;=1,0,SUMPRODUCT(($T$12:$T$19=T14-1)*$I$12:$I$19))</f>
        <v/>
      </c>
      <c r="W14" s="20">
        <f>IF(T14=0,"",(H14-U14)/10^in_out_dp)</f>
        <v/>
      </c>
      <c r="X14" s="25">
        <f>IF(T14=0,"",(I14-V14)/10^in_cost_dp)</f>
        <v/>
      </c>
      <c r="Y14" s="25">
        <f>IF(T14=0,"",IF(H14=U14,0,X14/W14))</f>
        <v/>
      </c>
      <c r="Z14" s="25">
        <f>IF(AND(C14=1,H14&gt;0),L14/K14,"n/a")</f>
        <v/>
      </c>
      <c r="AA14" s="15" t="n">
        <v>1</v>
      </c>
      <c r="AB14" s="6">
        <f>IF(AND(C14=1,AA14=1),1+SUMPRODUCT($C$12:$C$19*$AA$12:$AA$19*(($H$12:$H$19&lt;H14)+($H$12:$H$19=H14)*($I$12:$I$19&lt;I14)+($H$12:$H$19=H14)*($I$12:$I$19=I14)*($A$12:$A$19&lt;A14))),0)</f>
        <v/>
      </c>
    </row>
    <row r="15">
      <c r="A15" s="4" t="n">
        <v>4</v>
      </c>
      <c r="B15" s="4" t="inlineStr">
        <is>
          <t>B + C</t>
        </is>
      </c>
      <c r="C15" s="10">
        <f>IF(SUMPRODUCT(D15:F15,1-$D$5:$F$5)=0,1,0)</f>
        <v/>
      </c>
      <c r="D15" s="4" t="n">
        <v>0</v>
      </c>
      <c r="E15" s="4" t="n">
        <v>1</v>
      </c>
      <c r="F15" s="4" t="n">
        <v>1</v>
      </c>
      <c r="G15" s="6">
        <f>IF(C15=1,1+SUMPRODUCT(D15:F15,$D$9:$F$9),"")</f>
        <v/>
      </c>
      <c r="H15" s="6">
        <f>SUMPRODUCT(D15:F15,$D$6:$F$6)</f>
        <v/>
      </c>
      <c r="I15" s="6">
        <f>SUMPRODUCT(D15:F15,$D$7:$F$7)</f>
        <v/>
      </c>
      <c r="J15" s="24">
        <f>SUMPRODUCT(D15:F15,$D$8:$F$8)</f>
        <v/>
      </c>
      <c r="K15" s="20">
        <f>H15/10^in_out_dp</f>
        <v/>
      </c>
      <c r="L15" s="25">
        <f>I15/10^in_cost_dp</f>
        <v/>
      </c>
      <c r="M15" s="10">
        <f>IF(SUM(D15:F15)=0,1,0)</f>
        <v/>
      </c>
      <c r="N15" s="10">
        <f>SUMPRODUCT($C$12:$C$19*(($H$12:$H$19=H15)*($I$12:$I$19&lt;I15)+($H$12:$H$19&gt;H15)*($I$12:$I$19&lt;=I15)))</f>
        <v/>
      </c>
      <c r="O15" s="10">
        <f>IF(C15=0,0,IF(OR(M15=1,N15=0),1,0))</f>
        <v/>
      </c>
      <c r="P15" s="10">
        <f>IF(AND(O15=1,M15=0,H15&gt;0),1,0)</f>
        <v/>
      </c>
      <c r="Q15" s="29">
        <f>IF(P15=1,MAX(I15/H15,SUMPRODUCT(MAX(((I15-$I$12:$I$19)*($P$12:$P$19*($H$12:$H$19&lt;H15)))/((H15-$H$12:$H$19)*($P$12:$P$19*($H$12:$H$19&lt;H15))+1-($P$12:$P$19*($H$12:$H$19&lt;H15)))-(1-($P$12:$P$19*($H$12:$H$19&lt;H15)))*1E+300))),0)</f>
        <v/>
      </c>
      <c r="R15" s="29">
        <f>IF(P15=1,SUMPRODUCT(MIN(((($I$12:$I$19-I15)*($P$12:$P$19*($H$12:$H$19&gt;H15)))/(($H$12:$H$19-H15)*($P$12:$P$19*($H$12:$H$19&gt;H15))+1-($P$12:$P$19*($H$12:$H$19&gt;H15)))+(1-($P$12:$P$19*($H$12:$H$19&gt;H15)))*1E+300))),0)</f>
        <v/>
      </c>
      <c r="S15" s="10">
        <f>IF(C15=0,0,IF(M15=1,1,IF(AND(P15=1,Q15&lt;=R15),1,0)))</f>
        <v/>
      </c>
      <c r="T15" s="10">
        <f>IF(S15=1,1+SUMPRODUCT($S$12:$S$19*(($H$12:$H$19&lt;H15)+($H$12:$H$19=H15)*($A$12:$A$19&lt;A15))),0)</f>
        <v/>
      </c>
      <c r="U15" s="10">
        <f>IF(T15&lt;=1,0,SUMPRODUCT(($T$12:$T$19=T15-1)*$H$12:$H$19))</f>
        <v/>
      </c>
      <c r="V15" s="10">
        <f>IF(T15&lt;=1,0,SUMPRODUCT(($T$12:$T$19=T15-1)*$I$12:$I$19))</f>
        <v/>
      </c>
      <c r="W15" s="20">
        <f>IF(T15=0,"",(H15-U15)/10^in_out_dp)</f>
        <v/>
      </c>
      <c r="X15" s="25">
        <f>IF(T15=0,"",(I15-V15)/10^in_cost_dp)</f>
        <v/>
      </c>
      <c r="Y15" s="25">
        <f>IF(T15=0,"",IF(H15=U15,0,X15/W15))</f>
        <v/>
      </c>
      <c r="Z15" s="25">
        <f>IF(AND(C15=1,H15&gt;0),L15/K15,"n/a")</f>
        <v/>
      </c>
      <c r="AA15" s="15" t="n">
        <v>0</v>
      </c>
      <c r="AB15" s="6">
        <f>IF(AND(C15=1,AA15=1),1+SUMPRODUCT($C$12:$C$19*$AA$12:$AA$19*(($H$12:$H$19&lt;H15)+($H$12:$H$19=H15)*($I$12:$I$19&lt;I15)+($H$12:$H$19=H15)*($I$12:$I$19=I15)*($A$12:$A$19&lt;A15))),0)</f>
        <v/>
      </c>
    </row>
    <row r="16">
      <c r="A16" s="4" t="n">
        <v>5</v>
      </c>
      <c r="B16" s="4" t="inlineStr">
        <is>
          <t>A</t>
        </is>
      </c>
      <c r="C16" s="10">
        <f>IF(SUMPRODUCT(D16:F16,1-$D$5:$F$5)=0,1,0)</f>
        <v/>
      </c>
      <c r="D16" s="4" t="n">
        <v>1</v>
      </c>
      <c r="E16" s="4" t="n">
        <v>0</v>
      </c>
      <c r="F16" s="4" t="n">
        <v>0</v>
      </c>
      <c r="G16" s="6">
        <f>IF(C16=1,1+SUMPRODUCT(D16:F16,$D$9:$F$9),"")</f>
        <v/>
      </c>
      <c r="H16" s="6">
        <f>SUMPRODUCT(D16:F16,$D$6:$F$6)</f>
        <v/>
      </c>
      <c r="I16" s="6">
        <f>SUMPRODUCT(D16:F16,$D$7:$F$7)</f>
        <v/>
      </c>
      <c r="J16" s="24">
        <f>SUMPRODUCT(D16:F16,$D$8:$F$8)</f>
        <v/>
      </c>
      <c r="K16" s="20">
        <f>H16/10^in_out_dp</f>
        <v/>
      </c>
      <c r="L16" s="25">
        <f>I16/10^in_cost_dp</f>
        <v/>
      </c>
      <c r="M16" s="10">
        <f>IF(SUM(D16:F16)=0,1,0)</f>
        <v/>
      </c>
      <c r="N16" s="10">
        <f>SUMPRODUCT($C$12:$C$19*(($H$12:$H$19=H16)*($I$12:$I$19&lt;I16)+($H$12:$H$19&gt;H16)*($I$12:$I$19&lt;=I16)))</f>
        <v/>
      </c>
      <c r="O16" s="10">
        <f>IF(C16=0,0,IF(OR(M16=1,N16=0),1,0))</f>
        <v/>
      </c>
      <c r="P16" s="10">
        <f>IF(AND(O16=1,M16=0,H16&gt;0),1,0)</f>
        <v/>
      </c>
      <c r="Q16" s="29">
        <f>IF(P16=1,MAX(I16/H16,SUMPRODUCT(MAX(((I16-$I$12:$I$19)*($P$12:$P$19*($H$12:$H$19&lt;H16)))/((H16-$H$12:$H$19)*($P$12:$P$19*($H$12:$H$19&lt;H16))+1-($P$12:$P$19*($H$12:$H$19&lt;H16)))-(1-($P$12:$P$19*($H$12:$H$19&lt;H16)))*1E+300))),0)</f>
        <v/>
      </c>
      <c r="R16" s="29">
        <f>IF(P16=1,SUMPRODUCT(MIN(((($I$12:$I$19-I16)*($P$12:$P$19*($H$12:$H$19&gt;H16)))/(($H$12:$H$19-H16)*($P$12:$P$19*($H$12:$H$19&gt;H16))+1-($P$12:$P$19*($H$12:$H$19&gt;H16)))+(1-($P$12:$P$19*($H$12:$H$19&gt;H16)))*1E+300))),0)</f>
        <v/>
      </c>
      <c r="S16" s="10">
        <f>IF(C16=0,0,IF(M16=1,1,IF(AND(P16=1,Q16&lt;=R16),1,0)))</f>
        <v/>
      </c>
      <c r="T16" s="10">
        <f>IF(S16=1,1+SUMPRODUCT($S$12:$S$19*(($H$12:$H$19&lt;H16)+($H$12:$H$19=H16)*($A$12:$A$19&lt;A16))),0)</f>
        <v/>
      </c>
      <c r="U16" s="10">
        <f>IF(T16&lt;=1,0,SUMPRODUCT(($T$12:$T$19=T16-1)*$H$12:$H$19))</f>
        <v/>
      </c>
      <c r="V16" s="10">
        <f>IF(T16&lt;=1,0,SUMPRODUCT(($T$12:$T$19=T16-1)*$I$12:$I$19))</f>
        <v/>
      </c>
      <c r="W16" s="20">
        <f>IF(T16=0,"",(H16-U16)/10^in_out_dp)</f>
        <v/>
      </c>
      <c r="X16" s="25">
        <f>IF(T16=0,"",(I16-V16)/10^in_cost_dp)</f>
        <v/>
      </c>
      <c r="Y16" s="25">
        <f>IF(T16=0,"",IF(H16=U16,0,X16/W16))</f>
        <v/>
      </c>
      <c r="Z16" s="25">
        <f>IF(AND(C16=1,H16&gt;0),L16/K16,"n/a")</f>
        <v/>
      </c>
      <c r="AA16" s="15" t="n">
        <v>0</v>
      </c>
      <c r="AB16" s="6">
        <f>IF(AND(C16=1,AA16=1),1+SUMPRODUCT($C$12:$C$19*$AA$12:$AA$19*(($H$12:$H$19&lt;H16)+($H$12:$H$19=H16)*($I$12:$I$19&lt;I16)+($H$12:$H$19=H16)*($I$12:$I$19=I16)*($A$12:$A$19&lt;A16))),0)</f>
        <v/>
      </c>
    </row>
    <row r="17">
      <c r="A17" s="4" t="n">
        <v>6</v>
      </c>
      <c r="B17" s="4" t="inlineStr">
        <is>
          <t>A + C</t>
        </is>
      </c>
      <c r="C17" s="10">
        <f>IF(SUMPRODUCT(D17:F17,1-$D$5:$F$5)=0,1,0)</f>
        <v/>
      </c>
      <c r="D17" s="4" t="n">
        <v>1</v>
      </c>
      <c r="E17" s="4" t="n">
        <v>0</v>
      </c>
      <c r="F17" s="4" t="n">
        <v>1</v>
      </c>
      <c r="G17" s="6">
        <f>IF(C17=1,1+SUMPRODUCT(D17:F17,$D$9:$F$9),"")</f>
        <v/>
      </c>
      <c r="H17" s="6">
        <f>SUMPRODUCT(D17:F17,$D$6:$F$6)</f>
        <v/>
      </c>
      <c r="I17" s="6">
        <f>SUMPRODUCT(D17:F17,$D$7:$F$7)</f>
        <v/>
      </c>
      <c r="J17" s="24">
        <f>SUMPRODUCT(D17:F17,$D$8:$F$8)</f>
        <v/>
      </c>
      <c r="K17" s="20">
        <f>H17/10^in_out_dp</f>
        <v/>
      </c>
      <c r="L17" s="25">
        <f>I17/10^in_cost_dp</f>
        <v/>
      </c>
      <c r="M17" s="10">
        <f>IF(SUM(D17:F17)=0,1,0)</f>
        <v/>
      </c>
      <c r="N17" s="10">
        <f>SUMPRODUCT($C$12:$C$19*(($H$12:$H$19=H17)*($I$12:$I$19&lt;I17)+($H$12:$H$19&gt;H17)*($I$12:$I$19&lt;=I17)))</f>
        <v/>
      </c>
      <c r="O17" s="10">
        <f>IF(C17=0,0,IF(OR(M17=1,N17=0),1,0))</f>
        <v/>
      </c>
      <c r="P17" s="10">
        <f>IF(AND(O17=1,M17=0,H17&gt;0),1,0)</f>
        <v/>
      </c>
      <c r="Q17" s="29">
        <f>IF(P17=1,MAX(I17/H17,SUMPRODUCT(MAX(((I17-$I$12:$I$19)*($P$12:$P$19*($H$12:$H$19&lt;H17)))/((H17-$H$12:$H$19)*($P$12:$P$19*($H$12:$H$19&lt;H17))+1-($P$12:$P$19*($H$12:$H$19&lt;H17)))-(1-($P$12:$P$19*($H$12:$H$19&lt;H17)))*1E+300))),0)</f>
        <v/>
      </c>
      <c r="R17" s="29">
        <f>IF(P17=1,SUMPRODUCT(MIN(((($I$12:$I$19-I17)*($P$12:$P$19*($H$12:$H$19&gt;H17)))/(($H$12:$H$19-H17)*($P$12:$P$19*($H$12:$H$19&gt;H17))+1-($P$12:$P$19*($H$12:$H$19&gt;H17)))+(1-($P$12:$P$19*($H$12:$H$19&gt;H17)))*1E+300))),0)</f>
        <v/>
      </c>
      <c r="S17" s="10">
        <f>IF(C17=0,0,IF(M17=1,1,IF(AND(P17=1,Q17&lt;=R17),1,0)))</f>
        <v/>
      </c>
      <c r="T17" s="10">
        <f>IF(S17=1,1+SUMPRODUCT($S$12:$S$19*(($H$12:$H$19&lt;H17)+($H$12:$H$19=H17)*($A$12:$A$19&lt;A17))),0)</f>
        <v/>
      </c>
      <c r="U17" s="10">
        <f>IF(T17&lt;=1,0,SUMPRODUCT(($T$12:$T$19=T17-1)*$H$12:$H$19))</f>
        <v/>
      </c>
      <c r="V17" s="10">
        <f>IF(T17&lt;=1,0,SUMPRODUCT(($T$12:$T$19=T17-1)*$I$12:$I$19))</f>
        <v/>
      </c>
      <c r="W17" s="20">
        <f>IF(T17=0,"",(H17-U17)/10^in_out_dp)</f>
        <v/>
      </c>
      <c r="X17" s="25">
        <f>IF(T17=0,"",(I17-V17)/10^in_cost_dp)</f>
        <v/>
      </c>
      <c r="Y17" s="25">
        <f>IF(T17=0,"",IF(H17=U17,0,X17/W17))</f>
        <v/>
      </c>
      <c r="Z17" s="25">
        <f>IF(AND(C17=1,H17&gt;0),L17/K17,"n/a")</f>
        <v/>
      </c>
      <c r="AA17" s="15" t="n">
        <v>0</v>
      </c>
      <c r="AB17" s="6">
        <f>IF(AND(C17=1,AA17=1),1+SUMPRODUCT($C$12:$C$19*$AA$12:$AA$19*(($H$12:$H$19&lt;H17)+($H$12:$H$19=H17)*($I$12:$I$19&lt;I17)+($H$12:$H$19=H17)*($I$12:$I$19=I17)*($A$12:$A$19&lt;A17))),0)</f>
        <v/>
      </c>
    </row>
    <row r="18">
      <c r="A18" s="4" t="n">
        <v>7</v>
      </c>
      <c r="B18" s="4" t="inlineStr">
        <is>
          <t>A + B</t>
        </is>
      </c>
      <c r="C18" s="10">
        <f>IF(SUMPRODUCT(D18:F18,1-$D$5:$F$5)=0,1,0)</f>
        <v/>
      </c>
      <c r="D18" s="4" t="n">
        <v>1</v>
      </c>
      <c r="E18" s="4" t="n">
        <v>1</v>
      </c>
      <c r="F18" s="4" t="n">
        <v>0</v>
      </c>
      <c r="G18" s="6">
        <f>IF(C18=1,1+SUMPRODUCT(D18:F18,$D$9:$F$9),"")</f>
        <v/>
      </c>
      <c r="H18" s="6">
        <f>SUMPRODUCT(D18:F18,$D$6:$F$6)</f>
        <v/>
      </c>
      <c r="I18" s="6">
        <f>SUMPRODUCT(D18:F18,$D$7:$F$7)</f>
        <v/>
      </c>
      <c r="J18" s="24">
        <f>SUMPRODUCT(D18:F18,$D$8:$F$8)</f>
        <v/>
      </c>
      <c r="K18" s="20">
        <f>H18/10^in_out_dp</f>
        <v/>
      </c>
      <c r="L18" s="25">
        <f>I18/10^in_cost_dp</f>
        <v/>
      </c>
      <c r="M18" s="10">
        <f>IF(SUM(D18:F18)=0,1,0)</f>
        <v/>
      </c>
      <c r="N18" s="10">
        <f>SUMPRODUCT($C$12:$C$19*(($H$12:$H$19=H18)*($I$12:$I$19&lt;I18)+($H$12:$H$19&gt;H18)*($I$12:$I$19&lt;=I18)))</f>
        <v/>
      </c>
      <c r="O18" s="10">
        <f>IF(C18=0,0,IF(OR(M18=1,N18=0),1,0))</f>
        <v/>
      </c>
      <c r="P18" s="10">
        <f>IF(AND(O18=1,M18=0,H18&gt;0),1,0)</f>
        <v/>
      </c>
      <c r="Q18" s="29">
        <f>IF(P18=1,MAX(I18/H18,SUMPRODUCT(MAX(((I18-$I$12:$I$19)*($P$12:$P$19*($H$12:$H$19&lt;H18)))/((H18-$H$12:$H$19)*($P$12:$P$19*($H$12:$H$19&lt;H18))+1-($P$12:$P$19*($H$12:$H$19&lt;H18)))-(1-($P$12:$P$19*($H$12:$H$19&lt;H18)))*1E+300))),0)</f>
        <v/>
      </c>
      <c r="R18" s="29">
        <f>IF(P18=1,SUMPRODUCT(MIN(((($I$12:$I$19-I18)*($P$12:$P$19*($H$12:$H$19&gt;H18)))/(($H$12:$H$19-H18)*($P$12:$P$19*($H$12:$H$19&gt;H18))+1-($P$12:$P$19*($H$12:$H$19&gt;H18)))+(1-($P$12:$P$19*($H$12:$H$19&gt;H18)))*1E+300))),0)</f>
        <v/>
      </c>
      <c r="S18" s="10">
        <f>IF(C18=0,0,IF(M18=1,1,IF(AND(P18=1,Q18&lt;=R18),1,0)))</f>
        <v/>
      </c>
      <c r="T18" s="10">
        <f>IF(S18=1,1+SUMPRODUCT($S$12:$S$19*(($H$12:$H$19&lt;H18)+($H$12:$H$19=H18)*($A$12:$A$19&lt;A18))),0)</f>
        <v/>
      </c>
      <c r="U18" s="10">
        <f>IF(T18&lt;=1,0,SUMPRODUCT(($T$12:$T$19=T18-1)*$H$12:$H$19))</f>
        <v/>
      </c>
      <c r="V18" s="10">
        <f>IF(T18&lt;=1,0,SUMPRODUCT(($T$12:$T$19=T18-1)*$I$12:$I$19))</f>
        <v/>
      </c>
      <c r="W18" s="20">
        <f>IF(T18=0,"",(H18-U18)/10^in_out_dp)</f>
        <v/>
      </c>
      <c r="X18" s="25">
        <f>IF(T18=0,"",(I18-V18)/10^in_cost_dp)</f>
        <v/>
      </c>
      <c r="Y18" s="25">
        <f>IF(T18=0,"",IF(H18=U18,0,X18/W18))</f>
        <v/>
      </c>
      <c r="Z18" s="25">
        <f>IF(AND(C18=1,H18&gt;0),L18/K18,"n/a")</f>
        <v/>
      </c>
      <c r="AA18" s="15" t="n">
        <v>1</v>
      </c>
      <c r="AB18" s="6">
        <f>IF(AND(C18=1,AA18=1),1+SUMPRODUCT($C$12:$C$19*$AA$12:$AA$19*(($H$12:$H$19&lt;H18)+($H$12:$H$19=H18)*($I$12:$I$19&lt;I18)+($H$12:$H$19=H18)*($I$12:$I$19=I18)*($A$12:$A$19&lt;A18))),0)</f>
        <v/>
      </c>
    </row>
    <row r="19">
      <c r="A19" s="4" t="n">
        <v>8</v>
      </c>
      <c r="B19" s="4" t="inlineStr">
        <is>
          <t>A + B + C</t>
        </is>
      </c>
      <c r="C19" s="10">
        <f>IF(SUMPRODUCT(D19:F19,1-$D$5:$F$5)=0,1,0)</f>
        <v/>
      </c>
      <c r="D19" s="4" t="n">
        <v>1</v>
      </c>
      <c r="E19" s="4" t="n">
        <v>1</v>
      </c>
      <c r="F19" s="4" t="n">
        <v>1</v>
      </c>
      <c r="G19" s="6">
        <f>IF(C19=1,1+SUMPRODUCT(D19:F19,$D$9:$F$9),"")</f>
        <v/>
      </c>
      <c r="H19" s="6">
        <f>SUMPRODUCT(D19:F19,$D$6:$F$6)</f>
        <v/>
      </c>
      <c r="I19" s="6">
        <f>SUMPRODUCT(D19:F19,$D$7:$F$7)</f>
        <v/>
      </c>
      <c r="J19" s="24">
        <f>SUMPRODUCT(D19:F19,$D$8:$F$8)</f>
        <v/>
      </c>
      <c r="K19" s="20">
        <f>H19/10^in_out_dp</f>
        <v/>
      </c>
      <c r="L19" s="25">
        <f>I19/10^in_cost_dp</f>
        <v/>
      </c>
      <c r="M19" s="10">
        <f>IF(SUM(D19:F19)=0,1,0)</f>
        <v/>
      </c>
      <c r="N19" s="10">
        <f>SUMPRODUCT($C$12:$C$19*(($H$12:$H$19=H19)*($I$12:$I$19&lt;I19)+($H$12:$H$19&gt;H19)*($I$12:$I$19&lt;=I19)))</f>
        <v/>
      </c>
      <c r="O19" s="10">
        <f>IF(C19=0,0,IF(OR(M19=1,N19=0),1,0))</f>
        <v/>
      </c>
      <c r="P19" s="10">
        <f>IF(AND(O19=1,M19=0,H19&gt;0),1,0)</f>
        <v/>
      </c>
      <c r="Q19" s="29">
        <f>IF(P19=1,MAX(I19/H19,SUMPRODUCT(MAX(((I19-$I$12:$I$19)*($P$12:$P$19*($H$12:$H$19&lt;H19)))/((H19-$H$12:$H$19)*($P$12:$P$19*($H$12:$H$19&lt;H19))+1-($P$12:$P$19*($H$12:$H$19&lt;H19)))-(1-($P$12:$P$19*($H$12:$H$19&lt;H19)))*1E+300))),0)</f>
        <v/>
      </c>
      <c r="R19" s="29">
        <f>IF(P19=1,SUMPRODUCT(MIN(((($I$12:$I$19-I19)*($P$12:$P$19*($H$12:$H$19&gt;H19)))/(($H$12:$H$19-H19)*($P$12:$P$19*($H$12:$H$19&gt;H19))+1-($P$12:$P$19*($H$12:$H$19&gt;H19)))+(1-($P$12:$P$19*($H$12:$H$19&gt;H19)))*1E+300))),0)</f>
        <v/>
      </c>
      <c r="S19" s="10">
        <f>IF(C19=0,0,IF(M19=1,1,IF(AND(P19=1,Q19&lt;=R19),1,0)))</f>
        <v/>
      </c>
      <c r="T19" s="10">
        <f>IF(S19=1,1+SUMPRODUCT($S$12:$S$19*(($H$12:$H$19&lt;H19)+($H$12:$H$19=H19)*($A$12:$A$19&lt;A19))),0)</f>
        <v/>
      </c>
      <c r="U19" s="10">
        <f>IF(T19&lt;=1,0,SUMPRODUCT(($T$12:$T$19=T19-1)*$H$12:$H$19))</f>
        <v/>
      </c>
      <c r="V19" s="10">
        <f>IF(T19&lt;=1,0,SUMPRODUCT(($T$12:$T$19=T19-1)*$I$12:$I$19))</f>
        <v/>
      </c>
      <c r="W19" s="20">
        <f>IF(T19=0,"",(H19-U19)/10^in_out_dp)</f>
        <v/>
      </c>
      <c r="X19" s="25">
        <f>IF(T19=0,"",(I19-V19)/10^in_cost_dp)</f>
        <v/>
      </c>
      <c r="Y19" s="25">
        <f>IF(T19=0,"",IF(H19=U19,0,X19/W19))</f>
        <v/>
      </c>
      <c r="Z19" s="25">
        <f>IF(AND(C19=1,H19&gt;0),L19/K19,"n/a")</f>
        <v/>
      </c>
      <c r="AA19" s="15" t="n">
        <v>1</v>
      </c>
      <c r="AB19" s="6">
        <f>IF(AND(C19=1,AA19=1),1+SUMPRODUCT($C$12:$C$19*$AA$12:$AA$19*(($H$12:$H$19&lt;H19)+($H$12:$H$19=H19)*($I$12:$I$19&lt;I19)+($H$12:$H$19=H19)*($I$12:$I$19=I19)*($A$12:$A$19&lt;A19))),0)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AA12:AA19">
    <cfRule type="expression" priority="1" dxfId="0" stopIfTrue="0">
      <formula>AA12&lt;&gt;'snap Watershed plans'!AA12</formula>
    </cfRule>
  </conditionalFormatting>
  <dataValidations count="1">
    <dataValidation sqref="AA12:AA19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40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50" customWidth="1" min="12" max="12"/>
  </cols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s="7" t="inlineStr">
        <is>
          <t>Best buys</t>
        </is>
      </c>
    </row>
    <row r="5">
      <c r="A5" s="12" t="inlineStr">
        <is>
          <t>Step</t>
        </is>
      </c>
      <c r="B5" s="12" t="inlineStr">
        <is>
          <t>Plan number</t>
        </is>
      </c>
      <c r="C5" s="12" t="inlineStr">
        <is>
          <t>Plan</t>
        </is>
      </c>
      <c r="D5" s="12" t="inlineStr">
        <is>
          <t>Lift (AAHU)</t>
        </is>
      </c>
      <c r="E5" s="12" t="inlineStr">
        <is>
          <t>Average annual cost</t>
        </is>
      </c>
      <c r="F5" s="12" t="inlineStr">
        <is>
          <t>Construction cost</t>
        </is>
      </c>
      <c r="G5" s="12" t="inlineStr">
        <is>
          <t>Unit cost</t>
        </is>
      </c>
      <c r="H5" s="12" t="inlineStr">
        <is>
          <t>Incremental cost per unit</t>
        </is>
      </c>
    </row>
    <row r="6">
      <c r="A6" s="4" t="n">
        <v>1</v>
      </c>
      <c r="B6" s="6">
        <f>IFERROR(INDEX('Watershed plans'!$G$12:$G$19,MATCH(1,'Watershed plans'!$T$12:$T$19,0)),"")</f>
        <v/>
      </c>
      <c r="C6" s="10">
        <f>IFERROR(INDEX('Watershed plans'!$B$12:$B$19,MATCH(1,'Watershed plans'!$T$12:$T$19,0)),"")</f>
        <v/>
      </c>
      <c r="D6" s="20">
        <f>IFERROR(INDEX('Watershed plans'!$K$12:$K$19,MATCH(1,'Watershed plans'!$T$12:$T$19,0)),"")</f>
        <v/>
      </c>
      <c r="E6" s="25">
        <f>IFERROR(INDEX('Watershed plans'!$L$12:$L$19,MATCH(1,'Watershed plans'!$T$12:$T$19,0)),"")</f>
        <v/>
      </c>
      <c r="F6" s="24">
        <f>IFERROR(INDEX('Watershed plans'!$J$12:$J$19,MATCH(1,'Watershed plans'!$T$12:$T$19,0)),"")</f>
        <v/>
      </c>
      <c r="G6" s="25">
        <f>IFERROR(INDEX('Watershed plans'!$Z$12:$Z$19,MATCH(1,'Watershed plans'!$T$12:$T$19,0)),"")</f>
        <v/>
      </c>
      <c r="H6" s="25">
        <f>IFERROR(INDEX('Watershed plans'!$Y$12:$Y$19,MATCH(1,'Watershed plans'!$T$12:$T$19,0)),"")</f>
        <v/>
      </c>
    </row>
    <row r="7">
      <c r="A7" s="4" t="n">
        <v>2</v>
      </c>
      <c r="B7" s="6">
        <f>IFERROR(INDEX('Watershed plans'!$G$12:$G$19,MATCH(2,'Watershed plans'!$T$12:$T$19,0)),"")</f>
        <v/>
      </c>
      <c r="C7" s="10">
        <f>IFERROR(INDEX('Watershed plans'!$B$12:$B$19,MATCH(2,'Watershed plans'!$T$12:$T$19,0)),"")</f>
        <v/>
      </c>
      <c r="D7" s="20">
        <f>IFERROR(INDEX('Watershed plans'!$K$12:$K$19,MATCH(2,'Watershed plans'!$T$12:$T$19,0)),"")</f>
        <v/>
      </c>
      <c r="E7" s="25">
        <f>IFERROR(INDEX('Watershed plans'!$L$12:$L$19,MATCH(2,'Watershed plans'!$T$12:$T$19,0)),"")</f>
        <v/>
      </c>
      <c r="F7" s="24">
        <f>IFERROR(INDEX('Watershed plans'!$J$12:$J$19,MATCH(2,'Watershed plans'!$T$12:$T$19,0)),"")</f>
        <v/>
      </c>
      <c r="G7" s="25">
        <f>IFERROR(INDEX('Watershed plans'!$Z$12:$Z$19,MATCH(2,'Watershed plans'!$T$12:$T$19,0)),"")</f>
        <v/>
      </c>
      <c r="H7" s="25">
        <f>IFERROR(INDEX('Watershed plans'!$Y$12:$Y$19,MATCH(2,'Watershed plans'!$T$12:$T$19,0)),"")</f>
        <v/>
      </c>
    </row>
    <row r="8">
      <c r="A8" s="4" t="n">
        <v>3</v>
      </c>
      <c r="B8" s="6">
        <f>IFERROR(INDEX('Watershed plans'!$G$12:$G$19,MATCH(3,'Watershed plans'!$T$12:$T$19,0)),"")</f>
        <v/>
      </c>
      <c r="C8" s="10">
        <f>IFERROR(INDEX('Watershed plans'!$B$12:$B$19,MATCH(3,'Watershed plans'!$T$12:$T$19,0)),"")</f>
        <v/>
      </c>
      <c r="D8" s="20">
        <f>IFERROR(INDEX('Watershed plans'!$K$12:$K$19,MATCH(3,'Watershed plans'!$T$12:$T$19,0)),"")</f>
        <v/>
      </c>
      <c r="E8" s="25">
        <f>IFERROR(INDEX('Watershed plans'!$L$12:$L$19,MATCH(3,'Watershed plans'!$T$12:$T$19,0)),"")</f>
        <v/>
      </c>
      <c r="F8" s="24">
        <f>IFERROR(INDEX('Watershed plans'!$J$12:$J$19,MATCH(3,'Watershed plans'!$T$12:$T$19,0)),"")</f>
        <v/>
      </c>
      <c r="G8" s="25">
        <f>IFERROR(INDEX('Watershed plans'!$Z$12:$Z$19,MATCH(3,'Watershed plans'!$T$12:$T$19,0)),"")</f>
        <v/>
      </c>
      <c r="H8" s="25">
        <f>IFERROR(INDEX('Watershed plans'!$Y$12:$Y$19,MATCH(3,'Watershed plans'!$T$12:$T$19,0)),"")</f>
        <v/>
      </c>
    </row>
    <row r="9">
      <c r="A9" s="4" t="n">
        <v>4</v>
      </c>
      <c r="B9" s="6">
        <f>IFERROR(INDEX('Watershed plans'!$G$12:$G$19,MATCH(4,'Watershed plans'!$T$12:$T$19,0)),"")</f>
        <v/>
      </c>
      <c r="C9" s="10">
        <f>IFERROR(INDEX('Watershed plans'!$B$12:$B$19,MATCH(4,'Watershed plans'!$T$12:$T$19,0)),"")</f>
        <v/>
      </c>
      <c r="D9" s="20">
        <f>IFERROR(INDEX('Watershed plans'!$K$12:$K$19,MATCH(4,'Watershed plans'!$T$12:$T$19,0)),"")</f>
        <v/>
      </c>
      <c r="E9" s="25">
        <f>IFERROR(INDEX('Watershed plans'!$L$12:$L$19,MATCH(4,'Watershed plans'!$T$12:$T$19,0)),"")</f>
        <v/>
      </c>
      <c r="F9" s="24">
        <f>IFERROR(INDEX('Watershed plans'!$J$12:$J$19,MATCH(4,'Watershed plans'!$T$12:$T$19,0)),"")</f>
        <v/>
      </c>
      <c r="G9" s="25">
        <f>IFERROR(INDEX('Watershed plans'!$Z$12:$Z$19,MATCH(4,'Watershed plans'!$T$12:$T$19,0)),"")</f>
        <v/>
      </c>
      <c r="H9" s="25">
        <f>IFERROR(INDEX('Watershed plans'!$Y$12:$Y$19,MATCH(4,'Watershed plans'!$T$12:$T$19,0)),"")</f>
        <v/>
      </c>
    </row>
    <row r="10">
      <c r="A10" s="4" t="n">
        <v>5</v>
      </c>
      <c r="B10" s="6">
        <f>IFERROR(INDEX('Watershed plans'!$G$12:$G$19,MATCH(5,'Watershed plans'!$T$12:$T$19,0)),"")</f>
        <v/>
      </c>
      <c r="C10" s="10">
        <f>IFERROR(INDEX('Watershed plans'!$B$12:$B$19,MATCH(5,'Watershed plans'!$T$12:$T$19,0)),"")</f>
        <v/>
      </c>
      <c r="D10" s="20">
        <f>IFERROR(INDEX('Watershed plans'!$K$12:$K$19,MATCH(5,'Watershed plans'!$T$12:$T$19,0)),"")</f>
        <v/>
      </c>
      <c r="E10" s="25">
        <f>IFERROR(INDEX('Watershed plans'!$L$12:$L$19,MATCH(5,'Watershed plans'!$T$12:$T$19,0)),"")</f>
        <v/>
      </c>
      <c r="F10" s="24">
        <f>IFERROR(INDEX('Watershed plans'!$J$12:$J$19,MATCH(5,'Watershed plans'!$T$12:$T$19,0)),"")</f>
        <v/>
      </c>
      <c r="G10" s="25">
        <f>IFERROR(INDEX('Watershed plans'!$Z$12:$Z$19,MATCH(5,'Watershed plans'!$T$12:$T$19,0)),"")</f>
        <v/>
      </c>
      <c r="H10" s="25">
        <f>IFERROR(INDEX('Watershed plans'!$Y$12:$Y$19,MATCH(5,'Watershed plans'!$T$12:$T$19,0)),"")</f>
        <v/>
      </c>
    </row>
    <row r="11">
      <c r="A11" s="4" t="n">
        <v>6</v>
      </c>
      <c r="B11" s="6">
        <f>IFERROR(INDEX('Watershed plans'!$G$12:$G$19,MATCH(6,'Watershed plans'!$T$12:$T$19,0)),"")</f>
        <v/>
      </c>
      <c r="C11" s="10">
        <f>IFERROR(INDEX('Watershed plans'!$B$12:$B$19,MATCH(6,'Watershed plans'!$T$12:$T$19,0)),"")</f>
        <v/>
      </c>
      <c r="D11" s="20">
        <f>IFERROR(INDEX('Watershed plans'!$K$12:$K$19,MATCH(6,'Watershed plans'!$T$12:$T$19,0)),"")</f>
        <v/>
      </c>
      <c r="E11" s="25">
        <f>IFERROR(INDEX('Watershed plans'!$L$12:$L$19,MATCH(6,'Watershed plans'!$T$12:$T$19,0)),"")</f>
        <v/>
      </c>
      <c r="F11" s="24">
        <f>IFERROR(INDEX('Watershed plans'!$J$12:$J$19,MATCH(6,'Watershed plans'!$T$12:$T$19,0)),"")</f>
        <v/>
      </c>
      <c r="G11" s="25">
        <f>IFERROR(INDEX('Watershed plans'!$Z$12:$Z$19,MATCH(6,'Watershed plans'!$T$12:$T$19,0)),"")</f>
        <v/>
      </c>
      <c r="H11" s="25">
        <f>IFERROR(INDEX('Watershed plans'!$Y$12:$Y$19,MATCH(6,'Watershed plans'!$T$12:$T$19,0)),"")</f>
        <v/>
      </c>
    </row>
    <row r="12">
      <c r="A12" s="4" t="n">
        <v>7</v>
      </c>
      <c r="B12" s="6">
        <f>IFERROR(INDEX('Watershed plans'!$G$12:$G$19,MATCH(7,'Watershed plans'!$T$12:$T$19,0)),"")</f>
        <v/>
      </c>
      <c r="C12" s="10">
        <f>IFERROR(INDEX('Watershed plans'!$B$12:$B$19,MATCH(7,'Watershed plans'!$T$12:$T$19,0)),"")</f>
        <v/>
      </c>
      <c r="D12" s="20">
        <f>IFERROR(INDEX('Watershed plans'!$K$12:$K$19,MATCH(7,'Watershed plans'!$T$12:$T$19,0)),"")</f>
        <v/>
      </c>
      <c r="E12" s="25">
        <f>IFERROR(INDEX('Watershed plans'!$L$12:$L$19,MATCH(7,'Watershed plans'!$T$12:$T$19,0)),"")</f>
        <v/>
      </c>
      <c r="F12" s="24">
        <f>IFERROR(INDEX('Watershed plans'!$J$12:$J$19,MATCH(7,'Watershed plans'!$T$12:$T$19,0)),"")</f>
        <v/>
      </c>
      <c r="G12" s="25">
        <f>IFERROR(INDEX('Watershed plans'!$Z$12:$Z$19,MATCH(7,'Watershed plans'!$T$12:$T$19,0)),"")</f>
        <v/>
      </c>
      <c r="H12" s="25">
        <f>IFERROR(INDEX('Watershed plans'!$Y$12:$Y$19,MATCH(7,'Watershed plans'!$T$12:$T$19,0)),"")</f>
        <v/>
      </c>
    </row>
    <row r="13">
      <c r="A13" s="4" t="n">
        <v>8</v>
      </c>
      <c r="B13" s="6">
        <f>IFERROR(INDEX('Watershed plans'!$G$12:$G$19,MATCH(8,'Watershed plans'!$T$12:$T$19,0)),"")</f>
        <v/>
      </c>
      <c r="C13" s="10">
        <f>IFERROR(INDEX('Watershed plans'!$B$12:$B$19,MATCH(8,'Watershed plans'!$T$12:$T$19,0)),"")</f>
        <v/>
      </c>
      <c r="D13" s="20">
        <f>IFERROR(INDEX('Watershed plans'!$K$12:$K$19,MATCH(8,'Watershed plans'!$T$12:$T$19,0)),"")</f>
        <v/>
      </c>
      <c r="E13" s="25">
        <f>IFERROR(INDEX('Watershed plans'!$L$12:$L$19,MATCH(8,'Watershed plans'!$T$12:$T$19,0)),"")</f>
        <v/>
      </c>
      <c r="F13" s="24">
        <f>IFERROR(INDEX('Watershed plans'!$J$12:$J$19,MATCH(8,'Watershed plans'!$T$12:$T$19,0)),"")</f>
        <v/>
      </c>
      <c r="G13" s="25">
        <f>IFERROR(INDEX('Watershed plans'!$Z$12:$Z$19,MATCH(8,'Watershed plans'!$T$12:$T$19,0)),"")</f>
        <v/>
      </c>
      <c r="H13" s="25">
        <f>IFERROR(INDEX('Watershed plans'!$Y$12:$Y$19,MATCH(8,'Watershed plans'!$T$12:$T$19,0)),"")</f>
        <v/>
      </c>
    </row>
    <row r="14">
      <c r="A14" s="4" t="n">
        <v>9</v>
      </c>
      <c r="B14" s="6">
        <f>IFERROR(INDEX('Watershed plans'!$G$12:$G$19,MATCH(9,'Watershed plans'!$T$12:$T$19,0)),"")</f>
        <v/>
      </c>
      <c r="C14" s="10">
        <f>IFERROR(INDEX('Watershed plans'!$B$12:$B$19,MATCH(9,'Watershed plans'!$T$12:$T$19,0)),"")</f>
        <v/>
      </c>
      <c r="D14" s="20">
        <f>IFERROR(INDEX('Watershed plans'!$K$12:$K$19,MATCH(9,'Watershed plans'!$T$12:$T$19,0)),"")</f>
        <v/>
      </c>
      <c r="E14" s="25">
        <f>IFERROR(INDEX('Watershed plans'!$L$12:$L$19,MATCH(9,'Watershed plans'!$T$12:$T$19,0)),"")</f>
        <v/>
      </c>
      <c r="F14" s="24">
        <f>IFERROR(INDEX('Watershed plans'!$J$12:$J$19,MATCH(9,'Watershed plans'!$T$12:$T$19,0)),"")</f>
        <v/>
      </c>
      <c r="G14" s="25">
        <f>IFERROR(INDEX('Watershed plans'!$Z$12:$Z$19,MATCH(9,'Watershed plans'!$T$12:$T$19,0)),"")</f>
        <v/>
      </c>
      <c r="H14" s="25">
        <f>IFERROR(INDEX('Watershed plans'!$Y$12:$Y$19,MATCH(9,'Watershed plans'!$T$12:$T$19,0)),"")</f>
        <v/>
      </c>
    </row>
    <row r="15">
      <c r="A15" s="4" t="n">
        <v>10</v>
      </c>
      <c r="B15" s="6">
        <f>IFERROR(INDEX('Watershed plans'!$G$12:$G$19,MATCH(10,'Watershed plans'!$T$12:$T$19,0)),"")</f>
        <v/>
      </c>
      <c r="C15" s="10">
        <f>IFERROR(INDEX('Watershed plans'!$B$12:$B$19,MATCH(10,'Watershed plans'!$T$12:$T$19,0)),"")</f>
        <v/>
      </c>
      <c r="D15" s="20">
        <f>IFERROR(INDEX('Watershed plans'!$K$12:$K$19,MATCH(10,'Watershed plans'!$T$12:$T$19,0)),"")</f>
        <v/>
      </c>
      <c r="E15" s="25">
        <f>IFERROR(INDEX('Watershed plans'!$L$12:$L$19,MATCH(10,'Watershed plans'!$T$12:$T$19,0)),"")</f>
        <v/>
      </c>
      <c r="F15" s="24">
        <f>IFERROR(INDEX('Watershed plans'!$J$12:$J$19,MATCH(10,'Watershed plans'!$T$12:$T$19,0)),"")</f>
        <v/>
      </c>
      <c r="G15" s="25">
        <f>IFERROR(INDEX('Watershed plans'!$Z$12:$Z$19,MATCH(10,'Watershed plans'!$T$12:$T$19,0)),"")</f>
        <v/>
      </c>
      <c r="H15" s="25">
        <f>IFERROR(INDEX('Watershed plans'!$Y$12:$Y$19,MATCH(10,'Watershed plans'!$T$12:$T$19,0)),"")</f>
        <v/>
      </c>
    </row>
    <row r="16">
      <c r="A16" s="4" t="n">
        <v>11</v>
      </c>
      <c r="B16" s="6">
        <f>IFERROR(INDEX('Watershed plans'!$G$12:$G$19,MATCH(11,'Watershed plans'!$T$12:$T$19,0)),"")</f>
        <v/>
      </c>
      <c r="C16" s="10">
        <f>IFERROR(INDEX('Watershed plans'!$B$12:$B$19,MATCH(11,'Watershed plans'!$T$12:$T$19,0)),"")</f>
        <v/>
      </c>
      <c r="D16" s="20">
        <f>IFERROR(INDEX('Watershed plans'!$K$12:$K$19,MATCH(11,'Watershed plans'!$T$12:$T$19,0)),"")</f>
        <v/>
      </c>
      <c r="E16" s="25">
        <f>IFERROR(INDEX('Watershed plans'!$L$12:$L$19,MATCH(11,'Watershed plans'!$T$12:$T$19,0)),"")</f>
        <v/>
      </c>
      <c r="F16" s="24">
        <f>IFERROR(INDEX('Watershed plans'!$J$12:$J$19,MATCH(11,'Watershed plans'!$T$12:$T$19,0)),"")</f>
        <v/>
      </c>
      <c r="G16" s="25">
        <f>IFERROR(INDEX('Watershed plans'!$Z$12:$Z$19,MATCH(11,'Watershed plans'!$T$12:$T$19,0)),"")</f>
        <v/>
      </c>
      <c r="H16" s="25">
        <f>IFERROR(INDEX('Watershed plans'!$Y$12:$Y$19,MATCH(11,'Watershed plans'!$T$12:$T$19,0)),"")</f>
        <v/>
      </c>
    </row>
    <row r="17">
      <c r="A17" s="4" t="n">
        <v>12</v>
      </c>
      <c r="B17" s="6">
        <f>IFERROR(INDEX('Watershed plans'!$G$12:$G$19,MATCH(12,'Watershed plans'!$T$12:$T$19,0)),"")</f>
        <v/>
      </c>
      <c r="C17" s="10">
        <f>IFERROR(INDEX('Watershed plans'!$B$12:$B$19,MATCH(12,'Watershed plans'!$T$12:$T$19,0)),"")</f>
        <v/>
      </c>
      <c r="D17" s="20">
        <f>IFERROR(INDEX('Watershed plans'!$K$12:$K$19,MATCH(12,'Watershed plans'!$T$12:$T$19,0)),"")</f>
        <v/>
      </c>
      <c r="E17" s="25">
        <f>IFERROR(INDEX('Watershed plans'!$L$12:$L$19,MATCH(12,'Watershed plans'!$T$12:$T$19,0)),"")</f>
        <v/>
      </c>
      <c r="F17" s="24">
        <f>IFERROR(INDEX('Watershed plans'!$J$12:$J$19,MATCH(12,'Watershed plans'!$T$12:$T$19,0)),"")</f>
        <v/>
      </c>
      <c r="G17" s="25">
        <f>IFERROR(INDEX('Watershed plans'!$Z$12:$Z$19,MATCH(12,'Watershed plans'!$T$12:$T$19,0)),"")</f>
        <v/>
      </c>
      <c r="H17" s="25">
        <f>IFERROR(INDEX('Watershed plans'!$Y$12:$Y$19,MATCH(12,'Watershed plans'!$T$12:$T$19,0)),"")</f>
        <v/>
      </c>
    </row>
    <row r="18">
      <c r="A18" s="4" t="n">
        <v>13</v>
      </c>
      <c r="B18" s="6">
        <f>IFERROR(INDEX('Watershed plans'!$G$12:$G$19,MATCH(13,'Watershed plans'!$T$12:$T$19,0)),"")</f>
        <v/>
      </c>
      <c r="C18" s="10">
        <f>IFERROR(INDEX('Watershed plans'!$B$12:$B$19,MATCH(13,'Watershed plans'!$T$12:$T$19,0)),"")</f>
        <v/>
      </c>
      <c r="D18" s="20">
        <f>IFERROR(INDEX('Watershed plans'!$K$12:$K$19,MATCH(13,'Watershed plans'!$T$12:$T$19,0)),"")</f>
        <v/>
      </c>
      <c r="E18" s="25">
        <f>IFERROR(INDEX('Watershed plans'!$L$12:$L$19,MATCH(13,'Watershed plans'!$T$12:$T$19,0)),"")</f>
        <v/>
      </c>
      <c r="F18" s="24">
        <f>IFERROR(INDEX('Watershed plans'!$J$12:$J$19,MATCH(13,'Watershed plans'!$T$12:$T$19,0)),"")</f>
        <v/>
      </c>
      <c r="G18" s="25">
        <f>IFERROR(INDEX('Watershed plans'!$Z$12:$Z$19,MATCH(13,'Watershed plans'!$T$12:$T$19,0)),"")</f>
        <v/>
      </c>
      <c r="H18" s="25">
        <f>IFERROR(INDEX('Watershed plans'!$Y$12:$Y$19,MATCH(13,'Watershed plans'!$T$12:$T$19,0)),"")</f>
        <v/>
      </c>
    </row>
    <row r="19">
      <c r="A19" s="4" t="n">
        <v>14</v>
      </c>
      <c r="B19" s="6">
        <f>IFERROR(INDEX('Watershed plans'!$G$12:$G$19,MATCH(14,'Watershed plans'!$T$12:$T$19,0)),"")</f>
        <v/>
      </c>
      <c r="C19" s="10">
        <f>IFERROR(INDEX('Watershed plans'!$B$12:$B$19,MATCH(14,'Watershed plans'!$T$12:$T$19,0)),"")</f>
        <v/>
      </c>
      <c r="D19" s="20">
        <f>IFERROR(INDEX('Watershed plans'!$K$12:$K$19,MATCH(14,'Watershed plans'!$T$12:$T$19,0)),"")</f>
        <v/>
      </c>
      <c r="E19" s="25">
        <f>IFERROR(INDEX('Watershed plans'!$L$12:$L$19,MATCH(14,'Watershed plans'!$T$12:$T$19,0)),"")</f>
        <v/>
      </c>
      <c r="F19" s="24">
        <f>IFERROR(INDEX('Watershed plans'!$J$12:$J$19,MATCH(14,'Watershed plans'!$T$12:$T$19,0)),"")</f>
        <v/>
      </c>
      <c r="G19" s="25">
        <f>IFERROR(INDEX('Watershed plans'!$Z$12:$Z$19,MATCH(14,'Watershed plans'!$T$12:$T$19,0)),"")</f>
        <v/>
      </c>
      <c r="H19" s="25">
        <f>IFERROR(INDEX('Watershed plans'!$Y$12:$Y$19,MATCH(14,'Watershed plans'!$T$12:$T$19,0)),"")</f>
        <v/>
      </c>
    </row>
    <row r="20">
      <c r="A20" s="4" t="n">
        <v>15</v>
      </c>
      <c r="B20" s="6">
        <f>IFERROR(INDEX('Watershed plans'!$G$12:$G$19,MATCH(15,'Watershed plans'!$T$12:$T$19,0)),"")</f>
        <v/>
      </c>
      <c r="C20" s="10">
        <f>IFERROR(INDEX('Watershed plans'!$B$12:$B$19,MATCH(15,'Watershed plans'!$T$12:$T$19,0)),"")</f>
        <v/>
      </c>
      <c r="D20" s="20">
        <f>IFERROR(INDEX('Watershed plans'!$K$12:$K$19,MATCH(15,'Watershed plans'!$T$12:$T$19,0)),"")</f>
        <v/>
      </c>
      <c r="E20" s="25">
        <f>IFERROR(INDEX('Watershed plans'!$L$12:$L$19,MATCH(15,'Watershed plans'!$T$12:$T$19,0)),"")</f>
        <v/>
      </c>
      <c r="F20" s="24">
        <f>IFERROR(INDEX('Watershed plans'!$J$12:$J$19,MATCH(15,'Watershed plans'!$T$12:$T$19,0)),"")</f>
        <v/>
      </c>
      <c r="G20" s="25">
        <f>IFERROR(INDEX('Watershed plans'!$Z$12:$Z$19,MATCH(15,'Watershed plans'!$T$12:$T$19,0)),"")</f>
        <v/>
      </c>
      <c r="H20" s="25">
        <f>IFERROR(INDEX('Watershed plans'!$Y$12:$Y$19,MATCH(15,'Watershed plans'!$T$12:$T$19,0)),"")</f>
        <v/>
      </c>
    </row>
    <row r="21">
      <c r="A21" s="4" t="n">
        <v>16</v>
      </c>
      <c r="B21" s="6">
        <f>IFERROR(INDEX('Watershed plans'!$G$12:$G$19,MATCH(16,'Watershed plans'!$T$12:$T$19,0)),"")</f>
        <v/>
      </c>
      <c r="C21" s="10">
        <f>IFERROR(INDEX('Watershed plans'!$B$12:$B$19,MATCH(16,'Watershed plans'!$T$12:$T$19,0)),"")</f>
        <v/>
      </c>
      <c r="D21" s="20">
        <f>IFERROR(INDEX('Watershed plans'!$K$12:$K$19,MATCH(16,'Watershed plans'!$T$12:$T$19,0)),"")</f>
        <v/>
      </c>
      <c r="E21" s="25">
        <f>IFERROR(INDEX('Watershed plans'!$L$12:$L$19,MATCH(16,'Watershed plans'!$T$12:$T$19,0)),"")</f>
        <v/>
      </c>
      <c r="F21" s="24">
        <f>IFERROR(INDEX('Watershed plans'!$J$12:$J$19,MATCH(16,'Watershed plans'!$T$12:$T$19,0)),"")</f>
        <v/>
      </c>
      <c r="G21" s="25">
        <f>IFERROR(INDEX('Watershed plans'!$Z$12:$Z$19,MATCH(16,'Watershed plans'!$T$12:$T$19,0)),"")</f>
        <v/>
      </c>
      <c r="H21" s="25">
        <f>IFERROR(INDEX('Watershed plans'!$Y$12:$Y$19,MATCH(16,'Watershed plans'!$T$12:$T$19,0)),"")</f>
        <v/>
      </c>
    </row>
    <row r="22">
      <c r="A22" s="4" t="n">
        <v>17</v>
      </c>
      <c r="B22" s="6">
        <f>IFERROR(INDEX('Watershed plans'!$G$12:$G$19,MATCH(17,'Watershed plans'!$T$12:$T$19,0)),"")</f>
        <v/>
      </c>
      <c r="C22" s="10">
        <f>IFERROR(INDEX('Watershed plans'!$B$12:$B$19,MATCH(17,'Watershed plans'!$T$12:$T$19,0)),"")</f>
        <v/>
      </c>
      <c r="D22" s="20">
        <f>IFERROR(INDEX('Watershed plans'!$K$12:$K$19,MATCH(17,'Watershed plans'!$T$12:$T$19,0)),"")</f>
        <v/>
      </c>
      <c r="E22" s="25">
        <f>IFERROR(INDEX('Watershed plans'!$L$12:$L$19,MATCH(17,'Watershed plans'!$T$12:$T$19,0)),"")</f>
        <v/>
      </c>
      <c r="F22" s="24">
        <f>IFERROR(INDEX('Watershed plans'!$J$12:$J$19,MATCH(17,'Watershed plans'!$T$12:$T$19,0)),"")</f>
        <v/>
      </c>
      <c r="G22" s="25">
        <f>IFERROR(INDEX('Watershed plans'!$Z$12:$Z$19,MATCH(17,'Watershed plans'!$T$12:$T$19,0)),"")</f>
        <v/>
      </c>
      <c r="H22" s="25">
        <f>IFERROR(INDEX('Watershed plans'!$Y$12:$Y$19,MATCH(17,'Watershed plans'!$T$12:$T$19,0)),"")</f>
        <v/>
      </c>
    </row>
    <row r="23">
      <c r="A23" s="4" t="n">
        <v>18</v>
      </c>
      <c r="B23" s="6">
        <f>IFERROR(INDEX('Watershed plans'!$G$12:$G$19,MATCH(18,'Watershed plans'!$T$12:$T$19,0)),"")</f>
        <v/>
      </c>
      <c r="C23" s="10">
        <f>IFERROR(INDEX('Watershed plans'!$B$12:$B$19,MATCH(18,'Watershed plans'!$T$12:$T$19,0)),"")</f>
        <v/>
      </c>
      <c r="D23" s="20">
        <f>IFERROR(INDEX('Watershed plans'!$K$12:$K$19,MATCH(18,'Watershed plans'!$T$12:$T$19,0)),"")</f>
        <v/>
      </c>
      <c r="E23" s="25">
        <f>IFERROR(INDEX('Watershed plans'!$L$12:$L$19,MATCH(18,'Watershed plans'!$T$12:$T$19,0)),"")</f>
        <v/>
      </c>
      <c r="F23" s="24">
        <f>IFERROR(INDEX('Watershed plans'!$J$12:$J$19,MATCH(18,'Watershed plans'!$T$12:$T$19,0)),"")</f>
        <v/>
      </c>
      <c r="G23" s="25">
        <f>IFERROR(INDEX('Watershed plans'!$Z$12:$Z$19,MATCH(18,'Watershed plans'!$T$12:$T$19,0)),"")</f>
        <v/>
      </c>
      <c r="H23" s="25">
        <f>IFERROR(INDEX('Watershed plans'!$Y$12:$Y$19,MATCH(18,'Watershed plans'!$T$12:$T$19,0)),"")</f>
        <v/>
      </c>
    </row>
    <row r="24">
      <c r="A24" s="4" t="n">
        <v>19</v>
      </c>
      <c r="B24" s="6">
        <f>IFERROR(INDEX('Watershed plans'!$G$12:$G$19,MATCH(19,'Watershed plans'!$T$12:$T$19,0)),"")</f>
        <v/>
      </c>
      <c r="C24" s="10">
        <f>IFERROR(INDEX('Watershed plans'!$B$12:$B$19,MATCH(19,'Watershed plans'!$T$12:$T$19,0)),"")</f>
        <v/>
      </c>
      <c r="D24" s="20">
        <f>IFERROR(INDEX('Watershed plans'!$K$12:$K$19,MATCH(19,'Watershed plans'!$T$12:$T$19,0)),"")</f>
        <v/>
      </c>
      <c r="E24" s="25">
        <f>IFERROR(INDEX('Watershed plans'!$L$12:$L$19,MATCH(19,'Watershed plans'!$T$12:$T$19,0)),"")</f>
        <v/>
      </c>
      <c r="F24" s="24">
        <f>IFERROR(INDEX('Watershed plans'!$J$12:$J$19,MATCH(19,'Watershed plans'!$T$12:$T$19,0)),"")</f>
        <v/>
      </c>
      <c r="G24" s="25">
        <f>IFERROR(INDEX('Watershed plans'!$Z$12:$Z$19,MATCH(19,'Watershed plans'!$T$12:$T$19,0)),"")</f>
        <v/>
      </c>
      <c r="H24" s="25">
        <f>IFERROR(INDEX('Watershed plans'!$Y$12:$Y$19,MATCH(19,'Watershed plans'!$T$12:$T$19,0)),"")</f>
        <v/>
      </c>
    </row>
    <row r="25">
      <c r="A25" s="4" t="n">
        <v>20</v>
      </c>
      <c r="B25" s="6">
        <f>IFERROR(INDEX('Watershed plans'!$G$12:$G$19,MATCH(20,'Watershed plans'!$T$12:$T$19,0)),"")</f>
        <v/>
      </c>
      <c r="C25" s="10">
        <f>IFERROR(INDEX('Watershed plans'!$B$12:$B$19,MATCH(20,'Watershed plans'!$T$12:$T$19,0)),"")</f>
        <v/>
      </c>
      <c r="D25" s="20">
        <f>IFERROR(INDEX('Watershed plans'!$K$12:$K$19,MATCH(20,'Watershed plans'!$T$12:$T$19,0)),"")</f>
        <v/>
      </c>
      <c r="E25" s="25">
        <f>IFERROR(INDEX('Watershed plans'!$L$12:$L$19,MATCH(20,'Watershed plans'!$T$12:$T$19,0)),"")</f>
        <v/>
      </c>
      <c r="F25" s="24">
        <f>IFERROR(INDEX('Watershed plans'!$J$12:$J$19,MATCH(20,'Watershed plans'!$T$12:$T$19,0)),"")</f>
        <v/>
      </c>
      <c r="G25" s="25">
        <f>IFERROR(INDEX('Watershed plans'!$Z$12:$Z$19,MATCH(20,'Watershed plans'!$T$12:$T$19,0)),"")</f>
        <v/>
      </c>
      <c r="H25" s="25">
        <f>IFERROR(INDEX('Watershed plans'!$Y$12:$Y$19,MATCH(20,'Watershed plans'!$T$12:$T$19,0)),"")</f>
        <v/>
      </c>
    </row>
    <row r="26">
      <c r="A26" s="4" t="n">
        <v>21</v>
      </c>
      <c r="B26" s="6">
        <f>IFERROR(INDEX('Watershed plans'!$G$12:$G$19,MATCH(21,'Watershed plans'!$T$12:$T$19,0)),"")</f>
        <v/>
      </c>
      <c r="C26" s="10">
        <f>IFERROR(INDEX('Watershed plans'!$B$12:$B$19,MATCH(21,'Watershed plans'!$T$12:$T$19,0)),"")</f>
        <v/>
      </c>
      <c r="D26" s="20">
        <f>IFERROR(INDEX('Watershed plans'!$K$12:$K$19,MATCH(21,'Watershed plans'!$T$12:$T$19,0)),"")</f>
        <v/>
      </c>
      <c r="E26" s="25">
        <f>IFERROR(INDEX('Watershed plans'!$L$12:$L$19,MATCH(21,'Watershed plans'!$T$12:$T$19,0)),"")</f>
        <v/>
      </c>
      <c r="F26" s="24">
        <f>IFERROR(INDEX('Watershed plans'!$J$12:$J$19,MATCH(21,'Watershed plans'!$T$12:$T$19,0)),"")</f>
        <v/>
      </c>
      <c r="G26" s="25">
        <f>IFERROR(INDEX('Watershed plans'!$Z$12:$Z$19,MATCH(21,'Watershed plans'!$T$12:$T$19,0)),"")</f>
        <v/>
      </c>
      <c r="H26" s="25">
        <f>IFERROR(INDEX('Watershed plans'!$Y$12:$Y$19,MATCH(21,'Watershed plans'!$T$12:$T$19,0)),"")</f>
        <v/>
      </c>
    </row>
    <row r="27">
      <c r="A27" s="4" t="n">
        <v>22</v>
      </c>
      <c r="B27" s="6">
        <f>IFERROR(INDEX('Watershed plans'!$G$12:$G$19,MATCH(22,'Watershed plans'!$T$12:$T$19,0)),"")</f>
        <v/>
      </c>
      <c r="C27" s="10">
        <f>IFERROR(INDEX('Watershed plans'!$B$12:$B$19,MATCH(22,'Watershed plans'!$T$12:$T$19,0)),"")</f>
        <v/>
      </c>
      <c r="D27" s="20">
        <f>IFERROR(INDEX('Watershed plans'!$K$12:$K$19,MATCH(22,'Watershed plans'!$T$12:$T$19,0)),"")</f>
        <v/>
      </c>
      <c r="E27" s="25">
        <f>IFERROR(INDEX('Watershed plans'!$L$12:$L$19,MATCH(22,'Watershed plans'!$T$12:$T$19,0)),"")</f>
        <v/>
      </c>
      <c r="F27" s="24">
        <f>IFERROR(INDEX('Watershed plans'!$J$12:$J$19,MATCH(22,'Watershed plans'!$T$12:$T$19,0)),"")</f>
        <v/>
      </c>
      <c r="G27" s="25">
        <f>IFERROR(INDEX('Watershed plans'!$Z$12:$Z$19,MATCH(22,'Watershed plans'!$T$12:$T$19,0)),"")</f>
        <v/>
      </c>
      <c r="H27" s="25">
        <f>IFERROR(INDEX('Watershed plans'!$Y$12:$Y$19,MATCH(22,'Watershed plans'!$T$12:$T$19,0)),"")</f>
        <v/>
      </c>
    </row>
    <row r="28">
      <c r="A28" s="4" t="n">
        <v>23</v>
      </c>
      <c r="B28" s="6">
        <f>IFERROR(INDEX('Watershed plans'!$G$12:$G$19,MATCH(23,'Watershed plans'!$T$12:$T$19,0)),"")</f>
        <v/>
      </c>
      <c r="C28" s="10">
        <f>IFERROR(INDEX('Watershed plans'!$B$12:$B$19,MATCH(23,'Watershed plans'!$T$12:$T$19,0)),"")</f>
        <v/>
      </c>
      <c r="D28" s="20">
        <f>IFERROR(INDEX('Watershed plans'!$K$12:$K$19,MATCH(23,'Watershed plans'!$T$12:$T$19,0)),"")</f>
        <v/>
      </c>
      <c r="E28" s="25">
        <f>IFERROR(INDEX('Watershed plans'!$L$12:$L$19,MATCH(23,'Watershed plans'!$T$12:$T$19,0)),"")</f>
        <v/>
      </c>
      <c r="F28" s="24">
        <f>IFERROR(INDEX('Watershed plans'!$J$12:$J$19,MATCH(23,'Watershed plans'!$T$12:$T$19,0)),"")</f>
        <v/>
      </c>
      <c r="G28" s="25">
        <f>IFERROR(INDEX('Watershed plans'!$Z$12:$Z$19,MATCH(23,'Watershed plans'!$T$12:$T$19,0)),"")</f>
        <v/>
      </c>
      <c r="H28" s="25">
        <f>IFERROR(INDEX('Watershed plans'!$Y$12:$Y$19,MATCH(23,'Watershed plans'!$T$12:$T$19,0)),"")</f>
        <v/>
      </c>
    </row>
    <row r="29">
      <c r="A29" s="4" t="n">
        <v>24</v>
      </c>
      <c r="B29" s="6">
        <f>IFERROR(INDEX('Watershed plans'!$G$12:$G$19,MATCH(24,'Watershed plans'!$T$12:$T$19,0)),"")</f>
        <v/>
      </c>
      <c r="C29" s="10">
        <f>IFERROR(INDEX('Watershed plans'!$B$12:$B$19,MATCH(24,'Watershed plans'!$T$12:$T$19,0)),"")</f>
        <v/>
      </c>
      <c r="D29" s="20">
        <f>IFERROR(INDEX('Watershed plans'!$K$12:$K$19,MATCH(24,'Watershed plans'!$T$12:$T$19,0)),"")</f>
        <v/>
      </c>
      <c r="E29" s="25">
        <f>IFERROR(INDEX('Watershed plans'!$L$12:$L$19,MATCH(24,'Watershed plans'!$T$12:$T$19,0)),"")</f>
        <v/>
      </c>
      <c r="F29" s="24">
        <f>IFERROR(INDEX('Watershed plans'!$J$12:$J$19,MATCH(24,'Watershed plans'!$T$12:$T$19,0)),"")</f>
        <v/>
      </c>
      <c r="G29" s="25">
        <f>IFERROR(INDEX('Watershed plans'!$Z$12:$Z$19,MATCH(24,'Watershed plans'!$T$12:$T$19,0)),"")</f>
        <v/>
      </c>
      <c r="H29" s="25">
        <f>IFERROR(INDEX('Watershed plans'!$Y$12:$Y$19,MATCH(24,'Watershed plans'!$T$12:$T$19,0)),"")</f>
        <v/>
      </c>
    </row>
    <row r="30">
      <c r="A30" s="4" t="n">
        <v>25</v>
      </c>
      <c r="B30" s="6">
        <f>IFERROR(INDEX('Watershed plans'!$G$12:$G$19,MATCH(25,'Watershed plans'!$T$12:$T$19,0)),"")</f>
        <v/>
      </c>
      <c r="C30" s="10">
        <f>IFERROR(INDEX('Watershed plans'!$B$12:$B$19,MATCH(25,'Watershed plans'!$T$12:$T$19,0)),"")</f>
        <v/>
      </c>
      <c r="D30" s="20">
        <f>IFERROR(INDEX('Watershed plans'!$K$12:$K$19,MATCH(25,'Watershed plans'!$T$12:$T$19,0)),"")</f>
        <v/>
      </c>
      <c r="E30" s="25">
        <f>IFERROR(INDEX('Watershed plans'!$L$12:$L$19,MATCH(25,'Watershed plans'!$T$12:$T$19,0)),"")</f>
        <v/>
      </c>
      <c r="F30" s="24">
        <f>IFERROR(INDEX('Watershed plans'!$J$12:$J$19,MATCH(25,'Watershed plans'!$T$12:$T$19,0)),"")</f>
        <v/>
      </c>
      <c r="G30" s="25">
        <f>IFERROR(INDEX('Watershed plans'!$Z$12:$Z$19,MATCH(25,'Watershed plans'!$T$12:$T$19,0)),"")</f>
        <v/>
      </c>
      <c r="H30" s="25">
        <f>IFERROR(INDEX('Watershed plans'!$Y$12:$Y$19,MATCH(25,'Watershed plans'!$T$12:$T$19,0)),"")</f>
        <v/>
      </c>
    </row>
    <row r="31">
      <c r="A31" s="4" t="n">
        <v>26</v>
      </c>
      <c r="B31" s="6">
        <f>IFERROR(INDEX('Watershed plans'!$G$12:$G$19,MATCH(26,'Watershed plans'!$T$12:$T$19,0)),"")</f>
        <v/>
      </c>
      <c r="C31" s="10">
        <f>IFERROR(INDEX('Watershed plans'!$B$12:$B$19,MATCH(26,'Watershed plans'!$T$12:$T$19,0)),"")</f>
        <v/>
      </c>
      <c r="D31" s="20">
        <f>IFERROR(INDEX('Watershed plans'!$K$12:$K$19,MATCH(26,'Watershed plans'!$T$12:$T$19,0)),"")</f>
        <v/>
      </c>
      <c r="E31" s="25">
        <f>IFERROR(INDEX('Watershed plans'!$L$12:$L$19,MATCH(26,'Watershed plans'!$T$12:$T$19,0)),"")</f>
        <v/>
      </c>
      <c r="F31" s="24">
        <f>IFERROR(INDEX('Watershed plans'!$J$12:$J$19,MATCH(26,'Watershed plans'!$T$12:$T$19,0)),"")</f>
        <v/>
      </c>
      <c r="G31" s="25">
        <f>IFERROR(INDEX('Watershed plans'!$Z$12:$Z$19,MATCH(26,'Watershed plans'!$T$12:$T$19,0)),"")</f>
        <v/>
      </c>
      <c r="H31" s="25">
        <f>IFERROR(INDEX('Watershed plans'!$Y$12:$Y$19,MATCH(26,'Watershed plans'!$T$12:$T$19,0)),"")</f>
        <v/>
      </c>
    </row>
    <row r="32">
      <c r="A32" s="4" t="n">
        <v>27</v>
      </c>
      <c r="B32" s="6">
        <f>IFERROR(INDEX('Watershed plans'!$G$12:$G$19,MATCH(27,'Watershed plans'!$T$12:$T$19,0)),"")</f>
        <v/>
      </c>
      <c r="C32" s="10">
        <f>IFERROR(INDEX('Watershed plans'!$B$12:$B$19,MATCH(27,'Watershed plans'!$T$12:$T$19,0)),"")</f>
        <v/>
      </c>
      <c r="D32" s="20">
        <f>IFERROR(INDEX('Watershed plans'!$K$12:$K$19,MATCH(27,'Watershed plans'!$T$12:$T$19,0)),"")</f>
        <v/>
      </c>
      <c r="E32" s="25">
        <f>IFERROR(INDEX('Watershed plans'!$L$12:$L$19,MATCH(27,'Watershed plans'!$T$12:$T$19,0)),"")</f>
        <v/>
      </c>
      <c r="F32" s="24">
        <f>IFERROR(INDEX('Watershed plans'!$J$12:$J$19,MATCH(27,'Watershed plans'!$T$12:$T$19,0)),"")</f>
        <v/>
      </c>
      <c r="G32" s="25">
        <f>IFERROR(INDEX('Watershed plans'!$Z$12:$Z$19,MATCH(27,'Watershed plans'!$T$12:$T$19,0)),"")</f>
        <v/>
      </c>
      <c r="H32" s="25">
        <f>IFERROR(INDEX('Watershed plans'!$Y$12:$Y$19,MATCH(27,'Watershed plans'!$T$12:$T$19,0)),"")</f>
        <v/>
      </c>
    </row>
    <row r="33">
      <c r="A33" s="4" t="n">
        <v>28</v>
      </c>
      <c r="B33" s="6">
        <f>IFERROR(INDEX('Watershed plans'!$G$12:$G$19,MATCH(28,'Watershed plans'!$T$12:$T$19,0)),"")</f>
        <v/>
      </c>
      <c r="C33" s="10">
        <f>IFERROR(INDEX('Watershed plans'!$B$12:$B$19,MATCH(28,'Watershed plans'!$T$12:$T$19,0)),"")</f>
        <v/>
      </c>
      <c r="D33" s="20">
        <f>IFERROR(INDEX('Watershed plans'!$K$12:$K$19,MATCH(28,'Watershed plans'!$T$12:$T$19,0)),"")</f>
        <v/>
      </c>
      <c r="E33" s="25">
        <f>IFERROR(INDEX('Watershed plans'!$L$12:$L$19,MATCH(28,'Watershed plans'!$T$12:$T$19,0)),"")</f>
        <v/>
      </c>
      <c r="F33" s="24">
        <f>IFERROR(INDEX('Watershed plans'!$J$12:$J$19,MATCH(28,'Watershed plans'!$T$12:$T$19,0)),"")</f>
        <v/>
      </c>
      <c r="G33" s="25">
        <f>IFERROR(INDEX('Watershed plans'!$Z$12:$Z$19,MATCH(28,'Watershed plans'!$T$12:$T$19,0)),"")</f>
        <v/>
      </c>
      <c r="H33" s="25">
        <f>IFERROR(INDEX('Watershed plans'!$Y$12:$Y$19,MATCH(28,'Watershed plans'!$T$12:$T$19,0)),"")</f>
        <v/>
      </c>
    </row>
    <row r="34">
      <c r="A34" s="4" t="n">
        <v>29</v>
      </c>
      <c r="B34" s="6">
        <f>IFERROR(INDEX('Watershed plans'!$G$12:$G$19,MATCH(29,'Watershed plans'!$T$12:$T$19,0)),"")</f>
        <v/>
      </c>
      <c r="C34" s="10">
        <f>IFERROR(INDEX('Watershed plans'!$B$12:$B$19,MATCH(29,'Watershed plans'!$T$12:$T$19,0)),"")</f>
        <v/>
      </c>
      <c r="D34" s="20">
        <f>IFERROR(INDEX('Watershed plans'!$K$12:$K$19,MATCH(29,'Watershed plans'!$T$12:$T$19,0)),"")</f>
        <v/>
      </c>
      <c r="E34" s="25">
        <f>IFERROR(INDEX('Watershed plans'!$L$12:$L$19,MATCH(29,'Watershed plans'!$T$12:$T$19,0)),"")</f>
        <v/>
      </c>
      <c r="F34" s="24">
        <f>IFERROR(INDEX('Watershed plans'!$J$12:$J$19,MATCH(29,'Watershed plans'!$T$12:$T$19,0)),"")</f>
        <v/>
      </c>
      <c r="G34" s="25">
        <f>IFERROR(INDEX('Watershed plans'!$Z$12:$Z$19,MATCH(29,'Watershed plans'!$T$12:$T$19,0)),"")</f>
        <v/>
      </c>
      <c r="H34" s="25">
        <f>IFERROR(INDEX('Watershed plans'!$Y$12:$Y$19,MATCH(29,'Watershed plans'!$T$12:$T$19,0)),"")</f>
        <v/>
      </c>
    </row>
    <row r="35">
      <c r="A35" s="4" t="n">
        <v>30</v>
      </c>
      <c r="B35" s="6">
        <f>IFERROR(INDEX('Watershed plans'!$G$12:$G$19,MATCH(30,'Watershed plans'!$T$12:$T$19,0)),"")</f>
        <v/>
      </c>
      <c r="C35" s="10">
        <f>IFERROR(INDEX('Watershed plans'!$B$12:$B$19,MATCH(30,'Watershed plans'!$T$12:$T$19,0)),"")</f>
        <v/>
      </c>
      <c r="D35" s="20">
        <f>IFERROR(INDEX('Watershed plans'!$K$12:$K$19,MATCH(30,'Watershed plans'!$T$12:$T$19,0)),"")</f>
        <v/>
      </c>
      <c r="E35" s="25">
        <f>IFERROR(INDEX('Watershed plans'!$L$12:$L$19,MATCH(30,'Watershed plans'!$T$12:$T$19,0)),"")</f>
        <v/>
      </c>
      <c r="F35" s="24">
        <f>IFERROR(INDEX('Watershed plans'!$J$12:$J$19,MATCH(30,'Watershed plans'!$T$12:$T$19,0)),"")</f>
        <v/>
      </c>
      <c r="G35" s="25">
        <f>IFERROR(INDEX('Watershed plans'!$Z$12:$Z$19,MATCH(30,'Watershed plans'!$T$12:$T$19,0)),"")</f>
        <v/>
      </c>
      <c r="H35" s="25">
        <f>IFERROR(INDEX('Watershed plans'!$Y$12:$Y$19,MATCH(30,'Watershed plans'!$T$12:$T$19,0)),"")</f>
        <v/>
      </c>
    </row>
    <row r="36">
      <c r="A36" s="4" t="n">
        <v>31</v>
      </c>
      <c r="B36" s="6">
        <f>IFERROR(INDEX('Watershed plans'!$G$12:$G$19,MATCH(31,'Watershed plans'!$T$12:$T$19,0)),"")</f>
        <v/>
      </c>
      <c r="C36" s="10">
        <f>IFERROR(INDEX('Watershed plans'!$B$12:$B$19,MATCH(31,'Watershed plans'!$T$12:$T$19,0)),"")</f>
        <v/>
      </c>
      <c r="D36" s="20">
        <f>IFERROR(INDEX('Watershed plans'!$K$12:$K$19,MATCH(31,'Watershed plans'!$T$12:$T$19,0)),"")</f>
        <v/>
      </c>
      <c r="E36" s="25">
        <f>IFERROR(INDEX('Watershed plans'!$L$12:$L$19,MATCH(31,'Watershed plans'!$T$12:$T$19,0)),"")</f>
        <v/>
      </c>
      <c r="F36" s="24">
        <f>IFERROR(INDEX('Watershed plans'!$J$12:$J$19,MATCH(31,'Watershed plans'!$T$12:$T$19,0)),"")</f>
        <v/>
      </c>
      <c r="G36" s="25">
        <f>IFERROR(INDEX('Watershed plans'!$Z$12:$Z$19,MATCH(31,'Watershed plans'!$T$12:$T$19,0)),"")</f>
        <v/>
      </c>
      <c r="H36" s="25">
        <f>IFERROR(INDEX('Watershed plans'!$Y$12:$Y$19,MATCH(31,'Watershed plans'!$T$12:$T$19,0)),"")</f>
        <v/>
      </c>
    </row>
    <row r="37">
      <c r="A37" s="4" t="n">
        <v>32</v>
      </c>
      <c r="B37" s="6">
        <f>IFERROR(INDEX('Watershed plans'!$G$12:$G$19,MATCH(32,'Watershed plans'!$T$12:$T$19,0)),"")</f>
        <v/>
      </c>
      <c r="C37" s="10">
        <f>IFERROR(INDEX('Watershed plans'!$B$12:$B$19,MATCH(32,'Watershed plans'!$T$12:$T$19,0)),"")</f>
        <v/>
      </c>
      <c r="D37" s="20">
        <f>IFERROR(INDEX('Watershed plans'!$K$12:$K$19,MATCH(32,'Watershed plans'!$T$12:$T$19,0)),"")</f>
        <v/>
      </c>
      <c r="E37" s="25">
        <f>IFERROR(INDEX('Watershed plans'!$L$12:$L$19,MATCH(32,'Watershed plans'!$T$12:$T$19,0)),"")</f>
        <v/>
      </c>
      <c r="F37" s="24">
        <f>IFERROR(INDEX('Watershed plans'!$J$12:$J$19,MATCH(32,'Watershed plans'!$T$12:$T$19,0)),"")</f>
        <v/>
      </c>
      <c r="G37" s="25">
        <f>IFERROR(INDEX('Watershed plans'!$Z$12:$Z$19,MATCH(32,'Watershed plans'!$T$12:$T$19,0)),"")</f>
        <v/>
      </c>
      <c r="H37" s="25">
        <f>IFERROR(INDEX('Watershed plans'!$Y$12:$Y$19,MATCH(32,'Watershed plans'!$T$12:$T$19,0)),"")</f>
        <v/>
      </c>
    </row>
    <row r="38">
      <c r="A38" s="4" t="n">
        <v>33</v>
      </c>
      <c r="B38" s="6">
        <f>IFERROR(INDEX('Watershed plans'!$G$12:$G$19,MATCH(33,'Watershed plans'!$T$12:$T$19,0)),"")</f>
        <v/>
      </c>
      <c r="C38" s="10">
        <f>IFERROR(INDEX('Watershed plans'!$B$12:$B$19,MATCH(33,'Watershed plans'!$T$12:$T$19,0)),"")</f>
        <v/>
      </c>
      <c r="D38" s="20">
        <f>IFERROR(INDEX('Watershed plans'!$K$12:$K$19,MATCH(33,'Watershed plans'!$T$12:$T$19,0)),"")</f>
        <v/>
      </c>
      <c r="E38" s="25">
        <f>IFERROR(INDEX('Watershed plans'!$L$12:$L$19,MATCH(33,'Watershed plans'!$T$12:$T$19,0)),"")</f>
        <v/>
      </c>
      <c r="F38" s="24">
        <f>IFERROR(INDEX('Watershed plans'!$J$12:$J$19,MATCH(33,'Watershed plans'!$T$12:$T$19,0)),"")</f>
        <v/>
      </c>
      <c r="G38" s="25">
        <f>IFERROR(INDEX('Watershed plans'!$Z$12:$Z$19,MATCH(33,'Watershed plans'!$T$12:$T$19,0)),"")</f>
        <v/>
      </c>
      <c r="H38" s="25">
        <f>IFERROR(INDEX('Watershed plans'!$Y$12:$Y$19,MATCH(33,'Watershed plans'!$T$12:$T$19,0)),"")</f>
        <v/>
      </c>
    </row>
    <row r="39">
      <c r="A39" s="4" t="n">
        <v>34</v>
      </c>
      <c r="B39" s="6">
        <f>IFERROR(INDEX('Watershed plans'!$G$12:$G$19,MATCH(34,'Watershed plans'!$T$12:$T$19,0)),"")</f>
        <v/>
      </c>
      <c r="C39" s="10">
        <f>IFERROR(INDEX('Watershed plans'!$B$12:$B$19,MATCH(34,'Watershed plans'!$T$12:$T$19,0)),"")</f>
        <v/>
      </c>
      <c r="D39" s="20">
        <f>IFERROR(INDEX('Watershed plans'!$K$12:$K$19,MATCH(34,'Watershed plans'!$T$12:$T$19,0)),"")</f>
        <v/>
      </c>
      <c r="E39" s="25">
        <f>IFERROR(INDEX('Watershed plans'!$L$12:$L$19,MATCH(34,'Watershed plans'!$T$12:$T$19,0)),"")</f>
        <v/>
      </c>
      <c r="F39" s="24">
        <f>IFERROR(INDEX('Watershed plans'!$J$12:$J$19,MATCH(34,'Watershed plans'!$T$12:$T$19,0)),"")</f>
        <v/>
      </c>
      <c r="G39" s="25">
        <f>IFERROR(INDEX('Watershed plans'!$Z$12:$Z$19,MATCH(34,'Watershed plans'!$T$12:$T$19,0)),"")</f>
        <v/>
      </c>
      <c r="H39" s="25">
        <f>IFERROR(INDEX('Watershed plans'!$Y$12:$Y$19,MATCH(34,'Watershed plans'!$T$12:$T$19,0)),"")</f>
        <v/>
      </c>
    </row>
    <row r="40">
      <c r="A40" s="4" t="n">
        <v>35</v>
      </c>
      <c r="B40" s="6">
        <f>IFERROR(INDEX('Watershed plans'!$G$12:$G$19,MATCH(35,'Watershed plans'!$T$12:$T$19,0)),"")</f>
        <v/>
      </c>
      <c r="C40" s="10">
        <f>IFERROR(INDEX('Watershed plans'!$B$12:$B$19,MATCH(35,'Watershed plans'!$T$12:$T$19,0)),"")</f>
        <v/>
      </c>
      <c r="D40" s="20">
        <f>IFERROR(INDEX('Watershed plans'!$K$12:$K$19,MATCH(35,'Watershed plans'!$T$12:$T$19,0)),"")</f>
        <v/>
      </c>
      <c r="E40" s="25">
        <f>IFERROR(INDEX('Watershed plans'!$L$12:$L$19,MATCH(35,'Watershed plans'!$T$12:$T$19,0)),"")</f>
        <v/>
      </c>
      <c r="F40" s="24">
        <f>IFERROR(INDEX('Watershed plans'!$J$12:$J$19,MATCH(35,'Watershed plans'!$T$12:$T$19,0)),"")</f>
        <v/>
      </c>
      <c r="G40" s="25">
        <f>IFERROR(INDEX('Watershed plans'!$Z$12:$Z$19,MATCH(35,'Watershed plans'!$T$12:$T$19,0)),"")</f>
        <v/>
      </c>
      <c r="H40" s="25">
        <f>IFERROR(INDEX('Watershed plans'!$Y$12:$Y$19,MATCH(35,'Watershed plans'!$T$12:$T$19,0)),"")</f>
        <v/>
      </c>
    </row>
    <row r="41">
      <c r="A41" s="4" t="n">
        <v>36</v>
      </c>
      <c r="B41" s="6">
        <f>IFERROR(INDEX('Watershed plans'!$G$12:$G$19,MATCH(36,'Watershed plans'!$T$12:$T$19,0)),"")</f>
        <v/>
      </c>
      <c r="C41" s="10">
        <f>IFERROR(INDEX('Watershed plans'!$B$12:$B$19,MATCH(36,'Watershed plans'!$T$12:$T$19,0)),"")</f>
        <v/>
      </c>
      <c r="D41" s="20">
        <f>IFERROR(INDEX('Watershed plans'!$K$12:$K$19,MATCH(36,'Watershed plans'!$T$12:$T$19,0)),"")</f>
        <v/>
      </c>
      <c r="E41" s="25">
        <f>IFERROR(INDEX('Watershed plans'!$L$12:$L$19,MATCH(36,'Watershed plans'!$T$12:$T$19,0)),"")</f>
        <v/>
      </c>
      <c r="F41" s="24">
        <f>IFERROR(INDEX('Watershed plans'!$J$12:$J$19,MATCH(36,'Watershed plans'!$T$12:$T$19,0)),"")</f>
        <v/>
      </c>
      <c r="G41" s="25">
        <f>IFERROR(INDEX('Watershed plans'!$Z$12:$Z$19,MATCH(36,'Watershed plans'!$T$12:$T$19,0)),"")</f>
        <v/>
      </c>
      <c r="H41" s="25">
        <f>IFERROR(INDEX('Watershed plans'!$Y$12:$Y$19,MATCH(36,'Watershed plans'!$T$12:$T$19,0)),"")</f>
        <v/>
      </c>
    </row>
    <row r="42">
      <c r="A42" s="4" t="n">
        <v>37</v>
      </c>
      <c r="B42" s="6">
        <f>IFERROR(INDEX('Watershed plans'!$G$12:$G$19,MATCH(37,'Watershed plans'!$T$12:$T$19,0)),"")</f>
        <v/>
      </c>
      <c r="C42" s="10">
        <f>IFERROR(INDEX('Watershed plans'!$B$12:$B$19,MATCH(37,'Watershed plans'!$T$12:$T$19,0)),"")</f>
        <v/>
      </c>
      <c r="D42" s="20">
        <f>IFERROR(INDEX('Watershed plans'!$K$12:$K$19,MATCH(37,'Watershed plans'!$T$12:$T$19,0)),"")</f>
        <v/>
      </c>
      <c r="E42" s="25">
        <f>IFERROR(INDEX('Watershed plans'!$L$12:$L$19,MATCH(37,'Watershed plans'!$T$12:$T$19,0)),"")</f>
        <v/>
      </c>
      <c r="F42" s="24">
        <f>IFERROR(INDEX('Watershed plans'!$J$12:$J$19,MATCH(37,'Watershed plans'!$T$12:$T$19,0)),"")</f>
        <v/>
      </c>
      <c r="G42" s="25">
        <f>IFERROR(INDEX('Watershed plans'!$Z$12:$Z$19,MATCH(37,'Watershed plans'!$T$12:$T$19,0)),"")</f>
        <v/>
      </c>
      <c r="H42" s="25">
        <f>IFERROR(INDEX('Watershed plans'!$Y$12:$Y$19,MATCH(37,'Watershed plans'!$T$12:$T$19,0)),"")</f>
        <v/>
      </c>
    </row>
    <row r="43">
      <c r="A43" s="4" t="n">
        <v>38</v>
      </c>
      <c r="B43" s="6">
        <f>IFERROR(INDEX('Watershed plans'!$G$12:$G$19,MATCH(38,'Watershed plans'!$T$12:$T$19,0)),"")</f>
        <v/>
      </c>
      <c r="C43" s="10">
        <f>IFERROR(INDEX('Watershed plans'!$B$12:$B$19,MATCH(38,'Watershed plans'!$T$12:$T$19,0)),"")</f>
        <v/>
      </c>
      <c r="D43" s="20">
        <f>IFERROR(INDEX('Watershed plans'!$K$12:$K$19,MATCH(38,'Watershed plans'!$T$12:$T$19,0)),"")</f>
        <v/>
      </c>
      <c r="E43" s="25">
        <f>IFERROR(INDEX('Watershed plans'!$L$12:$L$19,MATCH(38,'Watershed plans'!$T$12:$T$19,0)),"")</f>
        <v/>
      </c>
      <c r="F43" s="24">
        <f>IFERROR(INDEX('Watershed plans'!$J$12:$J$19,MATCH(38,'Watershed plans'!$T$12:$T$19,0)),"")</f>
        <v/>
      </c>
      <c r="G43" s="25">
        <f>IFERROR(INDEX('Watershed plans'!$Z$12:$Z$19,MATCH(38,'Watershed plans'!$T$12:$T$19,0)),"")</f>
        <v/>
      </c>
      <c r="H43" s="25">
        <f>IFERROR(INDEX('Watershed plans'!$Y$12:$Y$19,MATCH(38,'Watershed plans'!$T$12:$T$19,0)),"")</f>
        <v/>
      </c>
    </row>
    <row r="44">
      <c r="A44" s="4" t="n">
        <v>39</v>
      </c>
      <c r="B44" s="6">
        <f>IFERROR(INDEX('Watershed plans'!$G$12:$G$19,MATCH(39,'Watershed plans'!$T$12:$T$19,0)),"")</f>
        <v/>
      </c>
      <c r="C44" s="10">
        <f>IFERROR(INDEX('Watershed plans'!$B$12:$B$19,MATCH(39,'Watershed plans'!$T$12:$T$19,0)),"")</f>
        <v/>
      </c>
      <c r="D44" s="20">
        <f>IFERROR(INDEX('Watershed plans'!$K$12:$K$19,MATCH(39,'Watershed plans'!$T$12:$T$19,0)),"")</f>
        <v/>
      </c>
      <c r="E44" s="25">
        <f>IFERROR(INDEX('Watershed plans'!$L$12:$L$19,MATCH(39,'Watershed plans'!$T$12:$T$19,0)),"")</f>
        <v/>
      </c>
      <c r="F44" s="24">
        <f>IFERROR(INDEX('Watershed plans'!$J$12:$J$19,MATCH(39,'Watershed plans'!$T$12:$T$19,0)),"")</f>
        <v/>
      </c>
      <c r="G44" s="25">
        <f>IFERROR(INDEX('Watershed plans'!$Z$12:$Z$19,MATCH(39,'Watershed plans'!$T$12:$T$19,0)),"")</f>
        <v/>
      </c>
      <c r="H44" s="25">
        <f>IFERROR(INDEX('Watershed plans'!$Y$12:$Y$19,MATCH(39,'Watershed plans'!$T$12:$T$19,0)),"")</f>
        <v/>
      </c>
    </row>
    <row r="45">
      <c r="A45" s="4" t="n">
        <v>40</v>
      </c>
      <c r="B45" s="6">
        <f>IFERROR(INDEX('Watershed plans'!$G$12:$G$19,MATCH(40,'Watershed plans'!$T$12:$T$19,0)),"")</f>
        <v/>
      </c>
      <c r="C45" s="10">
        <f>IFERROR(INDEX('Watershed plans'!$B$12:$B$19,MATCH(40,'Watershed plans'!$T$12:$T$19,0)),"")</f>
        <v/>
      </c>
      <c r="D45" s="20">
        <f>IFERROR(INDEX('Watershed plans'!$K$12:$K$19,MATCH(40,'Watershed plans'!$T$12:$T$19,0)),"")</f>
        <v/>
      </c>
      <c r="E45" s="25">
        <f>IFERROR(INDEX('Watershed plans'!$L$12:$L$19,MATCH(40,'Watershed plans'!$T$12:$T$19,0)),"")</f>
        <v/>
      </c>
      <c r="F45" s="24">
        <f>IFERROR(INDEX('Watershed plans'!$J$12:$J$19,MATCH(40,'Watershed plans'!$T$12:$T$19,0)),"")</f>
        <v/>
      </c>
      <c r="G45" s="25">
        <f>IFERROR(INDEX('Watershed plans'!$Z$12:$Z$19,MATCH(40,'Watershed plans'!$T$12:$T$19,0)),"")</f>
        <v/>
      </c>
      <c r="H45" s="25">
        <f>IFERROR(INDEX('Watershed plans'!$Y$12:$Y$19,MATCH(40,'Watershed plans'!$T$12:$T$19,0)),"")</f>
        <v/>
      </c>
    </row>
    <row r="48">
      <c r="A48" s="7" t="inlineStr">
        <is>
          <t>Final array (in order of output) and 'Is it worth it?'</t>
        </is>
      </c>
    </row>
    <row r="49">
      <c r="A49" s="12" t="inlineStr">
        <is>
          <t>Order</t>
        </is>
      </c>
      <c r="B49" s="12" t="inlineStr">
        <is>
          <t>Plan number</t>
        </is>
      </c>
      <c r="C49" s="12" t="inlineStr">
        <is>
          <t>Plan</t>
        </is>
      </c>
      <c r="D49" s="12" t="inlineStr">
        <is>
          <t>Lift (AAHU)</t>
        </is>
      </c>
      <c r="E49" s="12" t="inlineStr">
        <is>
          <t>Average annual cost</t>
        </is>
      </c>
      <c r="F49" s="12" t="inlineStr">
        <is>
          <t>Construction cost</t>
        </is>
      </c>
      <c r="G49" s="12" t="inlineStr">
        <is>
          <t>Unit cost</t>
        </is>
      </c>
      <c r="H49" s="12" t="inlineStr">
        <is>
          <t>Added output</t>
        </is>
      </c>
      <c r="I49" s="12" t="inlineStr">
        <is>
          <t>Added cost</t>
        </is>
      </c>
      <c r="J49" s="12" t="inlineStr">
        <is>
          <t>Added cost per unit</t>
        </is>
      </c>
      <c r="K49" s="12" t="inlineStr">
        <is>
          <t>Worth it?</t>
        </is>
      </c>
      <c r="L49" s="12" t="inlineStr">
        <is>
          <t>Why</t>
        </is>
      </c>
    </row>
    <row r="50">
      <c r="A50" s="4" t="n">
        <v>1</v>
      </c>
      <c r="B50" s="6">
        <f>IFERROR(INDEX('Watershed plans'!$G$12:$G$19,MATCH(1,'Watershed plans'!$AB$12:$AB$19,0)),"")</f>
        <v/>
      </c>
      <c r="C50" s="10">
        <f>IFERROR(INDEX('Watershed plans'!$B$12:$B$19,MATCH(1,'Watershed plans'!$AB$12:$AB$19,0)),"")</f>
        <v/>
      </c>
      <c r="D50" s="20">
        <f>IFERROR(INDEX('Watershed plans'!$K$12:$K$19,MATCH(1,'Watershed plans'!$AB$12:$AB$19,0)),"")</f>
        <v/>
      </c>
      <c r="E50" s="25">
        <f>IFERROR(INDEX('Watershed plans'!$L$12:$L$19,MATCH(1,'Watershed plans'!$AB$12:$AB$19,0)),"")</f>
        <v/>
      </c>
      <c r="F50" s="24">
        <f>IFERROR(INDEX('Watershed plans'!$J$12:$J$19,MATCH(1,'Watershed plans'!$AB$12:$AB$19,0)),"")</f>
        <v/>
      </c>
      <c r="G50" s="25">
        <f>IFERROR(INDEX('Watershed plans'!$Z$12:$Z$19,MATCH(1,'Watershed plans'!$AB$12:$AB$19,0)),"")</f>
        <v/>
      </c>
      <c r="H50" s="10" t="inlineStr"/>
      <c r="I50" s="10" t="inlineStr"/>
      <c r="J50" s="10" t="inlineStr"/>
      <c r="K50" s="15" t="inlineStr"/>
      <c r="L50" s="30" t="inlineStr"/>
    </row>
    <row r="51">
      <c r="A51" s="4" t="n">
        <v>2</v>
      </c>
      <c r="B51" s="6">
        <f>IFERROR(INDEX('Watershed plans'!$G$12:$G$19,MATCH(2,'Watershed plans'!$AB$12:$AB$19,0)),"")</f>
        <v/>
      </c>
      <c r="C51" s="10">
        <f>IFERROR(INDEX('Watershed plans'!$B$12:$B$19,MATCH(2,'Watershed plans'!$AB$12:$AB$19,0)),"")</f>
        <v/>
      </c>
      <c r="D51" s="20">
        <f>IFERROR(INDEX('Watershed plans'!$K$12:$K$19,MATCH(2,'Watershed plans'!$AB$12:$AB$19,0)),"")</f>
        <v/>
      </c>
      <c r="E51" s="25">
        <f>IFERROR(INDEX('Watershed plans'!$L$12:$L$19,MATCH(2,'Watershed plans'!$AB$12:$AB$19,0)),"")</f>
        <v/>
      </c>
      <c r="F51" s="24">
        <f>IFERROR(INDEX('Watershed plans'!$J$12:$J$19,MATCH(2,'Watershed plans'!$AB$12:$AB$19,0)),"")</f>
        <v/>
      </c>
      <c r="G51" s="25">
        <f>IFERROR(INDEX('Watershed plans'!$Z$12:$Z$19,MATCH(2,'Watershed plans'!$AB$12:$AB$19,0)),"")</f>
        <v/>
      </c>
      <c r="H51" s="20">
        <f>IF(ISNUMBER(D51),D51-D50,"")</f>
        <v/>
      </c>
      <c r="I51" s="25">
        <f>IF(ISNUMBER(E51),E51-E50,"")</f>
        <v/>
      </c>
      <c r="J51" s="25">
        <f>IF(AND(ISNUMBER(H51),H51&lt;&gt;0),I51/H51,"")</f>
        <v/>
      </c>
      <c r="K51" s="15" t="inlineStr"/>
      <c r="L51" s="30" t="inlineStr"/>
    </row>
    <row r="52">
      <c r="A52" s="4" t="n">
        <v>3</v>
      </c>
      <c r="B52" s="6">
        <f>IFERROR(INDEX('Watershed plans'!$G$12:$G$19,MATCH(3,'Watershed plans'!$AB$12:$AB$19,0)),"")</f>
        <v/>
      </c>
      <c r="C52" s="10">
        <f>IFERROR(INDEX('Watershed plans'!$B$12:$B$19,MATCH(3,'Watershed plans'!$AB$12:$AB$19,0)),"")</f>
        <v/>
      </c>
      <c r="D52" s="20">
        <f>IFERROR(INDEX('Watershed plans'!$K$12:$K$19,MATCH(3,'Watershed plans'!$AB$12:$AB$19,0)),"")</f>
        <v/>
      </c>
      <c r="E52" s="25">
        <f>IFERROR(INDEX('Watershed plans'!$L$12:$L$19,MATCH(3,'Watershed plans'!$AB$12:$AB$19,0)),"")</f>
        <v/>
      </c>
      <c r="F52" s="24">
        <f>IFERROR(INDEX('Watershed plans'!$J$12:$J$19,MATCH(3,'Watershed plans'!$AB$12:$AB$19,0)),"")</f>
        <v/>
      </c>
      <c r="G52" s="25">
        <f>IFERROR(INDEX('Watershed plans'!$Z$12:$Z$19,MATCH(3,'Watershed plans'!$AB$12:$AB$19,0)),"")</f>
        <v/>
      </c>
      <c r="H52" s="20">
        <f>IF(ISNUMBER(D52),D52-D51,"")</f>
        <v/>
      </c>
      <c r="I52" s="25">
        <f>IF(ISNUMBER(E52),E52-E51,"")</f>
        <v/>
      </c>
      <c r="J52" s="25">
        <f>IF(AND(ISNUMBER(H52),H52&lt;&gt;0),I52/H52,"")</f>
        <v/>
      </c>
      <c r="K52" s="15" t="inlineStr"/>
      <c r="L52" s="30" t="inlineStr"/>
    </row>
    <row r="53">
      <c r="A53" s="4" t="n">
        <v>4</v>
      </c>
      <c r="B53" s="6">
        <f>IFERROR(INDEX('Watershed plans'!$G$12:$G$19,MATCH(4,'Watershed plans'!$AB$12:$AB$19,0)),"")</f>
        <v/>
      </c>
      <c r="C53" s="10">
        <f>IFERROR(INDEX('Watershed plans'!$B$12:$B$19,MATCH(4,'Watershed plans'!$AB$12:$AB$19,0)),"")</f>
        <v/>
      </c>
      <c r="D53" s="20">
        <f>IFERROR(INDEX('Watershed plans'!$K$12:$K$19,MATCH(4,'Watershed plans'!$AB$12:$AB$19,0)),"")</f>
        <v/>
      </c>
      <c r="E53" s="25">
        <f>IFERROR(INDEX('Watershed plans'!$L$12:$L$19,MATCH(4,'Watershed plans'!$AB$12:$AB$19,0)),"")</f>
        <v/>
      </c>
      <c r="F53" s="24">
        <f>IFERROR(INDEX('Watershed plans'!$J$12:$J$19,MATCH(4,'Watershed plans'!$AB$12:$AB$19,0)),"")</f>
        <v/>
      </c>
      <c r="G53" s="25">
        <f>IFERROR(INDEX('Watershed plans'!$Z$12:$Z$19,MATCH(4,'Watershed plans'!$AB$12:$AB$19,0)),"")</f>
        <v/>
      </c>
      <c r="H53" s="20">
        <f>IF(ISNUMBER(D53),D53-D52,"")</f>
        <v/>
      </c>
      <c r="I53" s="25">
        <f>IF(ISNUMBER(E53),E53-E52,"")</f>
        <v/>
      </c>
      <c r="J53" s="25">
        <f>IF(AND(ISNUMBER(H53),H53&lt;&gt;0),I53/H53,"")</f>
        <v/>
      </c>
      <c r="K53" s="15" t="inlineStr"/>
      <c r="L53" s="30" t="inlineStr"/>
    </row>
    <row r="54">
      <c r="A54" s="4" t="n">
        <v>5</v>
      </c>
      <c r="B54" s="6">
        <f>IFERROR(INDEX('Watershed plans'!$G$12:$G$19,MATCH(5,'Watershed plans'!$AB$12:$AB$19,0)),"")</f>
        <v/>
      </c>
      <c r="C54" s="10">
        <f>IFERROR(INDEX('Watershed plans'!$B$12:$B$19,MATCH(5,'Watershed plans'!$AB$12:$AB$19,0)),"")</f>
        <v/>
      </c>
      <c r="D54" s="20">
        <f>IFERROR(INDEX('Watershed plans'!$K$12:$K$19,MATCH(5,'Watershed plans'!$AB$12:$AB$19,0)),"")</f>
        <v/>
      </c>
      <c r="E54" s="25">
        <f>IFERROR(INDEX('Watershed plans'!$L$12:$L$19,MATCH(5,'Watershed plans'!$AB$12:$AB$19,0)),"")</f>
        <v/>
      </c>
      <c r="F54" s="24">
        <f>IFERROR(INDEX('Watershed plans'!$J$12:$J$19,MATCH(5,'Watershed plans'!$AB$12:$AB$19,0)),"")</f>
        <v/>
      </c>
      <c r="G54" s="25">
        <f>IFERROR(INDEX('Watershed plans'!$Z$12:$Z$19,MATCH(5,'Watershed plans'!$AB$12:$AB$19,0)),"")</f>
        <v/>
      </c>
      <c r="H54" s="20">
        <f>IF(ISNUMBER(D54),D54-D53,"")</f>
        <v/>
      </c>
      <c r="I54" s="25">
        <f>IF(ISNUMBER(E54),E54-E53,"")</f>
        <v/>
      </c>
      <c r="J54" s="25">
        <f>IF(AND(ISNUMBER(H54),H54&lt;&gt;0),I54/H54,"")</f>
        <v/>
      </c>
      <c r="K54" s="15" t="inlineStr"/>
      <c r="L54" s="30" t="inlineStr"/>
    </row>
    <row r="55">
      <c r="A55" s="4" t="n">
        <v>6</v>
      </c>
      <c r="B55" s="6">
        <f>IFERROR(INDEX('Watershed plans'!$G$12:$G$19,MATCH(6,'Watershed plans'!$AB$12:$AB$19,0)),"")</f>
        <v/>
      </c>
      <c r="C55" s="10">
        <f>IFERROR(INDEX('Watershed plans'!$B$12:$B$19,MATCH(6,'Watershed plans'!$AB$12:$AB$19,0)),"")</f>
        <v/>
      </c>
      <c r="D55" s="20">
        <f>IFERROR(INDEX('Watershed plans'!$K$12:$K$19,MATCH(6,'Watershed plans'!$AB$12:$AB$19,0)),"")</f>
        <v/>
      </c>
      <c r="E55" s="25">
        <f>IFERROR(INDEX('Watershed plans'!$L$12:$L$19,MATCH(6,'Watershed plans'!$AB$12:$AB$19,0)),"")</f>
        <v/>
      </c>
      <c r="F55" s="24">
        <f>IFERROR(INDEX('Watershed plans'!$J$12:$J$19,MATCH(6,'Watershed plans'!$AB$12:$AB$19,0)),"")</f>
        <v/>
      </c>
      <c r="G55" s="25">
        <f>IFERROR(INDEX('Watershed plans'!$Z$12:$Z$19,MATCH(6,'Watershed plans'!$AB$12:$AB$19,0)),"")</f>
        <v/>
      </c>
      <c r="H55" s="20">
        <f>IF(ISNUMBER(D55),D55-D54,"")</f>
        <v/>
      </c>
      <c r="I55" s="25">
        <f>IF(ISNUMBER(E55),E55-E54,"")</f>
        <v/>
      </c>
      <c r="J55" s="25">
        <f>IF(AND(ISNUMBER(H55),H55&lt;&gt;0),I55/H55,"")</f>
        <v/>
      </c>
      <c r="K55" s="15" t="inlineStr"/>
      <c r="L55" s="30" t="inlineStr"/>
    </row>
    <row r="56">
      <c r="A56" s="4" t="n">
        <v>7</v>
      </c>
      <c r="B56" s="6">
        <f>IFERROR(INDEX('Watershed plans'!$G$12:$G$19,MATCH(7,'Watershed plans'!$AB$12:$AB$19,0)),"")</f>
        <v/>
      </c>
      <c r="C56" s="10">
        <f>IFERROR(INDEX('Watershed plans'!$B$12:$B$19,MATCH(7,'Watershed plans'!$AB$12:$AB$19,0)),"")</f>
        <v/>
      </c>
      <c r="D56" s="20">
        <f>IFERROR(INDEX('Watershed plans'!$K$12:$K$19,MATCH(7,'Watershed plans'!$AB$12:$AB$19,0)),"")</f>
        <v/>
      </c>
      <c r="E56" s="25">
        <f>IFERROR(INDEX('Watershed plans'!$L$12:$L$19,MATCH(7,'Watershed plans'!$AB$12:$AB$19,0)),"")</f>
        <v/>
      </c>
      <c r="F56" s="24">
        <f>IFERROR(INDEX('Watershed plans'!$J$12:$J$19,MATCH(7,'Watershed plans'!$AB$12:$AB$19,0)),"")</f>
        <v/>
      </c>
      <c r="G56" s="25">
        <f>IFERROR(INDEX('Watershed plans'!$Z$12:$Z$19,MATCH(7,'Watershed plans'!$AB$12:$AB$19,0)),"")</f>
        <v/>
      </c>
      <c r="H56" s="20">
        <f>IF(ISNUMBER(D56),D56-D55,"")</f>
        <v/>
      </c>
      <c r="I56" s="25">
        <f>IF(ISNUMBER(E56),E56-E55,"")</f>
        <v/>
      </c>
      <c r="J56" s="25">
        <f>IF(AND(ISNUMBER(H56),H56&lt;&gt;0),I56/H56,"")</f>
        <v/>
      </c>
      <c r="K56" s="15" t="inlineStr"/>
      <c r="L56" s="30" t="inlineStr"/>
    </row>
    <row r="57">
      <c r="A57" s="4" t="n">
        <v>8</v>
      </c>
      <c r="B57" s="6">
        <f>IFERROR(INDEX('Watershed plans'!$G$12:$G$19,MATCH(8,'Watershed plans'!$AB$12:$AB$19,0)),"")</f>
        <v/>
      </c>
      <c r="C57" s="10">
        <f>IFERROR(INDEX('Watershed plans'!$B$12:$B$19,MATCH(8,'Watershed plans'!$AB$12:$AB$19,0)),"")</f>
        <v/>
      </c>
      <c r="D57" s="20">
        <f>IFERROR(INDEX('Watershed plans'!$K$12:$K$19,MATCH(8,'Watershed plans'!$AB$12:$AB$19,0)),"")</f>
        <v/>
      </c>
      <c r="E57" s="25">
        <f>IFERROR(INDEX('Watershed plans'!$L$12:$L$19,MATCH(8,'Watershed plans'!$AB$12:$AB$19,0)),"")</f>
        <v/>
      </c>
      <c r="F57" s="24">
        <f>IFERROR(INDEX('Watershed plans'!$J$12:$J$19,MATCH(8,'Watershed plans'!$AB$12:$AB$19,0)),"")</f>
        <v/>
      </c>
      <c r="G57" s="25">
        <f>IFERROR(INDEX('Watershed plans'!$Z$12:$Z$19,MATCH(8,'Watershed plans'!$AB$12:$AB$19,0)),"")</f>
        <v/>
      </c>
      <c r="H57" s="20">
        <f>IF(ISNUMBER(D57),D57-D56,"")</f>
        <v/>
      </c>
      <c r="I57" s="25">
        <f>IF(ISNUMBER(E57),E57-E56,"")</f>
        <v/>
      </c>
      <c r="J57" s="25">
        <f>IF(AND(ISNUMBER(H57),H57&lt;&gt;0),I57/H57,"")</f>
        <v/>
      </c>
      <c r="K57" s="15" t="inlineStr"/>
      <c r="L57" s="30" t="inlineStr"/>
    </row>
    <row r="58">
      <c r="A58" s="4" t="n">
        <v>9</v>
      </c>
      <c r="B58" s="6">
        <f>IFERROR(INDEX('Watershed plans'!$G$12:$G$19,MATCH(9,'Watershed plans'!$AB$12:$AB$19,0)),"")</f>
        <v/>
      </c>
      <c r="C58" s="10">
        <f>IFERROR(INDEX('Watershed plans'!$B$12:$B$19,MATCH(9,'Watershed plans'!$AB$12:$AB$19,0)),"")</f>
        <v/>
      </c>
      <c r="D58" s="20">
        <f>IFERROR(INDEX('Watershed plans'!$K$12:$K$19,MATCH(9,'Watershed plans'!$AB$12:$AB$19,0)),"")</f>
        <v/>
      </c>
      <c r="E58" s="25">
        <f>IFERROR(INDEX('Watershed plans'!$L$12:$L$19,MATCH(9,'Watershed plans'!$AB$12:$AB$19,0)),"")</f>
        <v/>
      </c>
      <c r="F58" s="24">
        <f>IFERROR(INDEX('Watershed plans'!$J$12:$J$19,MATCH(9,'Watershed plans'!$AB$12:$AB$19,0)),"")</f>
        <v/>
      </c>
      <c r="G58" s="25">
        <f>IFERROR(INDEX('Watershed plans'!$Z$12:$Z$19,MATCH(9,'Watershed plans'!$AB$12:$AB$19,0)),"")</f>
        <v/>
      </c>
      <c r="H58" s="20">
        <f>IF(ISNUMBER(D58),D58-D57,"")</f>
        <v/>
      </c>
      <c r="I58" s="25">
        <f>IF(ISNUMBER(E58),E58-E57,"")</f>
        <v/>
      </c>
      <c r="J58" s="25">
        <f>IF(AND(ISNUMBER(H58),H58&lt;&gt;0),I58/H58,"")</f>
        <v/>
      </c>
      <c r="K58" s="15" t="inlineStr"/>
      <c r="L58" s="30" t="inlineStr"/>
    </row>
    <row r="59">
      <c r="A59" s="4" t="n">
        <v>10</v>
      </c>
      <c r="B59" s="6">
        <f>IFERROR(INDEX('Watershed plans'!$G$12:$G$19,MATCH(10,'Watershed plans'!$AB$12:$AB$19,0)),"")</f>
        <v/>
      </c>
      <c r="C59" s="10">
        <f>IFERROR(INDEX('Watershed plans'!$B$12:$B$19,MATCH(10,'Watershed plans'!$AB$12:$AB$19,0)),"")</f>
        <v/>
      </c>
      <c r="D59" s="20">
        <f>IFERROR(INDEX('Watershed plans'!$K$12:$K$19,MATCH(10,'Watershed plans'!$AB$12:$AB$19,0)),"")</f>
        <v/>
      </c>
      <c r="E59" s="25">
        <f>IFERROR(INDEX('Watershed plans'!$L$12:$L$19,MATCH(10,'Watershed plans'!$AB$12:$AB$19,0)),"")</f>
        <v/>
      </c>
      <c r="F59" s="24">
        <f>IFERROR(INDEX('Watershed plans'!$J$12:$J$19,MATCH(10,'Watershed plans'!$AB$12:$AB$19,0)),"")</f>
        <v/>
      </c>
      <c r="G59" s="25">
        <f>IFERROR(INDEX('Watershed plans'!$Z$12:$Z$19,MATCH(10,'Watershed plans'!$AB$12:$AB$19,0)),"")</f>
        <v/>
      </c>
      <c r="H59" s="20">
        <f>IF(ISNUMBER(D59),D59-D58,"")</f>
        <v/>
      </c>
      <c r="I59" s="25">
        <f>IF(ISNUMBER(E59),E59-E58,"")</f>
        <v/>
      </c>
      <c r="J59" s="25">
        <f>IF(AND(ISNUMBER(H59),H59&lt;&gt;0),I59/H59,"")</f>
        <v/>
      </c>
      <c r="K59" s="15" t="inlineStr"/>
      <c r="L59" s="30" t="inlineStr"/>
    </row>
    <row r="60">
      <c r="A60" s="4" t="n">
        <v>11</v>
      </c>
      <c r="B60" s="6">
        <f>IFERROR(INDEX('Watershed plans'!$G$12:$G$19,MATCH(11,'Watershed plans'!$AB$12:$AB$19,0)),"")</f>
        <v/>
      </c>
      <c r="C60" s="10">
        <f>IFERROR(INDEX('Watershed plans'!$B$12:$B$19,MATCH(11,'Watershed plans'!$AB$12:$AB$19,0)),"")</f>
        <v/>
      </c>
      <c r="D60" s="20">
        <f>IFERROR(INDEX('Watershed plans'!$K$12:$K$19,MATCH(11,'Watershed plans'!$AB$12:$AB$19,0)),"")</f>
        <v/>
      </c>
      <c r="E60" s="25">
        <f>IFERROR(INDEX('Watershed plans'!$L$12:$L$19,MATCH(11,'Watershed plans'!$AB$12:$AB$19,0)),"")</f>
        <v/>
      </c>
      <c r="F60" s="24">
        <f>IFERROR(INDEX('Watershed plans'!$J$12:$J$19,MATCH(11,'Watershed plans'!$AB$12:$AB$19,0)),"")</f>
        <v/>
      </c>
      <c r="G60" s="25">
        <f>IFERROR(INDEX('Watershed plans'!$Z$12:$Z$19,MATCH(11,'Watershed plans'!$AB$12:$AB$19,0)),"")</f>
        <v/>
      </c>
      <c r="H60" s="20">
        <f>IF(ISNUMBER(D60),D60-D59,"")</f>
        <v/>
      </c>
      <c r="I60" s="25">
        <f>IF(ISNUMBER(E60),E60-E59,"")</f>
        <v/>
      </c>
      <c r="J60" s="25">
        <f>IF(AND(ISNUMBER(H60),H60&lt;&gt;0),I60/H60,"")</f>
        <v/>
      </c>
      <c r="K60" s="15" t="inlineStr"/>
      <c r="L60" s="30" t="inlineStr"/>
    </row>
    <row r="61">
      <c r="A61" s="4" t="n">
        <v>12</v>
      </c>
      <c r="B61" s="6">
        <f>IFERROR(INDEX('Watershed plans'!$G$12:$G$19,MATCH(12,'Watershed plans'!$AB$12:$AB$19,0)),"")</f>
        <v/>
      </c>
      <c r="C61" s="10">
        <f>IFERROR(INDEX('Watershed plans'!$B$12:$B$19,MATCH(12,'Watershed plans'!$AB$12:$AB$19,0)),"")</f>
        <v/>
      </c>
      <c r="D61" s="20">
        <f>IFERROR(INDEX('Watershed plans'!$K$12:$K$19,MATCH(12,'Watershed plans'!$AB$12:$AB$19,0)),"")</f>
        <v/>
      </c>
      <c r="E61" s="25">
        <f>IFERROR(INDEX('Watershed plans'!$L$12:$L$19,MATCH(12,'Watershed plans'!$AB$12:$AB$19,0)),"")</f>
        <v/>
      </c>
      <c r="F61" s="24">
        <f>IFERROR(INDEX('Watershed plans'!$J$12:$J$19,MATCH(12,'Watershed plans'!$AB$12:$AB$19,0)),"")</f>
        <v/>
      </c>
      <c r="G61" s="25">
        <f>IFERROR(INDEX('Watershed plans'!$Z$12:$Z$19,MATCH(12,'Watershed plans'!$AB$12:$AB$19,0)),"")</f>
        <v/>
      </c>
      <c r="H61" s="20">
        <f>IF(ISNUMBER(D61),D61-D60,"")</f>
        <v/>
      </c>
      <c r="I61" s="25">
        <f>IF(ISNUMBER(E61),E61-E60,"")</f>
        <v/>
      </c>
      <c r="J61" s="25">
        <f>IF(AND(ISNUMBER(H61),H61&lt;&gt;0),I61/H61,"")</f>
        <v/>
      </c>
      <c r="K61" s="15" t="inlineStr"/>
      <c r="L61" s="30" t="inlineStr"/>
    </row>
    <row r="62">
      <c r="A62" s="4" t="n">
        <v>13</v>
      </c>
      <c r="B62" s="6">
        <f>IFERROR(INDEX('Watershed plans'!$G$12:$G$19,MATCH(13,'Watershed plans'!$AB$12:$AB$19,0)),"")</f>
        <v/>
      </c>
      <c r="C62" s="10">
        <f>IFERROR(INDEX('Watershed plans'!$B$12:$B$19,MATCH(13,'Watershed plans'!$AB$12:$AB$19,0)),"")</f>
        <v/>
      </c>
      <c r="D62" s="20">
        <f>IFERROR(INDEX('Watershed plans'!$K$12:$K$19,MATCH(13,'Watershed plans'!$AB$12:$AB$19,0)),"")</f>
        <v/>
      </c>
      <c r="E62" s="25">
        <f>IFERROR(INDEX('Watershed plans'!$L$12:$L$19,MATCH(13,'Watershed plans'!$AB$12:$AB$19,0)),"")</f>
        <v/>
      </c>
      <c r="F62" s="24">
        <f>IFERROR(INDEX('Watershed plans'!$J$12:$J$19,MATCH(13,'Watershed plans'!$AB$12:$AB$19,0)),"")</f>
        <v/>
      </c>
      <c r="G62" s="25">
        <f>IFERROR(INDEX('Watershed plans'!$Z$12:$Z$19,MATCH(13,'Watershed plans'!$AB$12:$AB$19,0)),"")</f>
        <v/>
      </c>
      <c r="H62" s="20">
        <f>IF(ISNUMBER(D62),D62-D61,"")</f>
        <v/>
      </c>
      <c r="I62" s="25">
        <f>IF(ISNUMBER(E62),E62-E61,"")</f>
        <v/>
      </c>
      <c r="J62" s="25">
        <f>IF(AND(ISNUMBER(H62),H62&lt;&gt;0),I62/H62,"")</f>
        <v/>
      </c>
      <c r="K62" s="15" t="inlineStr"/>
      <c r="L62" s="30" t="inlineStr"/>
    </row>
    <row r="63">
      <c r="A63" s="4" t="n">
        <v>14</v>
      </c>
      <c r="B63" s="6">
        <f>IFERROR(INDEX('Watershed plans'!$G$12:$G$19,MATCH(14,'Watershed plans'!$AB$12:$AB$19,0)),"")</f>
        <v/>
      </c>
      <c r="C63" s="10">
        <f>IFERROR(INDEX('Watershed plans'!$B$12:$B$19,MATCH(14,'Watershed plans'!$AB$12:$AB$19,0)),"")</f>
        <v/>
      </c>
      <c r="D63" s="20">
        <f>IFERROR(INDEX('Watershed plans'!$K$12:$K$19,MATCH(14,'Watershed plans'!$AB$12:$AB$19,0)),"")</f>
        <v/>
      </c>
      <c r="E63" s="25">
        <f>IFERROR(INDEX('Watershed plans'!$L$12:$L$19,MATCH(14,'Watershed plans'!$AB$12:$AB$19,0)),"")</f>
        <v/>
      </c>
      <c r="F63" s="24">
        <f>IFERROR(INDEX('Watershed plans'!$J$12:$J$19,MATCH(14,'Watershed plans'!$AB$12:$AB$19,0)),"")</f>
        <v/>
      </c>
      <c r="G63" s="25">
        <f>IFERROR(INDEX('Watershed plans'!$Z$12:$Z$19,MATCH(14,'Watershed plans'!$AB$12:$AB$19,0)),"")</f>
        <v/>
      </c>
      <c r="H63" s="20">
        <f>IF(ISNUMBER(D63),D63-D62,"")</f>
        <v/>
      </c>
      <c r="I63" s="25">
        <f>IF(ISNUMBER(E63),E63-E62,"")</f>
        <v/>
      </c>
      <c r="J63" s="25">
        <f>IF(AND(ISNUMBER(H63),H63&lt;&gt;0),I63/H63,"")</f>
        <v/>
      </c>
      <c r="K63" s="15" t="inlineStr"/>
      <c r="L63" s="30" t="inlineStr"/>
    </row>
    <row r="64">
      <c r="A64" s="4" t="n">
        <v>15</v>
      </c>
      <c r="B64" s="6">
        <f>IFERROR(INDEX('Watershed plans'!$G$12:$G$19,MATCH(15,'Watershed plans'!$AB$12:$AB$19,0)),"")</f>
        <v/>
      </c>
      <c r="C64" s="10">
        <f>IFERROR(INDEX('Watershed plans'!$B$12:$B$19,MATCH(15,'Watershed plans'!$AB$12:$AB$19,0)),"")</f>
        <v/>
      </c>
      <c r="D64" s="20">
        <f>IFERROR(INDEX('Watershed plans'!$K$12:$K$19,MATCH(15,'Watershed plans'!$AB$12:$AB$19,0)),"")</f>
        <v/>
      </c>
      <c r="E64" s="25">
        <f>IFERROR(INDEX('Watershed plans'!$L$12:$L$19,MATCH(15,'Watershed plans'!$AB$12:$AB$19,0)),"")</f>
        <v/>
      </c>
      <c r="F64" s="24">
        <f>IFERROR(INDEX('Watershed plans'!$J$12:$J$19,MATCH(15,'Watershed plans'!$AB$12:$AB$19,0)),"")</f>
        <v/>
      </c>
      <c r="G64" s="25">
        <f>IFERROR(INDEX('Watershed plans'!$Z$12:$Z$19,MATCH(15,'Watershed plans'!$AB$12:$AB$19,0)),"")</f>
        <v/>
      </c>
      <c r="H64" s="20">
        <f>IF(ISNUMBER(D64),D64-D63,"")</f>
        <v/>
      </c>
      <c r="I64" s="25">
        <f>IF(ISNUMBER(E64),E64-E63,"")</f>
        <v/>
      </c>
      <c r="J64" s="25">
        <f>IF(AND(ISNUMBER(H64),H64&lt;&gt;0),I64/H64,"")</f>
        <v/>
      </c>
      <c r="K64" s="15" t="inlineStr"/>
      <c r="L64" s="30" t="inlineStr"/>
    </row>
    <row r="65">
      <c r="A65" s="4" t="n">
        <v>16</v>
      </c>
      <c r="B65" s="6">
        <f>IFERROR(INDEX('Watershed plans'!$G$12:$G$19,MATCH(16,'Watershed plans'!$AB$12:$AB$19,0)),"")</f>
        <v/>
      </c>
      <c r="C65" s="10">
        <f>IFERROR(INDEX('Watershed plans'!$B$12:$B$19,MATCH(16,'Watershed plans'!$AB$12:$AB$19,0)),"")</f>
        <v/>
      </c>
      <c r="D65" s="20">
        <f>IFERROR(INDEX('Watershed plans'!$K$12:$K$19,MATCH(16,'Watershed plans'!$AB$12:$AB$19,0)),"")</f>
        <v/>
      </c>
      <c r="E65" s="25">
        <f>IFERROR(INDEX('Watershed plans'!$L$12:$L$19,MATCH(16,'Watershed plans'!$AB$12:$AB$19,0)),"")</f>
        <v/>
      </c>
      <c r="F65" s="24">
        <f>IFERROR(INDEX('Watershed plans'!$J$12:$J$19,MATCH(16,'Watershed plans'!$AB$12:$AB$19,0)),"")</f>
        <v/>
      </c>
      <c r="G65" s="25">
        <f>IFERROR(INDEX('Watershed plans'!$Z$12:$Z$19,MATCH(16,'Watershed plans'!$AB$12:$AB$19,0)),"")</f>
        <v/>
      </c>
      <c r="H65" s="20">
        <f>IF(ISNUMBER(D65),D65-D64,"")</f>
        <v/>
      </c>
      <c r="I65" s="25">
        <f>IF(ISNUMBER(E65),E65-E64,"")</f>
        <v/>
      </c>
      <c r="J65" s="25">
        <f>IF(AND(ISNUMBER(H65),H65&lt;&gt;0),I65/H65,"")</f>
        <v/>
      </c>
      <c r="K65" s="15" t="inlineStr"/>
      <c r="L65" s="30" t="inlineStr"/>
    </row>
    <row r="66">
      <c r="A66" s="4" t="n">
        <v>17</v>
      </c>
      <c r="B66" s="6">
        <f>IFERROR(INDEX('Watershed plans'!$G$12:$G$19,MATCH(17,'Watershed plans'!$AB$12:$AB$19,0)),"")</f>
        <v/>
      </c>
      <c r="C66" s="10">
        <f>IFERROR(INDEX('Watershed plans'!$B$12:$B$19,MATCH(17,'Watershed plans'!$AB$12:$AB$19,0)),"")</f>
        <v/>
      </c>
      <c r="D66" s="20">
        <f>IFERROR(INDEX('Watershed plans'!$K$12:$K$19,MATCH(17,'Watershed plans'!$AB$12:$AB$19,0)),"")</f>
        <v/>
      </c>
      <c r="E66" s="25">
        <f>IFERROR(INDEX('Watershed plans'!$L$12:$L$19,MATCH(17,'Watershed plans'!$AB$12:$AB$19,0)),"")</f>
        <v/>
      </c>
      <c r="F66" s="24">
        <f>IFERROR(INDEX('Watershed plans'!$J$12:$J$19,MATCH(17,'Watershed plans'!$AB$12:$AB$19,0)),"")</f>
        <v/>
      </c>
      <c r="G66" s="25">
        <f>IFERROR(INDEX('Watershed plans'!$Z$12:$Z$19,MATCH(17,'Watershed plans'!$AB$12:$AB$19,0)),"")</f>
        <v/>
      </c>
      <c r="H66" s="20">
        <f>IF(ISNUMBER(D66),D66-D65,"")</f>
        <v/>
      </c>
      <c r="I66" s="25">
        <f>IF(ISNUMBER(E66),E66-E65,"")</f>
        <v/>
      </c>
      <c r="J66" s="25">
        <f>IF(AND(ISNUMBER(H66),H66&lt;&gt;0),I66/H66,"")</f>
        <v/>
      </c>
      <c r="K66" s="15" t="inlineStr"/>
      <c r="L66" s="30" t="inlineStr"/>
    </row>
    <row r="67">
      <c r="A67" s="4" t="n">
        <v>18</v>
      </c>
      <c r="B67" s="6">
        <f>IFERROR(INDEX('Watershed plans'!$G$12:$G$19,MATCH(18,'Watershed plans'!$AB$12:$AB$19,0)),"")</f>
        <v/>
      </c>
      <c r="C67" s="10">
        <f>IFERROR(INDEX('Watershed plans'!$B$12:$B$19,MATCH(18,'Watershed plans'!$AB$12:$AB$19,0)),"")</f>
        <v/>
      </c>
      <c r="D67" s="20">
        <f>IFERROR(INDEX('Watershed plans'!$K$12:$K$19,MATCH(18,'Watershed plans'!$AB$12:$AB$19,0)),"")</f>
        <v/>
      </c>
      <c r="E67" s="25">
        <f>IFERROR(INDEX('Watershed plans'!$L$12:$L$19,MATCH(18,'Watershed plans'!$AB$12:$AB$19,0)),"")</f>
        <v/>
      </c>
      <c r="F67" s="24">
        <f>IFERROR(INDEX('Watershed plans'!$J$12:$J$19,MATCH(18,'Watershed plans'!$AB$12:$AB$19,0)),"")</f>
        <v/>
      </c>
      <c r="G67" s="25">
        <f>IFERROR(INDEX('Watershed plans'!$Z$12:$Z$19,MATCH(18,'Watershed plans'!$AB$12:$AB$19,0)),"")</f>
        <v/>
      </c>
      <c r="H67" s="20">
        <f>IF(ISNUMBER(D67),D67-D66,"")</f>
        <v/>
      </c>
      <c r="I67" s="25">
        <f>IF(ISNUMBER(E67),E67-E66,"")</f>
        <v/>
      </c>
      <c r="J67" s="25">
        <f>IF(AND(ISNUMBER(H67),H67&lt;&gt;0),I67/H67,"")</f>
        <v/>
      </c>
      <c r="K67" s="15" t="inlineStr"/>
      <c r="L67" s="30" t="inlineStr"/>
    </row>
    <row r="68">
      <c r="A68" s="4" t="n">
        <v>19</v>
      </c>
      <c r="B68" s="6">
        <f>IFERROR(INDEX('Watershed plans'!$G$12:$G$19,MATCH(19,'Watershed plans'!$AB$12:$AB$19,0)),"")</f>
        <v/>
      </c>
      <c r="C68" s="10">
        <f>IFERROR(INDEX('Watershed plans'!$B$12:$B$19,MATCH(19,'Watershed plans'!$AB$12:$AB$19,0)),"")</f>
        <v/>
      </c>
      <c r="D68" s="20">
        <f>IFERROR(INDEX('Watershed plans'!$K$12:$K$19,MATCH(19,'Watershed plans'!$AB$12:$AB$19,0)),"")</f>
        <v/>
      </c>
      <c r="E68" s="25">
        <f>IFERROR(INDEX('Watershed plans'!$L$12:$L$19,MATCH(19,'Watershed plans'!$AB$12:$AB$19,0)),"")</f>
        <v/>
      </c>
      <c r="F68" s="24">
        <f>IFERROR(INDEX('Watershed plans'!$J$12:$J$19,MATCH(19,'Watershed plans'!$AB$12:$AB$19,0)),"")</f>
        <v/>
      </c>
      <c r="G68" s="25">
        <f>IFERROR(INDEX('Watershed plans'!$Z$12:$Z$19,MATCH(19,'Watershed plans'!$AB$12:$AB$19,0)),"")</f>
        <v/>
      </c>
      <c r="H68" s="20">
        <f>IF(ISNUMBER(D68),D68-D67,"")</f>
        <v/>
      </c>
      <c r="I68" s="25">
        <f>IF(ISNUMBER(E68),E68-E67,"")</f>
        <v/>
      </c>
      <c r="J68" s="25">
        <f>IF(AND(ISNUMBER(H68),H68&lt;&gt;0),I68/H68,"")</f>
        <v/>
      </c>
      <c r="K68" s="15" t="inlineStr"/>
      <c r="L68" s="30" t="inlineStr"/>
    </row>
    <row r="69">
      <c r="A69" s="4" t="n">
        <v>20</v>
      </c>
      <c r="B69" s="6">
        <f>IFERROR(INDEX('Watershed plans'!$G$12:$G$19,MATCH(20,'Watershed plans'!$AB$12:$AB$19,0)),"")</f>
        <v/>
      </c>
      <c r="C69" s="10">
        <f>IFERROR(INDEX('Watershed plans'!$B$12:$B$19,MATCH(20,'Watershed plans'!$AB$12:$AB$19,0)),"")</f>
        <v/>
      </c>
      <c r="D69" s="20">
        <f>IFERROR(INDEX('Watershed plans'!$K$12:$K$19,MATCH(20,'Watershed plans'!$AB$12:$AB$19,0)),"")</f>
        <v/>
      </c>
      <c r="E69" s="25">
        <f>IFERROR(INDEX('Watershed plans'!$L$12:$L$19,MATCH(20,'Watershed plans'!$AB$12:$AB$19,0)),"")</f>
        <v/>
      </c>
      <c r="F69" s="24">
        <f>IFERROR(INDEX('Watershed plans'!$J$12:$J$19,MATCH(20,'Watershed plans'!$AB$12:$AB$19,0)),"")</f>
        <v/>
      </c>
      <c r="G69" s="25">
        <f>IFERROR(INDEX('Watershed plans'!$Z$12:$Z$19,MATCH(20,'Watershed plans'!$AB$12:$AB$19,0)),"")</f>
        <v/>
      </c>
      <c r="H69" s="20">
        <f>IF(ISNUMBER(D69),D69-D68,"")</f>
        <v/>
      </c>
      <c r="I69" s="25">
        <f>IF(ISNUMBER(E69),E69-E68,"")</f>
        <v/>
      </c>
      <c r="J69" s="25">
        <f>IF(AND(ISNUMBER(H69),H69&lt;&gt;0),I69/H69,"")</f>
        <v/>
      </c>
      <c r="K69" s="15" t="inlineStr"/>
      <c r="L69" s="30" t="inlineStr"/>
    </row>
    <row r="70">
      <c r="A70" s="4" t="n">
        <v>21</v>
      </c>
      <c r="B70" s="6">
        <f>IFERROR(INDEX('Watershed plans'!$G$12:$G$19,MATCH(21,'Watershed plans'!$AB$12:$AB$19,0)),"")</f>
        <v/>
      </c>
      <c r="C70" s="10">
        <f>IFERROR(INDEX('Watershed plans'!$B$12:$B$19,MATCH(21,'Watershed plans'!$AB$12:$AB$19,0)),"")</f>
        <v/>
      </c>
      <c r="D70" s="20">
        <f>IFERROR(INDEX('Watershed plans'!$K$12:$K$19,MATCH(21,'Watershed plans'!$AB$12:$AB$19,0)),"")</f>
        <v/>
      </c>
      <c r="E70" s="25">
        <f>IFERROR(INDEX('Watershed plans'!$L$12:$L$19,MATCH(21,'Watershed plans'!$AB$12:$AB$19,0)),"")</f>
        <v/>
      </c>
      <c r="F70" s="24">
        <f>IFERROR(INDEX('Watershed plans'!$J$12:$J$19,MATCH(21,'Watershed plans'!$AB$12:$AB$19,0)),"")</f>
        <v/>
      </c>
      <c r="G70" s="25">
        <f>IFERROR(INDEX('Watershed plans'!$Z$12:$Z$19,MATCH(21,'Watershed plans'!$AB$12:$AB$19,0)),"")</f>
        <v/>
      </c>
      <c r="H70" s="20">
        <f>IF(ISNUMBER(D70),D70-D69,"")</f>
        <v/>
      </c>
      <c r="I70" s="25">
        <f>IF(ISNUMBER(E70),E70-E69,"")</f>
        <v/>
      </c>
      <c r="J70" s="25">
        <f>IF(AND(ISNUMBER(H70),H70&lt;&gt;0),I70/H70,"")</f>
        <v/>
      </c>
      <c r="K70" s="15" t="inlineStr"/>
      <c r="L70" s="30" t="inlineStr"/>
    </row>
    <row r="71">
      <c r="A71" s="4" t="n">
        <v>22</v>
      </c>
      <c r="B71" s="6">
        <f>IFERROR(INDEX('Watershed plans'!$G$12:$G$19,MATCH(22,'Watershed plans'!$AB$12:$AB$19,0)),"")</f>
        <v/>
      </c>
      <c r="C71" s="10">
        <f>IFERROR(INDEX('Watershed plans'!$B$12:$B$19,MATCH(22,'Watershed plans'!$AB$12:$AB$19,0)),"")</f>
        <v/>
      </c>
      <c r="D71" s="20">
        <f>IFERROR(INDEX('Watershed plans'!$K$12:$K$19,MATCH(22,'Watershed plans'!$AB$12:$AB$19,0)),"")</f>
        <v/>
      </c>
      <c r="E71" s="25">
        <f>IFERROR(INDEX('Watershed plans'!$L$12:$L$19,MATCH(22,'Watershed plans'!$AB$12:$AB$19,0)),"")</f>
        <v/>
      </c>
      <c r="F71" s="24">
        <f>IFERROR(INDEX('Watershed plans'!$J$12:$J$19,MATCH(22,'Watershed plans'!$AB$12:$AB$19,0)),"")</f>
        <v/>
      </c>
      <c r="G71" s="25">
        <f>IFERROR(INDEX('Watershed plans'!$Z$12:$Z$19,MATCH(22,'Watershed plans'!$AB$12:$AB$19,0)),"")</f>
        <v/>
      </c>
      <c r="H71" s="20">
        <f>IF(ISNUMBER(D71),D71-D70,"")</f>
        <v/>
      </c>
      <c r="I71" s="25">
        <f>IF(ISNUMBER(E71),E71-E70,"")</f>
        <v/>
      </c>
      <c r="J71" s="25">
        <f>IF(AND(ISNUMBER(H71),H71&lt;&gt;0),I71/H71,"")</f>
        <v/>
      </c>
      <c r="K71" s="15" t="inlineStr"/>
      <c r="L71" s="30" t="inlineStr"/>
    </row>
    <row r="72">
      <c r="A72" s="4" t="n">
        <v>23</v>
      </c>
      <c r="B72" s="6">
        <f>IFERROR(INDEX('Watershed plans'!$G$12:$G$19,MATCH(23,'Watershed plans'!$AB$12:$AB$19,0)),"")</f>
        <v/>
      </c>
      <c r="C72" s="10">
        <f>IFERROR(INDEX('Watershed plans'!$B$12:$B$19,MATCH(23,'Watershed plans'!$AB$12:$AB$19,0)),"")</f>
        <v/>
      </c>
      <c r="D72" s="20">
        <f>IFERROR(INDEX('Watershed plans'!$K$12:$K$19,MATCH(23,'Watershed plans'!$AB$12:$AB$19,0)),"")</f>
        <v/>
      </c>
      <c r="E72" s="25">
        <f>IFERROR(INDEX('Watershed plans'!$L$12:$L$19,MATCH(23,'Watershed plans'!$AB$12:$AB$19,0)),"")</f>
        <v/>
      </c>
      <c r="F72" s="24">
        <f>IFERROR(INDEX('Watershed plans'!$J$12:$J$19,MATCH(23,'Watershed plans'!$AB$12:$AB$19,0)),"")</f>
        <v/>
      </c>
      <c r="G72" s="25">
        <f>IFERROR(INDEX('Watershed plans'!$Z$12:$Z$19,MATCH(23,'Watershed plans'!$AB$12:$AB$19,0)),"")</f>
        <v/>
      </c>
      <c r="H72" s="20">
        <f>IF(ISNUMBER(D72),D72-D71,"")</f>
        <v/>
      </c>
      <c r="I72" s="25">
        <f>IF(ISNUMBER(E72),E72-E71,"")</f>
        <v/>
      </c>
      <c r="J72" s="25">
        <f>IF(AND(ISNUMBER(H72),H72&lt;&gt;0),I72/H72,"")</f>
        <v/>
      </c>
      <c r="K72" s="15" t="inlineStr"/>
      <c r="L72" s="30" t="inlineStr"/>
    </row>
    <row r="73">
      <c r="A73" s="4" t="n">
        <v>24</v>
      </c>
      <c r="B73" s="6">
        <f>IFERROR(INDEX('Watershed plans'!$G$12:$G$19,MATCH(24,'Watershed plans'!$AB$12:$AB$19,0)),"")</f>
        <v/>
      </c>
      <c r="C73" s="10">
        <f>IFERROR(INDEX('Watershed plans'!$B$12:$B$19,MATCH(24,'Watershed plans'!$AB$12:$AB$19,0)),"")</f>
        <v/>
      </c>
      <c r="D73" s="20">
        <f>IFERROR(INDEX('Watershed plans'!$K$12:$K$19,MATCH(24,'Watershed plans'!$AB$12:$AB$19,0)),"")</f>
        <v/>
      </c>
      <c r="E73" s="25">
        <f>IFERROR(INDEX('Watershed plans'!$L$12:$L$19,MATCH(24,'Watershed plans'!$AB$12:$AB$19,0)),"")</f>
        <v/>
      </c>
      <c r="F73" s="24">
        <f>IFERROR(INDEX('Watershed plans'!$J$12:$J$19,MATCH(24,'Watershed plans'!$AB$12:$AB$19,0)),"")</f>
        <v/>
      </c>
      <c r="G73" s="25">
        <f>IFERROR(INDEX('Watershed plans'!$Z$12:$Z$19,MATCH(24,'Watershed plans'!$AB$12:$AB$19,0)),"")</f>
        <v/>
      </c>
      <c r="H73" s="20">
        <f>IF(ISNUMBER(D73),D73-D72,"")</f>
        <v/>
      </c>
      <c r="I73" s="25">
        <f>IF(ISNUMBER(E73),E73-E72,"")</f>
        <v/>
      </c>
      <c r="J73" s="25">
        <f>IF(AND(ISNUMBER(H73),H73&lt;&gt;0),I73/H73,"")</f>
        <v/>
      </c>
      <c r="K73" s="15" t="inlineStr"/>
      <c r="L73" s="30" t="inlineStr"/>
    </row>
    <row r="74">
      <c r="A74" s="4" t="n">
        <v>25</v>
      </c>
      <c r="B74" s="6">
        <f>IFERROR(INDEX('Watershed plans'!$G$12:$G$19,MATCH(25,'Watershed plans'!$AB$12:$AB$19,0)),"")</f>
        <v/>
      </c>
      <c r="C74" s="10">
        <f>IFERROR(INDEX('Watershed plans'!$B$12:$B$19,MATCH(25,'Watershed plans'!$AB$12:$AB$19,0)),"")</f>
        <v/>
      </c>
      <c r="D74" s="20">
        <f>IFERROR(INDEX('Watershed plans'!$K$12:$K$19,MATCH(25,'Watershed plans'!$AB$12:$AB$19,0)),"")</f>
        <v/>
      </c>
      <c r="E74" s="25">
        <f>IFERROR(INDEX('Watershed plans'!$L$12:$L$19,MATCH(25,'Watershed plans'!$AB$12:$AB$19,0)),"")</f>
        <v/>
      </c>
      <c r="F74" s="24">
        <f>IFERROR(INDEX('Watershed plans'!$J$12:$J$19,MATCH(25,'Watershed plans'!$AB$12:$AB$19,0)),"")</f>
        <v/>
      </c>
      <c r="G74" s="25">
        <f>IFERROR(INDEX('Watershed plans'!$Z$12:$Z$19,MATCH(25,'Watershed plans'!$AB$12:$AB$19,0)),"")</f>
        <v/>
      </c>
      <c r="H74" s="20">
        <f>IF(ISNUMBER(D74),D74-D73,"")</f>
        <v/>
      </c>
      <c r="I74" s="25">
        <f>IF(ISNUMBER(E74),E74-E73,"")</f>
        <v/>
      </c>
      <c r="J74" s="25">
        <f>IF(AND(ISNUMBER(H74),H74&lt;&gt;0),I74/H74,"")</f>
        <v/>
      </c>
      <c r="K74" s="15" t="inlineStr"/>
      <c r="L74" s="30" t="inlineStr"/>
    </row>
    <row r="75">
      <c r="A75" s="4" t="n">
        <v>26</v>
      </c>
      <c r="B75" s="6">
        <f>IFERROR(INDEX('Watershed plans'!$G$12:$G$19,MATCH(26,'Watershed plans'!$AB$12:$AB$19,0)),"")</f>
        <v/>
      </c>
      <c r="C75" s="10">
        <f>IFERROR(INDEX('Watershed plans'!$B$12:$B$19,MATCH(26,'Watershed plans'!$AB$12:$AB$19,0)),"")</f>
        <v/>
      </c>
      <c r="D75" s="20">
        <f>IFERROR(INDEX('Watershed plans'!$K$12:$K$19,MATCH(26,'Watershed plans'!$AB$12:$AB$19,0)),"")</f>
        <v/>
      </c>
      <c r="E75" s="25">
        <f>IFERROR(INDEX('Watershed plans'!$L$12:$L$19,MATCH(26,'Watershed plans'!$AB$12:$AB$19,0)),"")</f>
        <v/>
      </c>
      <c r="F75" s="24">
        <f>IFERROR(INDEX('Watershed plans'!$J$12:$J$19,MATCH(26,'Watershed plans'!$AB$12:$AB$19,0)),"")</f>
        <v/>
      </c>
      <c r="G75" s="25">
        <f>IFERROR(INDEX('Watershed plans'!$Z$12:$Z$19,MATCH(26,'Watershed plans'!$AB$12:$AB$19,0)),"")</f>
        <v/>
      </c>
      <c r="H75" s="20">
        <f>IF(ISNUMBER(D75),D75-D74,"")</f>
        <v/>
      </c>
      <c r="I75" s="25">
        <f>IF(ISNUMBER(E75),E75-E74,"")</f>
        <v/>
      </c>
      <c r="J75" s="25">
        <f>IF(AND(ISNUMBER(H75),H75&lt;&gt;0),I75/H75,"")</f>
        <v/>
      </c>
      <c r="K75" s="15" t="inlineStr"/>
      <c r="L75" s="30" t="inlineStr"/>
    </row>
    <row r="76">
      <c r="A76" s="4" t="n">
        <v>27</v>
      </c>
      <c r="B76" s="6">
        <f>IFERROR(INDEX('Watershed plans'!$G$12:$G$19,MATCH(27,'Watershed plans'!$AB$12:$AB$19,0)),"")</f>
        <v/>
      </c>
      <c r="C76" s="10">
        <f>IFERROR(INDEX('Watershed plans'!$B$12:$B$19,MATCH(27,'Watershed plans'!$AB$12:$AB$19,0)),"")</f>
        <v/>
      </c>
      <c r="D76" s="20">
        <f>IFERROR(INDEX('Watershed plans'!$K$12:$K$19,MATCH(27,'Watershed plans'!$AB$12:$AB$19,0)),"")</f>
        <v/>
      </c>
      <c r="E76" s="25">
        <f>IFERROR(INDEX('Watershed plans'!$L$12:$L$19,MATCH(27,'Watershed plans'!$AB$12:$AB$19,0)),"")</f>
        <v/>
      </c>
      <c r="F76" s="24">
        <f>IFERROR(INDEX('Watershed plans'!$J$12:$J$19,MATCH(27,'Watershed plans'!$AB$12:$AB$19,0)),"")</f>
        <v/>
      </c>
      <c r="G76" s="25">
        <f>IFERROR(INDEX('Watershed plans'!$Z$12:$Z$19,MATCH(27,'Watershed plans'!$AB$12:$AB$19,0)),"")</f>
        <v/>
      </c>
      <c r="H76" s="20">
        <f>IF(ISNUMBER(D76),D76-D75,"")</f>
        <v/>
      </c>
      <c r="I76" s="25">
        <f>IF(ISNUMBER(E76),E76-E75,"")</f>
        <v/>
      </c>
      <c r="J76" s="25">
        <f>IF(AND(ISNUMBER(H76),H76&lt;&gt;0),I76/H76,"")</f>
        <v/>
      </c>
      <c r="K76" s="15" t="inlineStr"/>
      <c r="L76" s="30" t="inlineStr"/>
    </row>
    <row r="77">
      <c r="A77" s="4" t="n">
        <v>28</v>
      </c>
      <c r="B77" s="6">
        <f>IFERROR(INDEX('Watershed plans'!$G$12:$G$19,MATCH(28,'Watershed plans'!$AB$12:$AB$19,0)),"")</f>
        <v/>
      </c>
      <c r="C77" s="10">
        <f>IFERROR(INDEX('Watershed plans'!$B$12:$B$19,MATCH(28,'Watershed plans'!$AB$12:$AB$19,0)),"")</f>
        <v/>
      </c>
      <c r="D77" s="20">
        <f>IFERROR(INDEX('Watershed plans'!$K$12:$K$19,MATCH(28,'Watershed plans'!$AB$12:$AB$19,0)),"")</f>
        <v/>
      </c>
      <c r="E77" s="25">
        <f>IFERROR(INDEX('Watershed plans'!$L$12:$L$19,MATCH(28,'Watershed plans'!$AB$12:$AB$19,0)),"")</f>
        <v/>
      </c>
      <c r="F77" s="24">
        <f>IFERROR(INDEX('Watershed plans'!$J$12:$J$19,MATCH(28,'Watershed plans'!$AB$12:$AB$19,0)),"")</f>
        <v/>
      </c>
      <c r="G77" s="25">
        <f>IFERROR(INDEX('Watershed plans'!$Z$12:$Z$19,MATCH(28,'Watershed plans'!$AB$12:$AB$19,0)),"")</f>
        <v/>
      </c>
      <c r="H77" s="20">
        <f>IF(ISNUMBER(D77),D77-D76,"")</f>
        <v/>
      </c>
      <c r="I77" s="25">
        <f>IF(ISNUMBER(E77),E77-E76,"")</f>
        <v/>
      </c>
      <c r="J77" s="25">
        <f>IF(AND(ISNUMBER(H77),H77&lt;&gt;0),I77/H77,"")</f>
        <v/>
      </c>
      <c r="K77" s="15" t="inlineStr"/>
      <c r="L77" s="30" t="inlineStr"/>
    </row>
    <row r="78">
      <c r="A78" s="4" t="n">
        <v>29</v>
      </c>
      <c r="B78" s="6">
        <f>IFERROR(INDEX('Watershed plans'!$G$12:$G$19,MATCH(29,'Watershed plans'!$AB$12:$AB$19,0)),"")</f>
        <v/>
      </c>
      <c r="C78" s="10">
        <f>IFERROR(INDEX('Watershed plans'!$B$12:$B$19,MATCH(29,'Watershed plans'!$AB$12:$AB$19,0)),"")</f>
        <v/>
      </c>
      <c r="D78" s="20">
        <f>IFERROR(INDEX('Watershed plans'!$K$12:$K$19,MATCH(29,'Watershed plans'!$AB$12:$AB$19,0)),"")</f>
        <v/>
      </c>
      <c r="E78" s="25">
        <f>IFERROR(INDEX('Watershed plans'!$L$12:$L$19,MATCH(29,'Watershed plans'!$AB$12:$AB$19,0)),"")</f>
        <v/>
      </c>
      <c r="F78" s="24">
        <f>IFERROR(INDEX('Watershed plans'!$J$12:$J$19,MATCH(29,'Watershed plans'!$AB$12:$AB$19,0)),"")</f>
        <v/>
      </c>
      <c r="G78" s="25">
        <f>IFERROR(INDEX('Watershed plans'!$Z$12:$Z$19,MATCH(29,'Watershed plans'!$AB$12:$AB$19,0)),"")</f>
        <v/>
      </c>
      <c r="H78" s="20">
        <f>IF(ISNUMBER(D78),D78-D77,"")</f>
        <v/>
      </c>
      <c r="I78" s="25">
        <f>IF(ISNUMBER(E78),E78-E77,"")</f>
        <v/>
      </c>
      <c r="J78" s="25">
        <f>IF(AND(ISNUMBER(H78),H78&lt;&gt;0),I78/H78,"")</f>
        <v/>
      </c>
      <c r="K78" s="15" t="inlineStr"/>
      <c r="L78" s="30" t="inlineStr"/>
    </row>
    <row r="79">
      <c r="A79" s="4" t="n">
        <v>30</v>
      </c>
      <c r="B79" s="6">
        <f>IFERROR(INDEX('Watershed plans'!$G$12:$G$19,MATCH(30,'Watershed plans'!$AB$12:$AB$19,0)),"")</f>
        <v/>
      </c>
      <c r="C79" s="10">
        <f>IFERROR(INDEX('Watershed plans'!$B$12:$B$19,MATCH(30,'Watershed plans'!$AB$12:$AB$19,0)),"")</f>
        <v/>
      </c>
      <c r="D79" s="20">
        <f>IFERROR(INDEX('Watershed plans'!$K$12:$K$19,MATCH(30,'Watershed plans'!$AB$12:$AB$19,0)),"")</f>
        <v/>
      </c>
      <c r="E79" s="25">
        <f>IFERROR(INDEX('Watershed plans'!$L$12:$L$19,MATCH(30,'Watershed plans'!$AB$12:$AB$19,0)),"")</f>
        <v/>
      </c>
      <c r="F79" s="24">
        <f>IFERROR(INDEX('Watershed plans'!$J$12:$J$19,MATCH(30,'Watershed plans'!$AB$12:$AB$19,0)),"")</f>
        <v/>
      </c>
      <c r="G79" s="25">
        <f>IFERROR(INDEX('Watershed plans'!$Z$12:$Z$19,MATCH(30,'Watershed plans'!$AB$12:$AB$19,0)),"")</f>
        <v/>
      </c>
      <c r="H79" s="20">
        <f>IF(ISNUMBER(D79),D79-D78,"")</f>
        <v/>
      </c>
      <c r="I79" s="25">
        <f>IF(ISNUMBER(E79),E79-E78,"")</f>
        <v/>
      </c>
      <c r="J79" s="25">
        <f>IF(AND(ISNUMBER(H79),H79&lt;&gt;0),I79/H79,"")</f>
        <v/>
      </c>
      <c r="K79" s="15" t="inlineStr"/>
      <c r="L79" s="30" t="inlineStr"/>
    </row>
    <row r="80">
      <c r="A80" s="4" t="n">
        <v>31</v>
      </c>
      <c r="B80" s="6">
        <f>IFERROR(INDEX('Watershed plans'!$G$12:$G$19,MATCH(31,'Watershed plans'!$AB$12:$AB$19,0)),"")</f>
        <v/>
      </c>
      <c r="C80" s="10">
        <f>IFERROR(INDEX('Watershed plans'!$B$12:$B$19,MATCH(31,'Watershed plans'!$AB$12:$AB$19,0)),"")</f>
        <v/>
      </c>
      <c r="D80" s="20">
        <f>IFERROR(INDEX('Watershed plans'!$K$12:$K$19,MATCH(31,'Watershed plans'!$AB$12:$AB$19,0)),"")</f>
        <v/>
      </c>
      <c r="E80" s="25">
        <f>IFERROR(INDEX('Watershed plans'!$L$12:$L$19,MATCH(31,'Watershed plans'!$AB$12:$AB$19,0)),"")</f>
        <v/>
      </c>
      <c r="F80" s="24">
        <f>IFERROR(INDEX('Watershed plans'!$J$12:$J$19,MATCH(31,'Watershed plans'!$AB$12:$AB$19,0)),"")</f>
        <v/>
      </c>
      <c r="G80" s="25">
        <f>IFERROR(INDEX('Watershed plans'!$Z$12:$Z$19,MATCH(31,'Watershed plans'!$AB$12:$AB$19,0)),"")</f>
        <v/>
      </c>
      <c r="H80" s="20">
        <f>IF(ISNUMBER(D80),D80-D79,"")</f>
        <v/>
      </c>
      <c r="I80" s="25">
        <f>IF(ISNUMBER(E80),E80-E79,"")</f>
        <v/>
      </c>
      <c r="J80" s="25">
        <f>IF(AND(ISNUMBER(H80),H80&lt;&gt;0),I80/H80,"")</f>
        <v/>
      </c>
      <c r="K80" s="15" t="inlineStr"/>
      <c r="L80" s="30" t="inlineStr"/>
    </row>
    <row r="81">
      <c r="A81" s="4" t="n">
        <v>32</v>
      </c>
      <c r="B81" s="6">
        <f>IFERROR(INDEX('Watershed plans'!$G$12:$G$19,MATCH(32,'Watershed plans'!$AB$12:$AB$19,0)),"")</f>
        <v/>
      </c>
      <c r="C81" s="10">
        <f>IFERROR(INDEX('Watershed plans'!$B$12:$B$19,MATCH(32,'Watershed plans'!$AB$12:$AB$19,0)),"")</f>
        <v/>
      </c>
      <c r="D81" s="20">
        <f>IFERROR(INDEX('Watershed plans'!$K$12:$K$19,MATCH(32,'Watershed plans'!$AB$12:$AB$19,0)),"")</f>
        <v/>
      </c>
      <c r="E81" s="25">
        <f>IFERROR(INDEX('Watershed plans'!$L$12:$L$19,MATCH(32,'Watershed plans'!$AB$12:$AB$19,0)),"")</f>
        <v/>
      </c>
      <c r="F81" s="24">
        <f>IFERROR(INDEX('Watershed plans'!$J$12:$J$19,MATCH(32,'Watershed plans'!$AB$12:$AB$19,0)),"")</f>
        <v/>
      </c>
      <c r="G81" s="25">
        <f>IFERROR(INDEX('Watershed plans'!$Z$12:$Z$19,MATCH(32,'Watershed plans'!$AB$12:$AB$19,0)),"")</f>
        <v/>
      </c>
      <c r="H81" s="20">
        <f>IF(ISNUMBER(D81),D81-D80,"")</f>
        <v/>
      </c>
      <c r="I81" s="25">
        <f>IF(ISNUMBER(E81),E81-E80,"")</f>
        <v/>
      </c>
      <c r="J81" s="25">
        <f>IF(AND(ISNUMBER(H81),H81&lt;&gt;0),I81/H81,"")</f>
        <v/>
      </c>
      <c r="K81" s="15" t="inlineStr"/>
      <c r="L81" s="30" t="inlineStr"/>
    </row>
    <row r="82">
      <c r="A82" s="4" t="n">
        <v>33</v>
      </c>
      <c r="B82" s="6">
        <f>IFERROR(INDEX('Watershed plans'!$G$12:$G$19,MATCH(33,'Watershed plans'!$AB$12:$AB$19,0)),"")</f>
        <v/>
      </c>
      <c r="C82" s="10">
        <f>IFERROR(INDEX('Watershed plans'!$B$12:$B$19,MATCH(33,'Watershed plans'!$AB$12:$AB$19,0)),"")</f>
        <v/>
      </c>
      <c r="D82" s="20">
        <f>IFERROR(INDEX('Watershed plans'!$K$12:$K$19,MATCH(33,'Watershed plans'!$AB$12:$AB$19,0)),"")</f>
        <v/>
      </c>
      <c r="E82" s="25">
        <f>IFERROR(INDEX('Watershed plans'!$L$12:$L$19,MATCH(33,'Watershed plans'!$AB$12:$AB$19,0)),"")</f>
        <v/>
      </c>
      <c r="F82" s="24">
        <f>IFERROR(INDEX('Watershed plans'!$J$12:$J$19,MATCH(33,'Watershed plans'!$AB$12:$AB$19,0)),"")</f>
        <v/>
      </c>
      <c r="G82" s="25">
        <f>IFERROR(INDEX('Watershed plans'!$Z$12:$Z$19,MATCH(33,'Watershed plans'!$AB$12:$AB$19,0)),"")</f>
        <v/>
      </c>
      <c r="H82" s="20">
        <f>IF(ISNUMBER(D82),D82-D81,"")</f>
        <v/>
      </c>
      <c r="I82" s="25">
        <f>IF(ISNUMBER(E82),E82-E81,"")</f>
        <v/>
      </c>
      <c r="J82" s="25">
        <f>IF(AND(ISNUMBER(H82),H82&lt;&gt;0),I82/H82,"")</f>
        <v/>
      </c>
      <c r="K82" s="15" t="inlineStr"/>
      <c r="L82" s="30" t="inlineStr"/>
    </row>
    <row r="83">
      <c r="A83" s="4" t="n">
        <v>34</v>
      </c>
      <c r="B83" s="6">
        <f>IFERROR(INDEX('Watershed plans'!$G$12:$G$19,MATCH(34,'Watershed plans'!$AB$12:$AB$19,0)),"")</f>
        <v/>
      </c>
      <c r="C83" s="10">
        <f>IFERROR(INDEX('Watershed plans'!$B$12:$B$19,MATCH(34,'Watershed plans'!$AB$12:$AB$19,0)),"")</f>
        <v/>
      </c>
      <c r="D83" s="20">
        <f>IFERROR(INDEX('Watershed plans'!$K$12:$K$19,MATCH(34,'Watershed plans'!$AB$12:$AB$19,0)),"")</f>
        <v/>
      </c>
      <c r="E83" s="25">
        <f>IFERROR(INDEX('Watershed plans'!$L$12:$L$19,MATCH(34,'Watershed plans'!$AB$12:$AB$19,0)),"")</f>
        <v/>
      </c>
      <c r="F83" s="24">
        <f>IFERROR(INDEX('Watershed plans'!$J$12:$J$19,MATCH(34,'Watershed plans'!$AB$12:$AB$19,0)),"")</f>
        <v/>
      </c>
      <c r="G83" s="25">
        <f>IFERROR(INDEX('Watershed plans'!$Z$12:$Z$19,MATCH(34,'Watershed plans'!$AB$12:$AB$19,0)),"")</f>
        <v/>
      </c>
      <c r="H83" s="20">
        <f>IF(ISNUMBER(D83),D83-D82,"")</f>
        <v/>
      </c>
      <c r="I83" s="25">
        <f>IF(ISNUMBER(E83),E83-E82,"")</f>
        <v/>
      </c>
      <c r="J83" s="25">
        <f>IF(AND(ISNUMBER(H83),H83&lt;&gt;0),I83/H83,"")</f>
        <v/>
      </c>
      <c r="K83" s="15" t="inlineStr"/>
      <c r="L83" s="30" t="inlineStr"/>
    </row>
    <row r="84">
      <c r="A84" s="4" t="n">
        <v>35</v>
      </c>
      <c r="B84" s="6">
        <f>IFERROR(INDEX('Watershed plans'!$G$12:$G$19,MATCH(35,'Watershed plans'!$AB$12:$AB$19,0)),"")</f>
        <v/>
      </c>
      <c r="C84" s="10">
        <f>IFERROR(INDEX('Watershed plans'!$B$12:$B$19,MATCH(35,'Watershed plans'!$AB$12:$AB$19,0)),"")</f>
        <v/>
      </c>
      <c r="D84" s="20">
        <f>IFERROR(INDEX('Watershed plans'!$K$12:$K$19,MATCH(35,'Watershed plans'!$AB$12:$AB$19,0)),"")</f>
        <v/>
      </c>
      <c r="E84" s="25">
        <f>IFERROR(INDEX('Watershed plans'!$L$12:$L$19,MATCH(35,'Watershed plans'!$AB$12:$AB$19,0)),"")</f>
        <v/>
      </c>
      <c r="F84" s="24">
        <f>IFERROR(INDEX('Watershed plans'!$J$12:$J$19,MATCH(35,'Watershed plans'!$AB$12:$AB$19,0)),"")</f>
        <v/>
      </c>
      <c r="G84" s="25">
        <f>IFERROR(INDEX('Watershed plans'!$Z$12:$Z$19,MATCH(35,'Watershed plans'!$AB$12:$AB$19,0)),"")</f>
        <v/>
      </c>
      <c r="H84" s="20">
        <f>IF(ISNUMBER(D84),D84-D83,"")</f>
        <v/>
      </c>
      <c r="I84" s="25">
        <f>IF(ISNUMBER(E84),E84-E83,"")</f>
        <v/>
      </c>
      <c r="J84" s="25">
        <f>IF(AND(ISNUMBER(H84),H84&lt;&gt;0),I84/H84,"")</f>
        <v/>
      </c>
      <c r="K84" s="15" t="inlineStr"/>
      <c r="L84" s="30" t="inlineStr"/>
    </row>
    <row r="85">
      <c r="A85" s="4" t="n">
        <v>36</v>
      </c>
      <c r="B85" s="6">
        <f>IFERROR(INDEX('Watershed plans'!$G$12:$G$19,MATCH(36,'Watershed plans'!$AB$12:$AB$19,0)),"")</f>
        <v/>
      </c>
      <c r="C85" s="10">
        <f>IFERROR(INDEX('Watershed plans'!$B$12:$B$19,MATCH(36,'Watershed plans'!$AB$12:$AB$19,0)),"")</f>
        <v/>
      </c>
      <c r="D85" s="20">
        <f>IFERROR(INDEX('Watershed plans'!$K$12:$K$19,MATCH(36,'Watershed plans'!$AB$12:$AB$19,0)),"")</f>
        <v/>
      </c>
      <c r="E85" s="25">
        <f>IFERROR(INDEX('Watershed plans'!$L$12:$L$19,MATCH(36,'Watershed plans'!$AB$12:$AB$19,0)),"")</f>
        <v/>
      </c>
      <c r="F85" s="24">
        <f>IFERROR(INDEX('Watershed plans'!$J$12:$J$19,MATCH(36,'Watershed plans'!$AB$12:$AB$19,0)),"")</f>
        <v/>
      </c>
      <c r="G85" s="25">
        <f>IFERROR(INDEX('Watershed plans'!$Z$12:$Z$19,MATCH(36,'Watershed plans'!$AB$12:$AB$19,0)),"")</f>
        <v/>
      </c>
      <c r="H85" s="20">
        <f>IF(ISNUMBER(D85),D85-D84,"")</f>
        <v/>
      </c>
      <c r="I85" s="25">
        <f>IF(ISNUMBER(E85),E85-E84,"")</f>
        <v/>
      </c>
      <c r="J85" s="25">
        <f>IF(AND(ISNUMBER(H85),H85&lt;&gt;0),I85/H85,"")</f>
        <v/>
      </c>
      <c r="K85" s="15" t="inlineStr"/>
      <c r="L85" s="30" t="inlineStr"/>
    </row>
    <row r="86">
      <c r="A86" s="4" t="n">
        <v>37</v>
      </c>
      <c r="B86" s="6">
        <f>IFERROR(INDEX('Watershed plans'!$G$12:$G$19,MATCH(37,'Watershed plans'!$AB$12:$AB$19,0)),"")</f>
        <v/>
      </c>
      <c r="C86" s="10">
        <f>IFERROR(INDEX('Watershed plans'!$B$12:$B$19,MATCH(37,'Watershed plans'!$AB$12:$AB$19,0)),"")</f>
        <v/>
      </c>
      <c r="D86" s="20">
        <f>IFERROR(INDEX('Watershed plans'!$K$12:$K$19,MATCH(37,'Watershed plans'!$AB$12:$AB$19,0)),"")</f>
        <v/>
      </c>
      <c r="E86" s="25">
        <f>IFERROR(INDEX('Watershed plans'!$L$12:$L$19,MATCH(37,'Watershed plans'!$AB$12:$AB$19,0)),"")</f>
        <v/>
      </c>
      <c r="F86" s="24">
        <f>IFERROR(INDEX('Watershed plans'!$J$12:$J$19,MATCH(37,'Watershed plans'!$AB$12:$AB$19,0)),"")</f>
        <v/>
      </c>
      <c r="G86" s="25">
        <f>IFERROR(INDEX('Watershed plans'!$Z$12:$Z$19,MATCH(37,'Watershed plans'!$AB$12:$AB$19,0)),"")</f>
        <v/>
      </c>
      <c r="H86" s="20">
        <f>IF(ISNUMBER(D86),D86-D85,"")</f>
        <v/>
      </c>
      <c r="I86" s="25">
        <f>IF(ISNUMBER(E86),E86-E85,"")</f>
        <v/>
      </c>
      <c r="J86" s="25">
        <f>IF(AND(ISNUMBER(H86),H86&lt;&gt;0),I86/H86,"")</f>
        <v/>
      </c>
      <c r="K86" s="15" t="inlineStr"/>
      <c r="L86" s="30" t="inlineStr"/>
    </row>
    <row r="87">
      <c r="A87" s="4" t="n">
        <v>38</v>
      </c>
      <c r="B87" s="6">
        <f>IFERROR(INDEX('Watershed plans'!$G$12:$G$19,MATCH(38,'Watershed plans'!$AB$12:$AB$19,0)),"")</f>
        <v/>
      </c>
      <c r="C87" s="10">
        <f>IFERROR(INDEX('Watershed plans'!$B$12:$B$19,MATCH(38,'Watershed plans'!$AB$12:$AB$19,0)),"")</f>
        <v/>
      </c>
      <c r="D87" s="20">
        <f>IFERROR(INDEX('Watershed plans'!$K$12:$K$19,MATCH(38,'Watershed plans'!$AB$12:$AB$19,0)),"")</f>
        <v/>
      </c>
      <c r="E87" s="25">
        <f>IFERROR(INDEX('Watershed plans'!$L$12:$L$19,MATCH(38,'Watershed plans'!$AB$12:$AB$19,0)),"")</f>
        <v/>
      </c>
      <c r="F87" s="24">
        <f>IFERROR(INDEX('Watershed plans'!$J$12:$J$19,MATCH(38,'Watershed plans'!$AB$12:$AB$19,0)),"")</f>
        <v/>
      </c>
      <c r="G87" s="25">
        <f>IFERROR(INDEX('Watershed plans'!$Z$12:$Z$19,MATCH(38,'Watershed plans'!$AB$12:$AB$19,0)),"")</f>
        <v/>
      </c>
      <c r="H87" s="20">
        <f>IF(ISNUMBER(D87),D87-D86,"")</f>
        <v/>
      </c>
      <c r="I87" s="25">
        <f>IF(ISNUMBER(E87),E87-E86,"")</f>
        <v/>
      </c>
      <c r="J87" s="25">
        <f>IF(AND(ISNUMBER(H87),H87&lt;&gt;0),I87/H87,"")</f>
        <v/>
      </c>
      <c r="K87" s="15" t="inlineStr"/>
      <c r="L87" s="30" t="inlineStr"/>
    </row>
    <row r="88">
      <c r="A88" s="4" t="n">
        <v>39</v>
      </c>
      <c r="B88" s="6">
        <f>IFERROR(INDEX('Watershed plans'!$G$12:$G$19,MATCH(39,'Watershed plans'!$AB$12:$AB$19,0)),"")</f>
        <v/>
      </c>
      <c r="C88" s="10">
        <f>IFERROR(INDEX('Watershed plans'!$B$12:$B$19,MATCH(39,'Watershed plans'!$AB$12:$AB$19,0)),"")</f>
        <v/>
      </c>
      <c r="D88" s="20">
        <f>IFERROR(INDEX('Watershed plans'!$K$12:$K$19,MATCH(39,'Watershed plans'!$AB$12:$AB$19,0)),"")</f>
        <v/>
      </c>
      <c r="E88" s="25">
        <f>IFERROR(INDEX('Watershed plans'!$L$12:$L$19,MATCH(39,'Watershed plans'!$AB$12:$AB$19,0)),"")</f>
        <v/>
      </c>
      <c r="F88" s="24">
        <f>IFERROR(INDEX('Watershed plans'!$J$12:$J$19,MATCH(39,'Watershed plans'!$AB$12:$AB$19,0)),"")</f>
        <v/>
      </c>
      <c r="G88" s="25">
        <f>IFERROR(INDEX('Watershed plans'!$Z$12:$Z$19,MATCH(39,'Watershed plans'!$AB$12:$AB$19,0)),"")</f>
        <v/>
      </c>
      <c r="H88" s="20">
        <f>IF(ISNUMBER(D88),D88-D87,"")</f>
        <v/>
      </c>
      <c r="I88" s="25">
        <f>IF(ISNUMBER(E88),E88-E87,"")</f>
        <v/>
      </c>
      <c r="J88" s="25">
        <f>IF(AND(ISNUMBER(H88),H88&lt;&gt;0),I88/H88,"")</f>
        <v/>
      </c>
      <c r="K88" s="15" t="inlineStr"/>
      <c r="L88" s="30" t="inlineStr"/>
    </row>
    <row r="89">
      <c r="A89" s="4" t="n">
        <v>40</v>
      </c>
      <c r="B89" s="6">
        <f>IFERROR(INDEX('Watershed plans'!$G$12:$G$19,MATCH(40,'Watershed plans'!$AB$12:$AB$19,0)),"")</f>
        <v/>
      </c>
      <c r="C89" s="10">
        <f>IFERROR(INDEX('Watershed plans'!$B$12:$B$19,MATCH(40,'Watershed plans'!$AB$12:$AB$19,0)),"")</f>
        <v/>
      </c>
      <c r="D89" s="20">
        <f>IFERROR(INDEX('Watershed plans'!$K$12:$K$19,MATCH(40,'Watershed plans'!$AB$12:$AB$19,0)),"")</f>
        <v/>
      </c>
      <c r="E89" s="25">
        <f>IFERROR(INDEX('Watershed plans'!$L$12:$L$19,MATCH(40,'Watershed plans'!$AB$12:$AB$19,0)),"")</f>
        <v/>
      </c>
      <c r="F89" s="24">
        <f>IFERROR(INDEX('Watershed plans'!$J$12:$J$19,MATCH(40,'Watershed plans'!$AB$12:$AB$19,0)),"")</f>
        <v/>
      </c>
      <c r="G89" s="25">
        <f>IFERROR(INDEX('Watershed plans'!$Z$12:$Z$19,MATCH(40,'Watershed plans'!$AB$12:$AB$19,0)),"")</f>
        <v/>
      </c>
      <c r="H89" s="20">
        <f>IF(ISNUMBER(D89),D89-D88,"")</f>
        <v/>
      </c>
      <c r="I89" s="25">
        <f>IF(ISNUMBER(E89),E89-E88,"")</f>
        <v/>
      </c>
      <c r="J89" s="25">
        <f>IF(AND(ISNUMBER(H89),H89&lt;&gt;0),I89/H89,"")</f>
        <v/>
      </c>
      <c r="K89" s="15" t="inlineStr"/>
      <c r="L89" s="30" t="inlineStr"/>
    </row>
    <row r="92">
      <c r="A92" s="7" t="inlineStr">
        <is>
          <t>Tentatively selected plan</t>
        </is>
      </c>
    </row>
    <row r="93">
      <c r="A93" s="4" t="inlineStr">
        <is>
          <t>Plan number</t>
        </is>
      </c>
      <c r="B93" s="14" t="n"/>
    </row>
    <row r="94">
      <c r="A94" s="4" t="inlineStr">
        <is>
          <t>Plan</t>
        </is>
      </c>
      <c r="B94" s="10">
        <f>IFERROR(INDEX('Watershed plans'!$B$12:$B$19,MATCH($B$93,'Watershed plans'!$G$12:$G$19,0)),"n/a")</f>
        <v/>
      </c>
    </row>
    <row r="95">
      <c r="A95" s="4" t="inlineStr">
        <is>
          <t>Lift (AAHU)</t>
        </is>
      </c>
      <c r="B95" s="20">
        <f>IFERROR(INDEX('Watershed plans'!$K$12:$K$19,MATCH($B$93,'Watershed plans'!$G$12:$G$19,0)),"n/a")</f>
        <v/>
      </c>
    </row>
    <row r="96">
      <c r="A96" s="4" t="inlineStr">
        <is>
          <t>Average annual cost</t>
        </is>
      </c>
      <c r="B96" s="25">
        <f>IFERROR(INDEX('Watershed plans'!$L$12:$L$19,MATCH($B$93,'Watershed plans'!$G$12:$G$19,0)),"n/a")</f>
        <v/>
      </c>
    </row>
    <row r="97">
      <c r="A97" s="4" t="inlineStr">
        <is>
          <t>Construction cost</t>
        </is>
      </c>
      <c r="B97" s="24">
        <f>IFERROR(INDEX('Watershed plans'!$J$12:$J$19,MATCH($B$93,'Watershed plans'!$G$12:$G$19,0)),"n/a")</f>
        <v/>
      </c>
    </row>
    <row r="98">
      <c r="A98" s="4" t="inlineStr">
        <is>
          <t>Unit cost</t>
        </is>
      </c>
      <c r="B98" s="25">
        <f>IFERROR(INDEX('Watershed plans'!$Z$12:$Z$19,MATCH($B$93,'Watershed plans'!$G$12:$G$19,0)),"n/a")</f>
        <v/>
      </c>
    </row>
    <row r="99">
      <c r="A99" s="4" t="inlineStr">
        <is>
          <t>In the final array</t>
        </is>
      </c>
      <c r="B99" s="10">
        <f>IFERROR(INDEX('Watershed plans'!$AA$12:$AA$19,MATCH($B$93,'Watershed plans'!$G$12:$G$19,0)),"n/a")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K50:L89">
    <cfRule type="expression" priority="1" dxfId="0" stopIfTrue="0">
      <formula>K50&lt;&gt;'snap Watershed summary'!K50</formula>
    </cfRule>
  </conditionalFormatting>
  <conditionalFormatting sqref="B93">
    <cfRule type="expression" priority="2" dxfId="0" stopIfTrue="0">
      <formula>B93&lt;&gt;'snap Watershed summary'!B93</formula>
    </cfRule>
  </conditionalFormatting>
  <dataValidations count="2">
    <dataValidation sqref="K51:K89" showDropDown="0" showInputMessage="0" showErrorMessage="0" allowBlank="1" type="list">
      <formula1>"Yes,No"</formula1>
    </dataValidation>
    <dataValidation sqref="B93" showDropDown="0" showInputMessage="0" showErrorMessage="0" allowBlank="1" type="list">
      <formula1>='Watershed summary'!$B$50:$B$89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2" customWidth="1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5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5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5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5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5">
        <f>'Site CE-ICA'!J12/10^in_cost_dp</f>
        <v/>
      </c>
    </row>
    <row r="11">
      <c r="A11" s="4" t="inlineStr">
        <is>
          <t>B</t>
        </is>
      </c>
      <c r="B11" s="4" t="inlineStr">
        <is>
          <t>B2</t>
        </is>
      </c>
      <c r="C11" s="20">
        <f>'Site CE-ICA'!I13/10^in_out_dp</f>
        <v/>
      </c>
      <c r="D11" s="25">
        <f>'Site CE-ICA'!J13/10^in_cost_dp</f>
        <v/>
      </c>
    </row>
    <row r="12">
      <c r="A12" s="4" t="inlineStr">
        <is>
          <t>B</t>
        </is>
      </c>
      <c r="B12" s="4" t="inlineStr">
        <is>
          <t>B3</t>
        </is>
      </c>
      <c r="C12" s="20">
        <f>'Site CE-ICA'!I14/10^in_out_dp</f>
        <v/>
      </c>
      <c r="D12" s="25">
        <f>'Site CE-ICA'!J14/10^in_cost_dp</f>
        <v/>
      </c>
    </row>
    <row r="13">
      <c r="A13" s="4" t="inlineStr">
        <is>
          <t>C</t>
        </is>
      </c>
      <c r="B13" s="4" t="inlineStr">
        <is>
          <t>NA</t>
        </is>
      </c>
      <c r="C13" s="20">
        <f>'Site CE-ICA'!I17/10^in_out_dp</f>
        <v/>
      </c>
      <c r="D13" s="25">
        <f>'Site CE-ICA'!J17/10^in_cost_dp</f>
        <v/>
      </c>
    </row>
    <row r="14">
      <c r="A14" s="4" t="inlineStr">
        <is>
          <t>C</t>
        </is>
      </c>
      <c r="B14" s="4" t="inlineStr">
        <is>
          <t>C1</t>
        </is>
      </c>
      <c r="C14" s="20">
        <f>'Site CE-ICA'!I18/10^in_out_dp</f>
        <v/>
      </c>
      <c r="D14" s="25">
        <f>'Site CE-ICA'!J18/10^in_cost_dp</f>
        <v/>
      </c>
    </row>
    <row r="16">
      <c r="A16" s="7" t="inlineStr">
        <is>
          <t>Watershed planning set (valid plans)</t>
        </is>
      </c>
    </row>
    <row r="17">
      <c r="A17" s="12" t="inlineStr">
        <is>
          <t>Plan number</t>
        </is>
      </c>
      <c r="B17" s="12" t="inlineStr">
        <is>
          <t>Plan</t>
        </is>
      </c>
      <c r="C17" s="12" t="inlineStr">
        <is>
          <t>Output</t>
        </is>
      </c>
      <c r="D17" s="12" t="inlineStr">
        <is>
          <t>Cost</t>
        </is>
      </c>
    </row>
    <row r="18">
      <c r="A18" s="6">
        <f>'Watershed plans'!G12</f>
        <v/>
      </c>
      <c r="B18" s="10">
        <f>'Watershed plans'!B12</f>
        <v/>
      </c>
      <c r="C18" s="20">
        <f>IF('Watershed plans'!C12=1,'Watershed plans'!K12,"")</f>
        <v/>
      </c>
      <c r="D18" s="25">
        <f>IF('Watershed plans'!C12=1,'Watershed plans'!L12,"")</f>
        <v/>
      </c>
    </row>
    <row r="19">
      <c r="A19" s="6">
        <f>'Watershed plans'!G13</f>
        <v/>
      </c>
      <c r="B19" s="10">
        <f>'Watershed plans'!B13</f>
        <v/>
      </c>
      <c r="C19" s="20">
        <f>IF('Watershed plans'!C13=1,'Watershed plans'!K13,"")</f>
        <v/>
      </c>
      <c r="D19" s="25">
        <f>IF('Watershed plans'!C13=1,'Watershed plans'!L13,"")</f>
        <v/>
      </c>
    </row>
    <row r="20">
      <c r="A20" s="6">
        <f>'Watershed plans'!G14</f>
        <v/>
      </c>
      <c r="B20" s="10">
        <f>'Watershed plans'!B14</f>
        <v/>
      </c>
      <c r="C20" s="20">
        <f>IF('Watershed plans'!C14=1,'Watershed plans'!K14,"")</f>
        <v/>
      </c>
      <c r="D20" s="25">
        <f>IF('Watershed plans'!C14=1,'Watershed plans'!L14,"")</f>
        <v/>
      </c>
    </row>
    <row r="21">
      <c r="A21" s="6">
        <f>'Watershed plans'!G15</f>
        <v/>
      </c>
      <c r="B21" s="10">
        <f>'Watershed plans'!B15</f>
        <v/>
      </c>
      <c r="C21" s="20">
        <f>IF('Watershed plans'!C15=1,'Watershed plans'!K15,"")</f>
        <v/>
      </c>
      <c r="D21" s="25">
        <f>IF('Watershed plans'!C15=1,'Watershed plans'!L15,"")</f>
        <v/>
      </c>
    </row>
    <row r="22">
      <c r="A22" s="6">
        <f>'Watershed plans'!G16</f>
        <v/>
      </c>
      <c r="B22" s="10">
        <f>'Watershed plans'!B16</f>
        <v/>
      </c>
      <c r="C22" s="20">
        <f>IF('Watershed plans'!C16=1,'Watershed plans'!K16,"")</f>
        <v/>
      </c>
      <c r="D22" s="25">
        <f>IF('Watershed plans'!C16=1,'Watershed plans'!L16,"")</f>
        <v/>
      </c>
    </row>
    <row r="23">
      <c r="A23" s="6">
        <f>'Watershed plans'!G17</f>
        <v/>
      </c>
      <c r="B23" s="10">
        <f>'Watershed plans'!B17</f>
        <v/>
      </c>
      <c r="C23" s="20">
        <f>IF('Watershed plans'!C17=1,'Watershed plans'!K17,"")</f>
        <v/>
      </c>
      <c r="D23" s="25">
        <f>IF('Watershed plans'!C17=1,'Watershed plans'!L17,"")</f>
        <v/>
      </c>
    </row>
    <row r="24">
      <c r="A24" s="6">
        <f>'Watershed plans'!G18</f>
        <v/>
      </c>
      <c r="B24" s="10">
        <f>'Watershed plans'!B18</f>
        <v/>
      </c>
      <c r="C24" s="20">
        <f>IF('Watershed plans'!C18=1,'Watershed plans'!K18,"")</f>
        <v/>
      </c>
      <c r="D24" s="25">
        <f>IF('Watershed plans'!C18=1,'Watershed plans'!L18,"")</f>
        <v/>
      </c>
    </row>
    <row r="25">
      <c r="A25" s="6">
        <f>'Watershed plans'!G19</f>
        <v/>
      </c>
      <c r="B25" s="10">
        <f>'Watershed plans'!B19</f>
        <v/>
      </c>
      <c r="C25" s="20">
        <f>IF('Watershed plans'!C19=1,'Watershed plans'!K19,"")</f>
        <v/>
      </c>
      <c r="D25" s="25">
        <f>IF('Watershed plans'!C19=1,'Watershed plans'!L19,"")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11" max="11"/>
  </cols>
  <sheetData>
    <row r="1">
      <c r="A1" s="1" t="inlineStr">
        <is>
          <t>Charts: watershed cost-effectiveness and incremental cost</t>
        </is>
      </c>
    </row>
    <row r="2">
      <c r="A2" s="2" t="inlineStr">
        <is>
          <t>Built from the watershed plans sheet; they update with the inputs.</t>
        </is>
      </c>
    </row>
    <row r="30">
      <c r="A30" s="12" t="inlineStr">
        <is>
          <t>All plans: lift</t>
        </is>
      </c>
      <c r="B30" s="12" t="inlineStr">
        <is>
          <t>All plans: cost</t>
        </is>
      </c>
      <c r="C30" s="12" t="inlineStr">
        <is>
          <t>Frontier: lift</t>
        </is>
      </c>
      <c r="D30" s="12" t="inlineStr">
        <is>
          <t>Frontier: cost</t>
        </is>
      </c>
      <c r="E30" s="12" t="inlineStr">
        <is>
          <t>Best buys: lift</t>
        </is>
      </c>
      <c r="F30" s="12" t="inlineStr">
        <is>
          <t>Best buys: cost</t>
        </is>
      </c>
      <c r="G30" s="12" t="inlineStr">
        <is>
          <t>Steps: output</t>
        </is>
      </c>
      <c r="H30" s="12" t="inlineStr">
        <is>
          <t>Steps: incremental cost</t>
        </is>
      </c>
      <c r="K30" s="12" t="inlineStr">
        <is>
          <t>(frontier order)</t>
        </is>
      </c>
    </row>
    <row r="31">
      <c r="A31" s="20">
        <f>IF('Watershed plans'!C12=1,'Watershed plans'!K12,NA())</f>
        <v/>
      </c>
      <c r="B31" s="24">
        <f>IF('Watershed plans'!C12=1,'Watershed plans'!L12,NA())</f>
        <v/>
      </c>
      <c r="C31" s="20">
        <f>IFERROR(INDEX('Watershed plans'!$K$12:$K$19,MATCH(1,$K$31:$K$38,0)),NA())</f>
        <v/>
      </c>
      <c r="D31" s="24">
        <f>IFERROR(INDEX('Watershed plans'!$L$12:$L$19,MATCH(1,$K$31:$K$38,0)),NA())</f>
        <v/>
      </c>
      <c r="E31" s="20">
        <f>IFERROR(INDEX('Watershed plans'!$K$12:$K$19,MATCH(1,'Watershed plans'!$T$12:$T$19,0)),NA())</f>
        <v/>
      </c>
      <c r="F31" s="24">
        <f>IFERROR(INDEX('Watershed plans'!$L$12:$L$19,MATCH(1,'Watershed plans'!$T$12:$T$19,0)),NA())</f>
        <v/>
      </c>
      <c r="G31" s="20">
        <f>E31</f>
        <v/>
      </c>
      <c r="H31" s="24">
        <f>IFERROR(INDEX('Watershed plans'!$Y$12:$Y$19,MATCH(2,'Watershed plans'!$T$12:$T$19,0)),NA())</f>
        <v/>
      </c>
      <c r="K31" s="10">
        <f>IF('Watershed plans'!O12=1,1+SUMPRODUCT('Watershed plans'!$O$12:$O$19*(('Watershed plans'!$H$12:$H$19&lt;'Watershed plans'!H12)+('Watershed plans'!$H$12:$H$19='Watershed plans'!H12)*('Watershed plans'!$A$12:$A$19&lt;'Watershed plans'!A12))),0)</f>
        <v/>
      </c>
    </row>
    <row r="32">
      <c r="A32" s="20">
        <f>IF('Watershed plans'!C13=1,'Watershed plans'!K13,NA())</f>
        <v/>
      </c>
      <c r="B32" s="24">
        <f>IF('Watershed plans'!C13=1,'Watershed plans'!L13,NA())</f>
        <v/>
      </c>
      <c r="C32" s="20">
        <f>IFERROR(INDEX('Watershed plans'!$K$12:$K$19,MATCH(2,$K$31:$K$38,0)),NA())</f>
        <v/>
      </c>
      <c r="D32" s="24">
        <f>IFERROR(INDEX('Watershed plans'!$L$12:$L$19,MATCH(2,$K$31:$K$38,0)),NA())</f>
        <v/>
      </c>
      <c r="E32" s="20">
        <f>IFERROR(INDEX('Watershed plans'!$K$12:$K$19,MATCH(2,'Watershed plans'!$T$12:$T$19,0)),NA())</f>
        <v/>
      </c>
      <c r="F32" s="24">
        <f>IFERROR(INDEX('Watershed plans'!$L$12:$L$19,MATCH(2,'Watershed plans'!$T$12:$T$19,0)),NA())</f>
        <v/>
      </c>
      <c r="G32" s="20">
        <f>E32</f>
        <v/>
      </c>
      <c r="H32" s="24">
        <f>IFERROR(INDEX('Watershed plans'!$Y$12:$Y$19,MATCH(2,'Watershed plans'!$T$12:$T$19,0)),NA())</f>
        <v/>
      </c>
      <c r="K32" s="10">
        <f>IF('Watershed plans'!O13=1,1+SUMPRODUCT('Watershed plans'!$O$12:$O$19*(('Watershed plans'!$H$12:$H$19&lt;'Watershed plans'!H13)+('Watershed plans'!$H$12:$H$19='Watershed plans'!H13)*('Watershed plans'!$A$12:$A$19&lt;'Watershed plans'!A13))),0)</f>
        <v/>
      </c>
    </row>
    <row r="33">
      <c r="A33" s="20">
        <f>IF('Watershed plans'!C14=1,'Watershed plans'!K14,NA())</f>
        <v/>
      </c>
      <c r="B33" s="24">
        <f>IF('Watershed plans'!C14=1,'Watershed plans'!L14,NA())</f>
        <v/>
      </c>
      <c r="C33" s="20">
        <f>IFERROR(INDEX('Watershed plans'!$K$12:$K$19,MATCH(3,$K$31:$K$38,0)),NA())</f>
        <v/>
      </c>
      <c r="D33" s="24">
        <f>IFERROR(INDEX('Watershed plans'!$L$12:$L$19,MATCH(3,$K$31:$K$38,0)),NA())</f>
        <v/>
      </c>
      <c r="E33" s="20">
        <f>IFERROR(INDEX('Watershed plans'!$K$12:$K$19,MATCH(3,'Watershed plans'!$T$12:$T$19,0)),NA())</f>
        <v/>
      </c>
      <c r="F33" s="24">
        <f>IFERROR(INDEX('Watershed plans'!$L$12:$L$19,MATCH(3,'Watershed plans'!$T$12:$T$19,0)),NA())</f>
        <v/>
      </c>
      <c r="G33" s="10">
        <f>NA()</f>
        <v/>
      </c>
      <c r="H33" s="10">
        <f>NA()</f>
        <v/>
      </c>
      <c r="K33" s="10">
        <f>IF('Watershed plans'!O14=1,1+SUMPRODUCT('Watershed plans'!$O$12:$O$19*(('Watershed plans'!$H$12:$H$19&lt;'Watershed plans'!H14)+('Watershed plans'!$H$12:$H$19='Watershed plans'!H14)*('Watershed plans'!$A$12:$A$19&lt;'Watershed plans'!A14))),0)</f>
        <v/>
      </c>
    </row>
    <row r="34">
      <c r="A34" s="20">
        <f>IF('Watershed plans'!C15=1,'Watershed plans'!K15,NA())</f>
        <v/>
      </c>
      <c r="B34" s="24">
        <f>IF('Watershed plans'!C15=1,'Watershed plans'!L15,NA())</f>
        <v/>
      </c>
      <c r="C34" s="20">
        <f>IFERROR(INDEX('Watershed plans'!$K$12:$K$19,MATCH(4,$K$31:$K$38,0)),NA())</f>
        <v/>
      </c>
      <c r="D34" s="24">
        <f>IFERROR(INDEX('Watershed plans'!$L$12:$L$19,MATCH(4,$K$31:$K$38,0)),NA())</f>
        <v/>
      </c>
      <c r="E34" s="20">
        <f>IFERROR(INDEX('Watershed plans'!$K$12:$K$19,MATCH(4,'Watershed plans'!$T$12:$T$19,0)),NA())</f>
        <v/>
      </c>
      <c r="F34" s="24">
        <f>IFERROR(INDEX('Watershed plans'!$L$12:$L$19,MATCH(4,'Watershed plans'!$T$12:$T$19,0)),NA())</f>
        <v/>
      </c>
      <c r="G34" s="20">
        <f>E32</f>
        <v/>
      </c>
      <c r="H34" s="24">
        <f>IFERROR(INDEX('Watershed plans'!$Y$12:$Y$19,MATCH(3,'Watershed plans'!$T$12:$T$19,0)),NA())</f>
        <v/>
      </c>
      <c r="K34" s="10">
        <f>IF('Watershed plans'!O15=1,1+SUMPRODUCT('Watershed plans'!$O$12:$O$19*(('Watershed plans'!$H$12:$H$19&lt;'Watershed plans'!H15)+('Watershed plans'!$H$12:$H$19='Watershed plans'!H15)*('Watershed plans'!$A$12:$A$19&lt;'Watershed plans'!A15))),0)</f>
        <v/>
      </c>
    </row>
    <row r="35">
      <c r="A35" s="20">
        <f>IF('Watershed plans'!C16=1,'Watershed plans'!K16,NA())</f>
        <v/>
      </c>
      <c r="B35" s="24">
        <f>IF('Watershed plans'!C16=1,'Watershed plans'!L16,NA())</f>
        <v/>
      </c>
      <c r="C35" s="20">
        <f>IFERROR(INDEX('Watershed plans'!$K$12:$K$19,MATCH(5,$K$31:$K$38,0)),NA())</f>
        <v/>
      </c>
      <c r="D35" s="24">
        <f>IFERROR(INDEX('Watershed plans'!$L$12:$L$19,MATCH(5,$K$31:$K$38,0)),NA())</f>
        <v/>
      </c>
      <c r="E35" s="20">
        <f>IFERROR(INDEX('Watershed plans'!$K$12:$K$19,MATCH(5,'Watershed plans'!$T$12:$T$19,0)),NA())</f>
        <v/>
      </c>
      <c r="F35" s="24">
        <f>IFERROR(INDEX('Watershed plans'!$L$12:$L$19,MATCH(5,'Watershed plans'!$T$12:$T$19,0)),NA())</f>
        <v/>
      </c>
      <c r="G35" s="20">
        <f>E33</f>
        <v/>
      </c>
      <c r="H35" s="24">
        <f>IFERROR(INDEX('Watershed plans'!$Y$12:$Y$19,MATCH(3,'Watershed plans'!$T$12:$T$19,0)),NA())</f>
        <v/>
      </c>
      <c r="K35" s="10">
        <f>IF('Watershed plans'!O16=1,1+SUMPRODUCT('Watershed plans'!$O$12:$O$19*(('Watershed plans'!$H$12:$H$19&lt;'Watershed plans'!H16)+('Watershed plans'!$H$12:$H$19='Watershed plans'!H16)*('Watershed plans'!$A$12:$A$19&lt;'Watershed plans'!A16))),0)</f>
        <v/>
      </c>
    </row>
    <row r="36">
      <c r="A36" s="20">
        <f>IF('Watershed plans'!C17=1,'Watershed plans'!K17,NA())</f>
        <v/>
      </c>
      <c r="B36" s="24">
        <f>IF('Watershed plans'!C17=1,'Watershed plans'!L17,NA())</f>
        <v/>
      </c>
      <c r="C36" s="20">
        <f>IFERROR(INDEX('Watershed plans'!$K$12:$K$19,MATCH(6,$K$31:$K$38,0)),NA())</f>
        <v/>
      </c>
      <c r="D36" s="24">
        <f>IFERROR(INDEX('Watershed plans'!$L$12:$L$19,MATCH(6,$K$31:$K$38,0)),NA())</f>
        <v/>
      </c>
      <c r="E36" s="20">
        <f>IFERROR(INDEX('Watershed plans'!$K$12:$K$19,MATCH(6,'Watershed plans'!$T$12:$T$19,0)),NA())</f>
        <v/>
      </c>
      <c r="F36" s="24">
        <f>IFERROR(INDEX('Watershed plans'!$L$12:$L$19,MATCH(6,'Watershed plans'!$T$12:$T$19,0)),NA())</f>
        <v/>
      </c>
      <c r="G36" s="10">
        <f>NA()</f>
        <v/>
      </c>
      <c r="H36" s="10">
        <f>NA()</f>
        <v/>
      </c>
      <c r="K36" s="10">
        <f>IF('Watershed plans'!O17=1,1+SUMPRODUCT('Watershed plans'!$O$12:$O$19*(('Watershed plans'!$H$12:$H$19&lt;'Watershed plans'!H17)+('Watershed plans'!$H$12:$H$19='Watershed plans'!H17)*('Watershed plans'!$A$12:$A$19&lt;'Watershed plans'!A17))),0)</f>
        <v/>
      </c>
    </row>
    <row r="37">
      <c r="A37" s="20">
        <f>IF('Watershed plans'!C18=1,'Watershed plans'!K18,NA())</f>
        <v/>
      </c>
      <c r="B37" s="24">
        <f>IF('Watershed plans'!C18=1,'Watershed plans'!L18,NA())</f>
        <v/>
      </c>
      <c r="C37" s="20">
        <f>IFERROR(INDEX('Watershed plans'!$K$12:$K$19,MATCH(7,$K$31:$K$38,0)),NA())</f>
        <v/>
      </c>
      <c r="D37" s="24">
        <f>IFERROR(INDEX('Watershed plans'!$L$12:$L$19,MATCH(7,$K$31:$K$38,0)),NA())</f>
        <v/>
      </c>
      <c r="E37" s="20">
        <f>IFERROR(INDEX('Watershed plans'!$K$12:$K$19,MATCH(7,'Watershed plans'!$T$12:$T$19,0)),NA())</f>
        <v/>
      </c>
      <c r="F37" s="24">
        <f>IFERROR(INDEX('Watershed plans'!$L$12:$L$19,MATCH(7,'Watershed plans'!$T$12:$T$19,0)),NA())</f>
        <v/>
      </c>
      <c r="G37" s="20">
        <f>E33</f>
        <v/>
      </c>
      <c r="H37" s="24">
        <f>IFERROR(INDEX('Watershed plans'!$Y$12:$Y$19,MATCH(4,'Watershed plans'!$T$12:$T$19,0)),NA())</f>
        <v/>
      </c>
      <c r="K37" s="10">
        <f>IF('Watershed plans'!O18=1,1+SUMPRODUCT('Watershed plans'!$O$12:$O$19*(('Watershed plans'!$H$12:$H$19&lt;'Watershed plans'!H18)+('Watershed plans'!$H$12:$H$19='Watershed plans'!H18)*('Watershed plans'!$A$12:$A$19&lt;'Watershed plans'!A18))),0)</f>
        <v/>
      </c>
    </row>
    <row r="38">
      <c r="A38" s="20">
        <f>IF('Watershed plans'!C19=1,'Watershed plans'!K19,NA())</f>
        <v/>
      </c>
      <c r="B38" s="24">
        <f>IF('Watershed plans'!C19=1,'Watershed plans'!L19,NA())</f>
        <v/>
      </c>
      <c r="C38" s="20">
        <f>IFERROR(INDEX('Watershed plans'!$K$12:$K$19,MATCH(8,$K$31:$K$38,0)),NA())</f>
        <v/>
      </c>
      <c r="D38" s="24">
        <f>IFERROR(INDEX('Watershed plans'!$L$12:$L$19,MATCH(8,$K$31:$K$38,0)),NA())</f>
        <v/>
      </c>
      <c r="E38" s="20">
        <f>IFERROR(INDEX('Watershed plans'!$K$12:$K$19,MATCH(8,'Watershed plans'!$T$12:$T$19,0)),NA())</f>
        <v/>
      </c>
      <c r="F38" s="24">
        <f>IFERROR(INDEX('Watershed plans'!$L$12:$L$19,MATCH(8,'Watershed plans'!$T$12:$T$19,0)),NA())</f>
        <v/>
      </c>
      <c r="G38" s="20">
        <f>E34</f>
        <v/>
      </c>
      <c r="H38" s="24">
        <f>IFERROR(INDEX('Watershed plans'!$Y$12:$Y$19,MATCH(4,'Watershed plans'!$T$12:$T$19,0)),NA())</f>
        <v/>
      </c>
      <c r="K38" s="10">
        <f>IF('Watershed plans'!O19=1,1+SUMPRODUCT('Watershed plans'!$O$12:$O$19*(('Watershed plans'!$H$12:$H$19&lt;'Watershed plans'!H19)+('Watershed plans'!$H$12:$H$19='Watershed plans'!H19)*('Watershed plans'!$A$12:$A$19&lt;'Watershed plans'!A19))),0)</f>
        <v/>
      </c>
    </row>
    <row r="39">
      <c r="G39" s="10">
        <f>NA()</f>
        <v/>
      </c>
      <c r="H39" s="10">
        <f>NA()</f>
        <v/>
      </c>
    </row>
    <row r="40">
      <c r="G40" s="20">
        <f>E34</f>
        <v/>
      </c>
      <c r="H40" s="24">
        <f>IFERROR(INDEX('Watershed plans'!$Y$12:$Y$19,MATCH(5,'Watershed plans'!$T$12:$T$19,0)),NA())</f>
        <v/>
      </c>
    </row>
    <row r="41">
      <c r="G41" s="20">
        <f>E35</f>
        <v/>
      </c>
      <c r="H41" s="24">
        <f>IFERROR(INDEX('Watershed plans'!$Y$12:$Y$19,MATCH(5,'Watershed plans'!$T$12:$T$19,0)),NA())</f>
        <v/>
      </c>
    </row>
    <row r="42">
      <c r="G42" s="10">
        <f>NA()</f>
        <v/>
      </c>
      <c r="H42" s="10">
        <f>NA()</f>
        <v/>
      </c>
    </row>
    <row r="43">
      <c r="G43" s="20">
        <f>E35</f>
        <v/>
      </c>
      <c r="H43" s="24">
        <f>IFERROR(INDEX('Watershed plans'!$Y$12:$Y$19,MATCH(6,'Watershed plans'!$T$12:$T$19,0)),NA())</f>
        <v/>
      </c>
    </row>
    <row r="44">
      <c r="G44" s="20">
        <f>E36</f>
        <v/>
      </c>
      <c r="H44" s="24">
        <f>IFERROR(INDEX('Watershed plans'!$Y$12:$Y$19,MATCH(6,'Watershed plans'!$T$12:$T$19,0)),NA())</f>
        <v/>
      </c>
    </row>
    <row r="45">
      <c r="G45" s="10">
        <f>NA()</f>
        <v/>
      </c>
      <c r="H45" s="10">
        <f>NA()</f>
        <v/>
      </c>
    </row>
    <row r="46">
      <c r="G46" s="20">
        <f>E36</f>
        <v/>
      </c>
      <c r="H46" s="24">
        <f>IFERROR(INDEX('Watershed plans'!$Y$12:$Y$19,MATCH(7,'Watershed plans'!$T$12:$T$19,0)),NA())</f>
        <v/>
      </c>
    </row>
    <row r="47">
      <c r="G47" s="20">
        <f>E37</f>
        <v/>
      </c>
      <c r="H47" s="24">
        <f>IFERROR(INDEX('Watershed plans'!$Y$12:$Y$19,MATCH(7,'Watershed plans'!$T$12:$T$19,0)),NA())</f>
        <v/>
      </c>
    </row>
    <row r="48">
      <c r="G48" s="10">
        <f>NA()</f>
        <v/>
      </c>
      <c r="H48" s="10">
        <f>NA()</f>
        <v/>
      </c>
    </row>
    <row r="49">
      <c r="G49" s="20">
        <f>E37</f>
        <v/>
      </c>
      <c r="H49" s="24">
        <f>IFERROR(INDEX('Watershed plans'!$Y$12:$Y$19,MATCH(8,'Watershed plans'!$T$12:$T$19,0)),NA())</f>
        <v/>
      </c>
    </row>
    <row r="50">
      <c r="G50" s="20">
        <f>E38</f>
        <v/>
      </c>
      <c r="H50" s="24">
        <f>IFERROR(INDEX('Watershed plans'!$Y$12:$Y$19,MATCH(8,'Watershed plans'!$T$12:$T$19,0)),NA())</f>
        <v/>
      </c>
    </row>
    <row r="51">
      <c r="G51" s="10">
        <f>NA()</f>
        <v/>
      </c>
      <c r="H51" s="10">
        <f>NA()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6:H14"/>
  <sheetViews>
    <sheetView workbookViewId="0">
      <selection activeCell="A1" sqref="A1"/>
    </sheetView>
  </sheetViews>
  <sheetFormatPr baseColWidth="8" defaultRowHeight="15"/>
  <sheetData>
    <row r="6">
      <c r="F6" t="n">
        <v>1</v>
      </c>
      <c r="G6" t="n">
        <v>1</v>
      </c>
      <c r="H6" t="n">
        <v>1</v>
      </c>
    </row>
    <row r="7">
      <c r="F7" t="n">
        <v>1</v>
      </c>
      <c r="G7" t="n">
        <v>5</v>
      </c>
      <c r="H7" t="n">
        <v>6</v>
      </c>
    </row>
    <row r="8">
      <c r="F8" t="n">
        <v>1</v>
      </c>
      <c r="G8" t="n">
        <v>3</v>
      </c>
      <c r="H8" t="n">
        <v>3.5</v>
      </c>
    </row>
    <row r="9">
      <c r="F9" t="n">
        <v>2</v>
      </c>
      <c r="G9" t="n">
        <v>2</v>
      </c>
      <c r="H9" t="n">
        <v>2</v>
      </c>
    </row>
    <row r="10">
      <c r="F10" t="n">
        <v>2</v>
      </c>
      <c r="G10" t="n">
        <v>4</v>
      </c>
      <c r="H10" t="n">
        <v>4</v>
      </c>
    </row>
    <row r="11">
      <c r="F11" t="n">
        <v>2</v>
      </c>
      <c r="G11" t="n">
        <v>4</v>
      </c>
      <c r="H11" t="n">
        <v>4</v>
      </c>
    </row>
    <row r="12">
      <c r="F12" t="n">
        <v>2</v>
      </c>
      <c r="G12" t="n">
        <v>6</v>
      </c>
      <c r="H12" t="n">
        <v>6</v>
      </c>
    </row>
    <row r="13">
      <c r="F13" t="n">
        <v>0.5</v>
      </c>
      <c r="G13" t="n">
        <v>0.5</v>
      </c>
      <c r="H13" t="n">
        <v>0.5</v>
      </c>
    </row>
    <row r="14">
      <c r="F14" t="n">
        <v>0.5</v>
      </c>
      <c r="G14" t="n">
        <v>2</v>
      </c>
      <c r="H14" t="n">
        <v>2.5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6:L14"/>
  <sheetViews>
    <sheetView workbookViewId="0">
      <selection activeCell="A1" sqref="A1"/>
    </sheetView>
  </sheetViews>
  <sheetFormatPr baseColWidth="8" defaultRowHeight="15"/>
  <sheetData>
    <row r="6">
      <c r="G6" t="n">
        <v>0</v>
      </c>
    </row>
    <row r="7">
      <c r="D7" t="n">
        <v>300000</v>
      </c>
      <c r="E7" t="n">
        <v>20000</v>
      </c>
      <c r="G7" t="n">
        <v>6</v>
      </c>
    </row>
    <row r="8">
      <c r="D8" t="n">
        <v>150000</v>
      </c>
      <c r="G8" t="n">
        <v>6</v>
      </c>
    </row>
    <row r="9">
      <c r="G9" t="n">
        <v>0</v>
      </c>
    </row>
    <row r="10">
      <c r="D10" t="n">
        <v>100000</v>
      </c>
      <c r="G10" t="n">
        <v>3</v>
      </c>
    </row>
    <row r="11">
      <c r="D11" t="n">
        <v>100000</v>
      </c>
      <c r="G11" t="n">
        <v>3</v>
      </c>
    </row>
    <row r="12">
      <c r="D12" t="n">
        <v>200000</v>
      </c>
      <c r="G12" t="n">
        <v>3</v>
      </c>
    </row>
    <row r="13">
      <c r="G13" t="n">
        <v>0</v>
      </c>
    </row>
    <row r="14">
      <c r="D14" t="n">
        <v>90000</v>
      </c>
      <c r="G14" t="n">
        <v>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F5:M8"/>
  <sheetViews>
    <sheetView workbookViewId="0">
      <selection activeCell="A1" sqref="A1"/>
    </sheetView>
  </sheetViews>
  <sheetFormatPr baseColWidth="8" defaultRowHeight="15"/>
  <sheetData>
    <row r="5">
      <c r="F5" t="n">
        <v>2500</v>
      </c>
      <c r="H5" t="inlineStr"/>
      <c r="K5" t="n">
        <v>1</v>
      </c>
    </row>
    <row r="6">
      <c r="G6" t="n">
        <v>0.1</v>
      </c>
      <c r="H6" t="inlineStr">
        <is>
          <t>construction</t>
        </is>
      </c>
      <c r="K6" t="n">
        <v>20</v>
      </c>
    </row>
    <row r="7">
      <c r="H7" t="inlineStr"/>
      <c r="I7" t="n">
        <v>4</v>
      </c>
      <c r="J7" t="n">
        <v>1200</v>
      </c>
      <c r="K7" t="n">
        <v>2</v>
      </c>
    </row>
    <row r="8">
      <c r="F8" t="n">
        <v>2500</v>
      </c>
      <c r="H8" t="inlineStr"/>
      <c r="K8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C5:C7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B3</t>
        </is>
      </c>
    </row>
    <row r="7">
      <c r="C7" t="inlineStr">
        <is>
          <t>C1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O12:AA19"/>
  <sheetViews>
    <sheetView workbookViewId="0">
      <selection activeCell="A1" sqref="A1"/>
    </sheetView>
  </sheetViews>
  <sheetFormatPr baseColWidth="8" defaultRowHeight="15"/>
  <sheetData>
    <row r="12">
      <c r="O12" t="n">
        <v>1</v>
      </c>
      <c r="S12" t="n">
        <v>1</v>
      </c>
      <c r="AA12" t="n">
        <v>1</v>
      </c>
    </row>
    <row r="13">
      <c r="O13" t="n">
        <v>1</v>
      </c>
      <c r="S13" t="n">
        <v>0</v>
      </c>
      <c r="AA13" t="n">
        <v>0</v>
      </c>
    </row>
    <row r="14">
      <c r="O14" t="n">
        <v>1</v>
      </c>
      <c r="S14" t="n">
        <v>1</v>
      </c>
      <c r="AA14" t="n">
        <v>1</v>
      </c>
    </row>
    <row r="15">
      <c r="O15" t="n">
        <v>1</v>
      </c>
      <c r="S15" t="n">
        <v>0</v>
      </c>
      <c r="AA15" t="n">
        <v>0</v>
      </c>
    </row>
    <row r="16">
      <c r="O16" t="n">
        <v>0</v>
      </c>
      <c r="S16" t="n">
        <v>0</v>
      </c>
      <c r="AA16" t="n">
        <v>0</v>
      </c>
    </row>
    <row r="17">
      <c r="O17" t="n">
        <v>1</v>
      </c>
      <c r="S17" t="n">
        <v>0</v>
      </c>
      <c r="AA17" t="n">
        <v>0</v>
      </c>
    </row>
    <row r="18">
      <c r="O18" t="n">
        <v>1</v>
      </c>
      <c r="S18" t="n">
        <v>1</v>
      </c>
      <c r="AA18" t="n">
        <v>1</v>
      </c>
    </row>
    <row r="19">
      <c r="O19" t="n">
        <v>1</v>
      </c>
      <c r="S19" t="n">
        <v>1</v>
      </c>
      <c r="AA19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50:L93"/>
  <sheetViews>
    <sheetView workbookViewId="0">
      <selection activeCell="A1" sqref="A1"/>
    </sheetView>
  </sheetViews>
  <sheetFormatPr baseColWidth="8" defaultRowHeight="15"/>
  <sheetData>
    <row r="50">
      <c r="K50" t="inlineStr"/>
      <c r="L50" t="inlineStr"/>
    </row>
    <row r="51">
      <c r="K51" t="inlineStr"/>
      <c r="L51" t="inlineStr"/>
    </row>
    <row r="52">
      <c r="K52" t="inlineStr"/>
      <c r="L52" t="inlineStr"/>
    </row>
    <row r="53">
      <c r="K53" t="inlineStr"/>
      <c r="L53" t="inlineStr"/>
    </row>
    <row r="54">
      <c r="K54" t="inlineStr"/>
      <c r="L54" t="inlineStr"/>
    </row>
    <row r="55">
      <c r="K55" t="inlineStr"/>
      <c r="L55" t="inlineStr"/>
    </row>
    <row r="56">
      <c r="K56" t="inlineStr"/>
      <c r="L56" t="inlineStr"/>
    </row>
    <row r="57">
      <c r="K57" t="inlineStr"/>
      <c r="L57" t="inlineStr"/>
    </row>
    <row r="58">
      <c r="K58" t="inlineStr"/>
      <c r="L58" t="inlineStr"/>
    </row>
    <row r="59">
      <c r="K59" t="inlineStr"/>
      <c r="L59" t="inlineStr"/>
    </row>
    <row r="60">
      <c r="K60" t="inlineStr"/>
      <c r="L60" t="inlineStr"/>
    </row>
    <row r="61">
      <c r="K61" t="inlineStr"/>
      <c r="L61" t="inlineStr"/>
    </row>
    <row r="62">
      <c r="K62" t="inlineStr"/>
      <c r="L62" t="inlineStr"/>
    </row>
    <row r="63">
      <c r="K63" t="inlineStr"/>
      <c r="L63" t="inlineStr"/>
    </row>
    <row r="64">
      <c r="K64" t="inlineStr"/>
      <c r="L64" t="inlineStr"/>
    </row>
    <row r="65">
      <c r="K65" t="inlineStr"/>
      <c r="L65" t="inlineStr"/>
    </row>
    <row r="66">
      <c r="K66" t="inlineStr"/>
      <c r="L66" t="inlineStr"/>
    </row>
    <row r="67">
      <c r="K67" t="inlineStr"/>
      <c r="L67" t="inlineStr"/>
    </row>
    <row r="68">
      <c r="K68" t="inlineStr"/>
      <c r="L68" t="inlineStr"/>
    </row>
    <row r="69">
      <c r="K69" t="inlineStr"/>
      <c r="L69" t="inlineStr"/>
    </row>
    <row r="70">
      <c r="K70" t="inlineStr"/>
      <c r="L70" t="inlineStr"/>
    </row>
    <row r="71">
      <c r="K71" t="inlineStr"/>
      <c r="L71" t="inlineStr"/>
    </row>
    <row r="72">
      <c r="K72" t="inlineStr"/>
      <c r="L72" t="inlineStr"/>
    </row>
    <row r="73">
      <c r="K73" t="inlineStr"/>
      <c r="L73" t="inlineStr"/>
    </row>
    <row r="74">
      <c r="K74" t="inlineStr"/>
      <c r="L74" t="inlineStr"/>
    </row>
    <row r="75">
      <c r="K75" t="inlineStr"/>
      <c r="L75" t="inlineStr"/>
    </row>
    <row r="76">
      <c r="K76" t="inlineStr"/>
      <c r="L76" t="inlineStr"/>
    </row>
    <row r="77">
      <c r="K77" t="inlineStr"/>
      <c r="L77" t="inlineStr"/>
    </row>
    <row r="78">
      <c r="K78" t="inlineStr"/>
      <c r="L78" t="inlineStr"/>
    </row>
    <row r="79">
      <c r="K79" t="inlineStr"/>
      <c r="L79" t="inlineStr"/>
    </row>
    <row r="80">
      <c r="K80" t="inlineStr"/>
      <c r="L80" t="inlineStr"/>
    </row>
    <row r="81">
      <c r="K81" t="inlineStr"/>
      <c r="L81" t="inlineStr"/>
    </row>
    <row r="82">
      <c r="K82" t="inlineStr"/>
      <c r="L82" t="inlineStr"/>
    </row>
    <row r="83">
      <c r="K83" t="inlineStr"/>
      <c r="L83" t="inlineStr"/>
    </row>
    <row r="84">
      <c r="K84" t="inlineStr"/>
      <c r="L84" t="inlineStr"/>
    </row>
    <row r="85">
      <c r="K85" t="inlineStr"/>
      <c r="L85" t="inlineStr"/>
    </row>
    <row r="86">
      <c r="K86" t="inlineStr"/>
      <c r="L86" t="inlineStr"/>
    </row>
    <row r="87">
      <c r="K87" t="inlineStr"/>
      <c r="L87" t="inlineStr"/>
    </row>
    <row r="88">
      <c r="K88" t="inlineStr"/>
      <c r="L88" t="inlineStr"/>
    </row>
    <row r="89">
      <c r="K89" t="inlineStr"/>
      <c r="L89" t="inlineStr"/>
    </row>
    <row r="93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G5:L13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4.25</v>
      </c>
      <c r="L6" t="n">
        <v>15009.0846534793</v>
      </c>
    </row>
    <row r="7">
      <c r="G7" t="n">
        <v>2.125</v>
      </c>
      <c r="L7" t="n">
        <v>8731.9198790969</v>
      </c>
    </row>
    <row r="8">
      <c r="G8" t="n">
        <v>0</v>
      </c>
      <c r="L8" t="n">
        <v>0</v>
      </c>
    </row>
    <row r="9">
      <c r="G9" t="n">
        <v>1.9</v>
      </c>
      <c r="L9" t="n">
        <v>3896.142603541888</v>
      </c>
    </row>
    <row r="10">
      <c r="G10" t="n">
        <v>1.9</v>
      </c>
      <c r="L10" t="n">
        <v>3896.142603541888</v>
      </c>
    </row>
    <row r="11">
      <c r="G11" t="n">
        <v>3.8</v>
      </c>
      <c r="L11" t="n">
        <v>7792.285207083775</v>
      </c>
    </row>
    <row r="12">
      <c r="G12" t="n">
        <v>0</v>
      </c>
      <c r="L12" t="n">
        <v>0</v>
      </c>
    </row>
    <row r="13">
      <c r="G13" t="n">
        <v>1.65</v>
      </c>
      <c r="L13" t="n">
        <v>6019.532429393736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L6:P18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  <row r="13">
      <c r="L13" t="n">
        <v>1</v>
      </c>
      <c r="P13" t="n">
        <v>1</v>
      </c>
    </row>
    <row r="14">
      <c r="L14" t="n">
        <v>1</v>
      </c>
      <c r="P14" t="n">
        <v>1</v>
      </c>
    </row>
    <row r="17">
      <c r="L17" t="n">
        <v>1</v>
      </c>
      <c r="P17" t="n">
        <v>1</v>
      </c>
    </row>
    <row r="18">
      <c r="L18" t="n">
        <v>1</v>
      </c>
      <c r="P18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total","method":"HU","name":"Total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plan","tsp_rationale":""}},"description":"","district":"Mobile District","labels":{"annual_output_name":"Average annual habitat units","annual_output_short":"AAHU","lift_name":"Ecological lift","output_name":"Habitat units","output_short":"HU"},"name":"Small test","prepared_by":"A. Planner","project_id":"349e805601964609a2385ab7f162db4a","provenance":{},"report":{"contents":"FULL","date":"","prepared_by":"","status":"DRAFT","title":""},"schema_version":"ceica-project/2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0.0,"first_costs":{},"recurring":[]},"description":"","id":"NA","is_no_action":true,"name":"NA","outputs":[{"aahu":null,"module_id":"total","quantity":[],"scores":{},"values":[1.0,1.0,1.0]}]},{"costs":{"annual_override":null,"construction_months":6.0,"first_costs":{"construction":300000.0,"monitoring":20000.0},"recurring":[{"amount":2500.0,"basis":"FIXED","category_id":null,"every_years":1,"first_year":null,"id":"om","last_year":null,"name":"Annual O&amp;M","percent":0.0,"quantity":0.0,"quantity_units":"","unit_rate":0.0}]},"description":"","id":"A1","is_no_action":false,"name":"A1","outputs":[{"aahu":null,"module_id":"total","quantity":[],"scores":{},"values":[1.0,5.0,6.0]}]},{"costs":{"annual_override":null,"construction_months":6.0,"first_costs":{"construction":150000.0},"recurring":[{"amount":0.0,"basis":"PCT_OF_CATEGORY","category_id":"construction","every_years":20,"first_year":null,"id":"rep","last_year":null,"name":"Repair","percent":0.1,"quantity":0.0,"quantity_units":"","unit_rate":0.0},{"amount":0.0,"basis":"RATE_X_QUANTITY","category_id":null,"every_years":2,"first_year":null,"id":"insp","last_year":null,"name":"Inspection","percent":0.0,"quantity":1200.0,"quantity_units":"","unit_rate":4.0}]},"description":"","id":"A2","is_no_action":false,"name":"A2","outputs":[{"aahu":null,"module_id":"total","quantity":[],"scores":{},"values":[1.0,3.0,3.5]}]}],"description":"","id":"A","name":"Upper","staf_not_assessed":{},"staf_source":{}},{"alternatives":[{"costs":{"annual_override":null,"construction_months":0.0,"first_costs":{},"recurring":[]},"description":"","id":"NA","is_no_action":true,"name":"NA","outputs":[{"aahu":null,"module_id":"total","quantity":[],"scores":{},"values":[2.0,2.0,2.0]}]},{"costs":{"annual_override":null,"construction_months":3.0,"first_costs":{"construction":100000.0},"recurring":[]},"description":"","id":"B1","is_no_action":false,"name":"B1","outputs":[{"aahu":null,"module_id":"total","quantity":[],"scores":{},"values":[2.0,4.0,4.0]}]},{"costs":{"annual_override":null,"construction_months":3.0,"first_costs":{"construction":100000.0},"recurring":[]},"description":"","id":"B2","is_no_action":false,"name":"B2","outputs":[{"aahu":null,"module_id":"total","quantity":[],"scores":{},"values":[2.0,4.0,4.0]}]},{"costs":{"annual_override":null,"construction_months":3.0,"first_costs":{"construction":200000.0},"recurring":[]},"description":"","id":"B3","is_no_action":false,"name":"B3","outputs":[{"aahu":null,"module_id":"total","quantity":[],"scores":{},"values":[2.0,6.0,6.0]}]}],"description":"","id":"B","name":"Middle","staf_not_assessed":{},"staf_source":{}},{"alternatives":[{"costs":{"annual_override":null,"construction_months":0.0,"first_costs":{},"recurring":[]},"description":"","id":"NA","is_no_action":true,"name":"NA","outputs":[{"aahu":null,"module_id":"total","quantity":[],"scores":{},"values":[0.5,0.5,0.5]}]},{"costs":{"annual_override":null,"construction_months":6.0,"first_costs":{"construction":90000.0},"recurring":[{"amount":2500.0,"basis":"FIXED","category_id":null,"every_years":1,"first_year":null,"id":"om","last_year":null,"name":"Annual O&amp;M","percent":0.0,"quantity":0.0,"quantity_units":"","unit_rate":0.0}]},"description":"","id":"C1","is_no_action":false,"name":"C1","outputs":[{"aahu":null,"module_id":"total","quantity":[],"scores":{},"values":[0.5,2.0,2.5]}]}],"description":"","id":"C","name":"Lower","staf_not_assessed":{},"staf_source":{}}],"watershed":{"carried":{},"mode":"RECOMMENDED","rules":[]}}</t>
        </is>
      </c>
    </row>
    <row r="3">
      <c r="A3" t="inlineStr">
        <is>
          <t>meta</t>
        </is>
      </c>
      <c r="B3" t="n">
        <v>1</v>
      </c>
      <c r="C3" t="inlineStr">
        <is>
          <t>{"appVersion":"0.1.0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F6","kind":"optional","path":["sites",0,"alternatives",0,"outputs",{"module_id":"total"},"values",0],"sheet":"Benefits"},{"cell":"G6","kind":"optional","path":["sites",0,"alternatives",0,"outputs",{"module_id":"total"},"values",1],"sheet":"Benefits"},{"cell":"H6","kind":"optional","path":["sites",0,"alternatives",0,"outputs",{"module_id":"total"},"values",2],"sheet":"Benefits"},{"cell":"F7","kind":"optional","path":["sites",0,"alternatives",1,"outputs",{"module_id":"total"},"values",0],"sheet":"Benefits"},{"cell":"G7","kind":"optional","path":["sites",0,"alternatives",1,"outputs",{"module_id":"total"},"values",1],"sheet":"Benefits"},{"cell":"H7","kind":"optional","path":["sites",0,"alternatives",1,"outputs",{"module_id":"total"},"values",2],"sheet":"Benefits"},{"cell":"F8","kind":"optional","path":["sites",0,"alternatives",2,"outputs",{"module_id":"total"},"values",0],"sheet":"Benefits"},{"cell":"G8","kind":"optional","path":["sites",0,"alternatives",2,"outputs",{"module_id":"total"},"values",1],"sheet":"Benefits"},{"cell":"H8","kind":"optional","path":["sites",0,"alternatives",2,"outputs",{"module_id":"total"},"values",2],"sheet":"Benefits"},{"cell":"F9","kind":"optional","path":["sites",1,"alternatives",0,"outputs",{"module_id":"total"},"values",0],"sheet":"Benefits"},{"cell":"G9","kind":"optional","path":["sites",1,"alternatives",0,"outputs",{"module_id":"total"},"values",1],"sheet":"Benefits"},{"cell":"H9","kind":"optional","path":["sites",1,"alternatives",0,"outputs",{"module_id":"total"},"values",2],"sheet":"Benefits"},{"cell":"F10","kind":"optional","path":["sites",1,"alternatives",1,"outputs",{"module_id":"total"},"values",0],"sheet":"Benefits"},{"cell":"G10","kind":"optional","path":["sites",1,"alternatives",1,"outputs",{"module_id":"total"},"values",1],"sheet":"Benefits"},{"cell":"H10","kind":"optional","path":["sites",1,"alternatives",1,"outputs",{"module_id":"total"},"values",2],"sheet":"Benefits"},{"cell":"F11","kind":"optional","path":["sites",1,"alternatives",2,"outputs",{"module_id":"total"},"values",0],"sheet":"Benefits"},{"cell":"G11","kind":"optional","path":["sites",1,"alternatives",2,"outputs",{"module_id":"total"},"values",1],"sheet":"Benefits"},{"cell":"H11","kind":"optional","path":["sites",1,"alternatives",2,"outputs",{"module_id":"total"},"values",2],"sheet":"Benefits"},{"cell":"F12","kind":"optional","path":["sites",1,"alternatives",3,"outputs",{"module_id":"total"},"values",0],"sheet":"Benefits"},{"cell":"G12","kind":"optional","path":["sites",1,"alternatives",3,"outputs",{"module_id":"total"},"values",1],"sheet":"Benefits"},{"cell":"H12","kind":"optional","path":["sites",1,"alternatives",3,"outputs",{"module_id":"total"},"values",2],"sheet":"Benefits"},{"cell":"F13","kind":"optional","path":["sites",2,"alternatives",0,"outputs",{"module_id":"total"},"values",0],"sheet":"Benefits"},{"cell":"G13","kind":"optional","path":["sites",2,"alternatives",0,"outputs",{"module_id":"total"},"values",1],"sheet":"Benefits"},{"cell":"H13","kind":"optional","path":["sites",2,"alternatives",0,"outputs",{"module_id":"total"},"values",2],"sheet":"Benefits"},{"cell":"F14","kind":"optional","path":["sites",2,"alternatives",1,"outputs",{"module_id":"total"},"values",0],"sheet":"Benefits"},{"cell":"G14","kind":"optional","path":["sites",2,"alternatives",1,"outputs",{"module_id":"total"},"values",1],"sheet":"Benefits"},{"cell":"H14","kind":"optional","path":["sites",2,"alternatives",1,"outputs",{"module_id":"total"},"values",2]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D11","kind":"number","path":["sites",1,"alternatives",2,"costs","first_costs","construction"],"sheet":"Costs"},{"cell":"E11","kind":"number","path":["sites",1,"alternatives",2,"costs","first_costs","monitoring"],"sheet":"Costs"},{"cell":"F11","kind":"number","path":["sites",1,"alternatives",2,"costs","first_costs","adaptive_management"],"sheet":"Costs"},{"cell":"G11","kind":"number","path":["sites",1,"alternatives",2,"costs","construction_months"],"sheet":"Costs"},{"cell":"L11","kind":"optional","path":["sites",1,"alternatives",2,"costs","annual_override"],"sheet":"Costs"},{"cell":"D12","kind":"number","path":["sites",1,"alternatives",3,"costs","first_costs","construction"],"sheet":"Costs"},{"cell":"E12","kind":"number","path":["sites",1,"alternatives",3,"costs","first_costs","monitoring"],"sheet":"Costs"},{"cell":"F12","kind":"number","path":["sites",1,"alternatives",3,"costs","first_costs","adaptive_management"],"sheet":"Costs"},{"cell":"G12","kind":"number","path":["sites",1,"alternatives",3,"costs","construction_months"],"sheet":"Costs"},{"cell":"L12","kind":"optional","path":["sites",1,"alternatives",3,"costs","annual_override"],"sheet":"Costs"},{"cell":"D13","kind":"number","path":["sites",2,"alternatives",0,"costs","first_costs","construction"],"sheet":"Costs"},{"cell":"E13","kind":"number","path":["sites",2,"alternatives",0,"costs","first_costs","monitoring"],"sheet":"Costs"},{"cell":"F13","kind":"number","path":["sites",2,"alternatives",0,"costs","first_costs","adaptive_management"],"sheet":"Costs"},{"cell":"G13","kind":"number","path":["sites",2,"alternatives",0,"costs","construction_months"],"sheet":"Costs"},{"cell":"L13","kind":"optional","path":["sites",2,"alternatives",0,"costs","annual_override"],"sheet":"Costs"},{"cell":"D14","kind":"number","path":["sites",2,"alternatives",1,"costs","first_costs","construction"],"sheet":"Costs"},{"cell":"E14","kind":"number","path":["sites",2,"alternatives",1,"costs","first_costs","monitoring"],"sheet":"Costs"},{"cell":"F14","kind":"number","path":["sites",2,"alternatives",1,"costs","first_costs","adaptive_management"],"sheet":"Costs"},{"cell":"G14","kind":"number","path":["sites",2,"alternatives",1,"costs","construction_months"],"sheet":"Costs"},{"cell":"L14","kind":"optional","path":["sites",2,"alternatives",1,"costs","annual_override"],"sheet":"Costs"},{"cell":"F5","kind":"number","path":["sites",0,"alternatives",1,"costs","recurring",0,"amount"],"sheet":"OMRRR"},{"cell":"K5","kind":"int","path":["sites",0,"alternatives",1,"costs","recurring",0,"every_years"],"sheet":"OMRRR"},{"cell":"L5","kind":"optional_int","path":["sites",0,"alternatives",1,"costs","recurring",0,"first_year"],"sheet":"OMRRR"},{"cell":"M5","kind":"optional_int","path":["sites",0,"alternatives",1,"costs","recurring",0,"last_year"],"sheet":"OMRRR"},{"cell":"G6","kind":"number","path":["sites",0,"alternatives",2,"costs","recurring",0,"percent"],"sheet":"OMRRR"},{"cell":"K6","kind":"int","path":["sites",0,"alternatives",2,"costs","recurring",0,"every_years"],"sheet":"OMRRR"},{"cell":"L6","kind":"optional_int","path":["sites",0,"alternatives",2,"costs","recurring",0,"first_year"],"sheet":"OMRRR"},{"cell":"M6","kind":"optional_int","path":["sites",0,"alternatives",2,"costs","recurring",0,"last_year"],"sheet":"OMRRR"},{"cell":"I7","kind":"number","path":["sites",0,"alternatives",2,"costs","recurring",1,"unit_rate"],"sheet":"OMRRR"},{"cell":"J7","kind":"number","path":["sites",0,"alternatives",2,"costs","recurring",1,"quantity"],"sheet":"OMRRR"},{"cell":"K7","kind":"int","path":["sites",0,"alternatives",2,"costs","recurring",1,"every_years"],"sheet":"OMRRR"},{"cell":"L7","kind":"optional_int","path":["sites",0,"alternatives",2,"costs","recurring",1,"first_year"],"sheet":"OMRRR"},{"cell":"M7","kind":"optional_int","path":["sites",0,"alternatives",2,"costs","recurring",1,"last_year"],"sheet":"OMRRR"},{"cell":"F8","kind":"number","path":["sites",2,"alternatives",1,"costs","recurring",0,"amount"],"sheet":"OMRRR"},{"cell":"K8","kind":"int","path":["sites",2,"alternatives",1,"costs","recurring",0,"every_years"],"sheet":"OMRRR"},{"cell":"L8","kind":"optional_int","path":["sites",2,"alternatives",1,"costs","recurring",0,"first_year"],"sheet":"OMRRR"},{"cell":"M8","kind":"optional_int","path":["sites",2,"alternatives",1,"costs","recurring",0,"last_year"],"sheet":"OMRRR"},{"cell":"C5","exported":"A1","kind":"rec","path":["decisions","sites","A","recommended_alt_id"],"sheet":"Sites"},{"cell":"C6","exported":"B3","kind":"rec","path":["decisions","sites","B","recommended_alt_id"],"sheet":"Sites"},{"cell":"C7","exported":"C1","kind":"rec","path":["decisions","sites","C","recommended_alt_id"],"sheet":"Sites"},{"cell":"AA12","kind":"final","path":["@final",12],"sheet":"Watershed plans"},{"cell":"AA13","kind":"final","path":["@final",13],"sheet":"Watershed plans"},{"cell":"AA14","kind":"final","path":["@final",14],"sheet":"Watershed plans"},{"cell":"AA15","kind":"final","path":["@final",15],"sheet":"Watershed plans"},{"cell":"AA16","kind":"final","path":["@final",16],"sheet":"Watershed plans"},{"cell":"AA17","kind":"final","path":["@final",17],"sheet":"Watershed plans"},{"cell":"AA18","kind":"final","path":["@final",18],"sheet":"Watershed plans"},{"cell":"AA19","kind":"final","path":["@final",19],"sheet":"Watershed plans"},{"cell":"K50","kind":"text","path":["@worth",0],"sheet":"Watershed summary"},{"cell":"L50","kind":"text","path":["@why",0],"sheet":"Watershed summary"},{"cell":"K51","kind":"text","path":["@worth",1],"sheet":"Watershed summary"},{"cell":"L51","kind":"text","path":["@why",1],"sheet":"Watershed summary"},{"cell":"K52","kind":"text","path":["@worth",2],"sheet":"Watershed summary"},{"cell":"L52","kind":"text","path":["@why",2],"sheet":"Watershed summary"},{"cell":"K53","kind":"text","path":["@worth",3],"sheet":"Watershed summary"},{"cell":"L53","kind":"text","path":["@why",3],"sheet":"Watershed summary"},{"cell":"K54","kind":"text","path":["@worth",4],"sheet":"Watershed summary"},{"cell":"L54","kind":"text","path":["@why",4],"sheet":"Watershed summary"},{"cell":"K55","kind":"text","path":["@worth",5],"sheet":"Watershed summary"},{"cell":"L55","kind":"text","path":["@why",5],"sheet":"Watershed summary"},{"cell":"K56","kind":"text","path":["@worth",6],"sheet":"Watershed summary"},{"cell":"L56","kind":"text","path":["@why",6],"sheet":"Watershed summary"},{"cell":"K57","kind":"text","path":["@worth",7],"sheet":"Watershed summary"},{"cell":"L57","kind":"text","path":["@why",7],"sheet":"Watershed summary"},{"cell":"K58","kind":"text","path":["@worth",8],"sheet":"Watershed summary"},{"cell":"L58","kind":"text","path":["@why",8],"sheet":"Watershed summary"},{"cell":"K59","kind":"text","path":["@worth",9],"sheet":"Watershed summary"},{"cell":"L59","kind":"text","path":["@why",9],"sheet":"Watershed summary"},{"cell":"K60","kind":"text","path":["@worth",10],"sheet":"Watershed summary"},{"cell":"L60","kind":"text","path":["@why",10],"sheet":"Watershed summary"},{"cell":"K61","kind":"text","path":["@worth",11],"sheet":"Watershed summary"},{"cell":"L61","kind":"text","path":["@why",11],"sheet":"Watershed summary"},{"cell":"K62","kind":"text","path":["@worth",12],"sheet":"Watershed summary"},{"cell":"L62","kind":"text","path":["@why",12],"sheet":"Watershed summary"},{"cell":"K63","kind":"text","path":["@worth",13],"sheet":"Watershed summary"},{"cell":"L63","kind":"text","path":["@why",13],"sheet":"Watershed summary"},{"cell":"K64","kind":"text","path":["@worth",14],"sheet":"Watershed summary"},{"cell":"L64","kind":"text","path":["@why",14],"sheet":"Watershed summary"},{"cell":"K65","kind":"text","path":["@worth",15],"sheet":"Watershed summary"},{"cell":"L65","kind":"text","path":["@why",15],"sheet":"Watershed summary"},{"cell":"K66","kind":"text","path":["@worth",16],"sheet":"Watershed summary"},{"cell":"L66","kind":"text","path":["@why",16],"sheet":"Watershed summary"},{"cell":"K67","kind":"text","path":["@worth",17],"sheet":"Watershed summary"},{"cell":"L67","kind":"text","path":["@why",17],"sheet":"Watershed summary"},{"cell":"K68","kind":"text","path":["@worth",18],"sheet":"Watershed summary"},{"cell":"L68","kind":"text","path":["@why",18],"sheet":"Watershed summary"},{"cell":"K69","kind":"text","path":["@worth",19],"sheet":"Watershed summary"},{"cell":"L69","kind":"text","path":["@why",19],"sheet":"Watershed summary"},{"cell":"K70","kind":"text","path":["@worth",20],"sheet":"Watershed summary"},{"cell":"L70","kind":"text","path":["@why",20],"sheet":"Watershed summary"},{"cell":"K71","kind":"text","path":["@worth",21],"sheet":"Watershed summary"},{"cell":"L71","kind":"text","path":["@why",21],"sheet":"Watershed summary"},{"cell":"K72","kind":"text","path":["@worth",22],"sheet":"Watershed summary"},{"cell":"L72","kind":"text","path":["@why",22],"sheet":"Watershed summary"},{"cell":"K73","kind":"text","path":["@worth",23],"sheet":"Watershed summary"},{"cell":"L73","kind":"text","path":["@why",23],"sheet":"Watershed summary"},{"cell":"K74","kind":"text","path":["@worth",24],"sheet":"Watershed summary"},{"cell":"L74","kind":"text","path":["@why",24],"sheet":"Watershed summary"},{"cell":"K75","kind":"text","path":["@worth",25],"sheet":"Watershed summary"},{"cell":"L75","kind":"text","path":["@why",25],"sheet":"Watershed summary"},{"cell":"K76","kind":"text","path":["@worth",26],"sheet":"Watershed summary"},{"cell":"L76","kind":"text","path":["@why",26],"sheet":"Watershed summary"},{"cell":"K77","kind":"text","path":["@worth",27],"sheet":"Watershed summary"},{"cell":"L77","kind":"text","path":["@why",27],"sheet":"Watershed summary"},{"cell":"K78","kind":"text","path":["@worth",28],"sheet":"Watershed summary"},{"cell":"L78","kind":"text","path":["@why",28],"sheet":"Watershed summary"},{"cell":"K79","kind":"text","path":["@worth",29],"sheet":"Watershed summary"},{"cell":"L79","kind":"text","path":["@why",29],"sheet":"Watershed summary"},{"cell":"K80","kind":"text","path":["@worth",30],"sheet":"Watershed summary"},{"cell":"L80","kind":"text","path":["@why",30],"sheet":"Watershed summary"},{"cell":"K81","kind":"text","path":["@worth",31],"sheet":"Watershed summary"},{"cell":"L81","kind":"text","path":["@why",31],"sheet":"Watershed summary"},{"cell":"K82","kind":"text","path":["@worth",32],"sheet":"Watershed summary"},{"cell":"L82","kind":"text","path":["@why",32],"sheet":"Watershed summary"},{"cell":"K83","kind":"text","path":["@worth",33],"sheet":"Watershed summary"},{"cell":"L83","kind":"text","path":["@why",33],"sheet":"Watershed summary"},{"cell":"K84","kind":"text","path":["@worth",34],"sheet":"Watershed summary"},{"cell":"L84","kind":"text","path":["@why",34],"sheet":"Watershed summary"},{"cell":"K85","kind":"text","path":["@worth",35],"sheet":"Watershed summary"},{"cell":"L85","kind":"text","path":["@why",35],"sheet":"Watershed summary"},{"cell":"K86","kind":"text","path":["@worth",36],"sheet":"Watershed summary"},{"cell":"L86","kind":"text","path":["@why",36],"sheet":"Watershed summary"},{"cell":"K87","kind":"text","path":["@worth",37],"sheet":"Watershed summary"},{"cell":"L87","kind":"text","path":["@why",37],"sheet":"Watershed summary"},{"cell":"K88","kind":"text","path":["@worth",38],"sheet":"Watershed summary"},{"cell":"L88","kind":"text","path":["@why",38],"sheet":"Watershed summary"},{"cell":"K89","kind":"text","path":["@worth",39],"sheet":"Watershed summary"},{"cell":"L89","kind":"text","path":["@why",39],"sheet":"Watershed summary"},{"cell":"B93","kind":"tsp","path":["@tsp"],"sheet":"Watershed summary"}],"liveWatershed":true,"planBits":[4,6],"planRowKeys":{"12":"","13":"C=C1","14":"B=B3","15":"B=B3;C=C1","16":"A=A1","17":"A=A1;C=C1","18":"A=A1;B=B3","19":"A=A1;B=B3;C=C1"},"planSites":["A","B","C"],"projectDigest":"f4d289ead17a","schemaVersion":2}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