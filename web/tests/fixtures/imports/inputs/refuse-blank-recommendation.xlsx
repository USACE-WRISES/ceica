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snap Parameters" sheetId="13" state="veryHidden" r:id="rId13"/>
    <sheet xmlns:r="http://schemas.openxmlformats.org/officeDocument/2006/relationships" name="snap Benefits" sheetId="14" state="veryHidden" r:id="rId14"/>
    <sheet xmlns:r="http://schemas.openxmlformats.org/officeDocument/2006/relationships" name="snap Costs" sheetId="15" state="veryHidden" r:id="rId15"/>
    <sheet xmlns:r="http://schemas.openxmlformats.org/officeDocument/2006/relationships" name="snap Sites" sheetId="16" state="veryHidden" r:id="rId16"/>
    <sheet xmlns:r="http://schemas.openxmlformats.org/officeDocument/2006/relationships" name="snap Watershed plans" sheetId="17" state="veryHidden" r:id="rId17"/>
    <sheet xmlns:r="http://schemas.openxmlformats.org/officeDocument/2006/relationships" name="snap Watershed summary" sheetId="18" state="veryHidden" r:id="rId18"/>
    <sheet xmlns:r="http://schemas.openxmlformats.org/officeDocument/2006/relationships" name="snap Summary" sheetId="19" state="veryHidden" r:id="rId19"/>
    <sheet xmlns:r="http://schemas.openxmlformats.org/officeDocument/2006/relationships" name="snap Site CE-ICA" sheetId="20" state="veryHidden" r:id="rId20"/>
    <sheet xmlns:r="http://schemas.openxmlformats.org/officeDocument/2006/relationships" name="manifest" sheetId="21" state="veryHidden" r:id="rId21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3" borderId="1" applyAlignment="1" applyProtection="1" pivotButton="0" quotePrefix="0" xfId="0">
      <alignment horizontal="left" vertical="top" wrapText="1"/>
      <protection locked="0" hidden="0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Cost-effectiveness of watershed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7A8699"/>
                </a:solidFill>
                <a:prstDash val="solid"/>
              </a:ln>
            </spPr>
          </marker>
          <xVal>
            <numRef>
              <f>'Charts'!$A$31:$A$34</f>
            </numRef>
          </xVal>
          <yVal>
            <numRef>
              <f>'Charts'!$B$31:$B$34</f>
            </numRef>
          </yVal>
          <smooth val="0"/>
        </ser>
        <ser>
          <idx val="1"/>
          <order val="1"/>
          <tx>
            <v>Cost-effective frontier</v>
          </tx>
          <spPr>
            <a:ln xmlns:a="http://schemas.openxmlformats.org/drawingml/2006/main" w="25400">
              <a:solidFill>
                <a:srgbClr val="2F4B7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F4B7C"/>
              </a:solidFill>
              <a:ln xmlns:a="http://schemas.openxmlformats.org/drawingml/2006/main" w="9525">
                <a:solidFill>
                  <a:srgbClr val="2F4B7C"/>
                </a:solidFill>
                <a:prstDash val="solid"/>
              </a:ln>
            </spPr>
          </marker>
          <xVal>
            <numRef>
              <f>'Charts'!$C$31:$C$34</f>
            </numRef>
          </xVal>
          <yVal>
            <numRef>
              <f>'Charts'!$D$31:$D$34</f>
            </numRef>
          </yVal>
          <smooth val="0"/>
        </ser>
        <ser>
          <idx val="2"/>
          <order val="2"/>
          <tx>
            <v>Best buy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noFill xmlns:a="http://schemas.openxmlformats.org/drawingml/2006/main"/>
              <a:ln xmlns:a="http://schemas.openxmlformats.org/drawingml/2006/main" w="22225">
                <a:solidFill>
                  <a:srgbClr val="2F4B7C"/>
                </a:solidFill>
                <a:prstDash val="solid"/>
              </a:ln>
            </spPr>
          </marker>
          <xVal>
            <numRef>
              <f>'Charts'!$E$31:$E$34</f>
            </numRef>
          </xVal>
          <yVal>
            <numRef>
              <f>'Charts'!$F$31:$F$34</f>
            </numRef>
          </yVal>
          <smooth val="0"/>
        </ser>
        <ser>
          <idx val="3"/>
          <order val="3"/>
          <tx>
            <v>Tentatively selected 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4"/>
            <spPr>
              <a:noFill xmlns:a="http://schemas.openxmlformats.org/drawingml/2006/main"/>
              <a:ln xmlns:a="http://schemas.openxmlformats.org/drawingml/2006/main" w="22225">
                <a:solidFill>
                  <a:srgbClr val="1A7F37"/>
                </a:solidFill>
                <a:prstDash val="solid"/>
              </a:ln>
            </spPr>
          </marker>
          <xVal>
            <numRef>
              <f>'Charts'!$M$31</f>
            </numRef>
          </xVal>
          <yVal>
            <numRef>
              <f>'Charts'!$N$31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Average annual cost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Incremental cost of best-buy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Best-buy step</v>
          </tx>
          <spPr>
            <a:ln xmlns:a="http://schemas.openxmlformats.org/drawingml/2006/main" w="19050">
              <a:solidFill>
                <a:srgbClr val="2F4B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'Charts'!$G$31:$G$47</f>
            </numRef>
          </xVal>
          <yVal>
            <numRef>
              <f>'Charts'!$H$31:$H$47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Incremental cost per AAHU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1dfc6e2904e9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Sites'!C5:C6))+SUMPRODUCT(1*('Watershed plans'!Z12:Z15&lt;&gt;'snap Watershed plans'!Z12:Z15))+SUMPRODUCT(1*('Watershed summary'!K50:L89&lt;&gt;'snap Watershed summary'!K50:L89))+SUMPRODUCT(1*('Watershed summary'!B93:B93&lt;&gt;'snap Watershed summary'!B93:B93)))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CE-ICA'!P11:P12))+SUMPRODUCT(1*('Watershed plans'!N12:N15&lt;&gt;'snap Watershed plans'!N12:N15))+SUMPRODUCT(1*('Watershed plans'!R12:R15&lt;&gt;'snap Watershed plans'!R12:R15)))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30" t="n"/>
      <c r="H4" s="31" t="n"/>
      <c r="I4" s="12" t="inlineStr">
        <is>
          <t>Quantity</t>
        </is>
      </c>
      <c r="J4" s="30" t="n"/>
      <c r="K4" s="31" t="n"/>
      <c r="L4" s="12" t="inlineStr">
        <is>
          <t>Habitat units (HU)</t>
        </is>
      </c>
      <c r="M4" s="30" t="n"/>
      <c r="N4" s="31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30" t="n"/>
      <c r="P3" s="30" t="n"/>
      <c r="Q3" s="30" t="n"/>
      <c r="R3" s="31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4" t="n">
        <v>250000</v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300000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n"/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Team</t>
        </is>
      </c>
    </row>
    <row r="6">
      <c r="A6" s="4" t="inlineStr">
        <is>
          <t>B</t>
        </is>
      </c>
      <c r="B6" s="4" t="inlineStr"/>
      <c r="C6" s="15" t="inlineStr">
        <is>
          <t>B1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showGridLines="0"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6" customWidth="1" style="8" min="1" max="1"/>
    <col width="34" customWidth="1" style="8" min="2" max="2"/>
    <col width="6" customWidth="1" style="8" min="3" max="3"/>
    <col width="7" customWidth="1" style="8" min="4" max="4"/>
    <col width="7" customWidth="1" style="8" min="5" max="5"/>
    <col width="8" customWidth="1" style="8" min="6" max="6"/>
    <col hidden="1" width="10" customWidth="1" style="8" min="7" max="7"/>
    <col hidden="1" width="11" customWidth="1" style="8" min="8" max="8"/>
    <col width="13" customWidth="1" style="8" min="9" max="9"/>
    <col width="11" customWidth="1" style="8" min="10" max="10"/>
    <col width="13" customWidth="1" style="8" min="11" max="11"/>
    <col hidden="1" width="6" customWidth="1" style="8" min="12" max="12"/>
    <col hidden="1" width="8" customWidth="1" style="8" min="13" max="13"/>
    <col width="9" customWidth="1" style="8" min="14" max="14"/>
    <col hidden="1" width="8" customWidth="1" style="8" min="15" max="15"/>
    <col hidden="1" width="10" customWidth="1" style="8" min="16" max="16"/>
    <col hidden="1" width="10" customWidth="1" style="8" min="17" max="17"/>
    <col width="7" customWidth="1" style="8" min="18" max="18"/>
    <col width="8" customWidth="1" style="8" min="19" max="19"/>
    <col hidden="1" width="10" customWidth="1" style="8" min="20" max="20"/>
    <col hidden="1" width="10" customWidth="1" style="8" min="21" max="21"/>
    <col width="11" customWidth="1" style="8" min="22" max="22"/>
    <col width="12" customWidth="1" style="8" min="23" max="23"/>
    <col width="12" customWidth="1" style="8" min="24" max="24"/>
    <col width="11" customWidth="1" style="8" min="25" max="25"/>
    <col width="7" customWidth="1" style="8" min="26" max="26"/>
    <col width="8" customWidth="1" style="8" min="27" max="27"/>
  </cols>
  <sheetData>
    <row r="1">
      <c r="A1" s="1" t="inlineStr">
        <is>
          <t>Watershed plans: every combination of the recommended site actions</t>
        </is>
      </c>
    </row>
    <row r="2">
      <c r="A2" s="2" t="inlineStr">
        <is>
          <t>1 and 0 mark a site included or excluded. Rows that include a site whose recommendation is No Action are not valid plans.</t>
        </is>
      </c>
    </row>
    <row r="4">
      <c r="C4" s="3" t="inlineStr">
        <is>
          <t>Site</t>
        </is>
      </c>
      <c r="D4" s="12" t="inlineStr">
        <is>
          <t>A</t>
        </is>
      </c>
      <c r="E4" s="12" t="inlineStr">
        <is>
          <t>B</t>
        </is>
      </c>
    </row>
    <row r="5">
      <c r="C5" s="3" t="inlineStr">
        <is>
          <t>Carried</t>
        </is>
      </c>
      <c r="D5" s="10">
        <f>Sites!E5</f>
        <v/>
      </c>
      <c r="E5" s="10">
        <f>Sites!E6</f>
        <v/>
      </c>
    </row>
    <row r="6">
      <c r="C6" s="3" t="inlineStr">
        <is>
          <t>Lift (scaled)</t>
        </is>
      </c>
      <c r="D6" s="6">
        <f>Sites!I5</f>
        <v/>
      </c>
      <c r="E6" s="6">
        <f>Sites!I6</f>
        <v/>
      </c>
    </row>
    <row r="7">
      <c r="C7" s="3" t="inlineStr">
        <is>
          <t>Cost (scaled)</t>
        </is>
      </c>
      <c r="D7" s="6">
        <f>Sites!J5</f>
        <v/>
      </c>
      <c r="E7" s="6">
        <f>Sites!J6</f>
        <v/>
      </c>
    </row>
    <row r="8">
      <c r="C8" s="3" t="inlineStr">
        <is>
          <t>Construction cost</t>
        </is>
      </c>
      <c r="D8" s="25">
        <f>Sites!H5</f>
        <v/>
      </c>
      <c r="E8" s="25">
        <f>Sites!H6</f>
        <v/>
      </c>
    </row>
    <row r="9">
      <c r="C9" s="3" t="inlineStr">
        <is>
          <t>Weight</t>
        </is>
      </c>
      <c r="D9" s="6">
        <f>IF(D5=1,2^SUM(E5:$E$5),0)</f>
        <v/>
      </c>
      <c r="E9" s="6">
        <f>IF(E5=1,1,0)</f>
        <v/>
      </c>
    </row>
    <row r="11">
      <c r="A11" s="12" t="inlineStr">
        <is>
          <t>Row</t>
        </is>
      </c>
      <c r="B11" s="12" t="inlineStr">
        <is>
          <t>Plan</t>
        </is>
      </c>
      <c r="C11" s="12" t="inlineStr">
        <is>
          <t>Valid</t>
        </is>
      </c>
      <c r="D11" s="12" t="inlineStr">
        <is>
          <t>A</t>
        </is>
      </c>
      <c r="E11" s="12" t="inlineStr">
        <is>
          <t>B</t>
        </is>
      </c>
      <c r="F11" s="12" t="inlineStr">
        <is>
          <t>Plan number</t>
        </is>
      </c>
      <c r="G11" s="12" t="inlineStr">
        <is>
          <t>Lift (scaled)</t>
        </is>
      </c>
      <c r="H11" s="12" t="inlineStr">
        <is>
          <t>Cost (scaled)</t>
        </is>
      </c>
      <c r="I11" s="12" t="inlineStr">
        <is>
          <t>Construction cost</t>
        </is>
      </c>
      <c r="J11" s="12" t="inlineStr">
        <is>
          <t>Lift (AAHU)</t>
        </is>
      </c>
      <c r="K11" s="12" t="inlineStr">
        <is>
          <t>Average annual cost</t>
        </is>
      </c>
      <c r="L11" s="12" t="inlineStr">
        <is>
          <t>No Action</t>
        </is>
      </c>
      <c r="M11" s="12" t="inlineStr">
        <is>
          <t>Dominated by</t>
        </is>
      </c>
      <c r="N11" s="12" t="inlineStr">
        <is>
          <t>Cost-effective</t>
        </is>
      </c>
      <c r="O11" s="12" t="inlineStr">
        <is>
          <t>Candidate</t>
        </is>
      </c>
      <c r="P11" s="12" t="inlineStr">
        <is>
          <t>Slope in (max)</t>
        </is>
      </c>
      <c r="Q11" s="12" t="inlineStr">
        <is>
          <t>Slope out (min)</t>
        </is>
      </c>
      <c r="R11" s="12" t="inlineStr">
        <is>
          <t>Best buy</t>
        </is>
      </c>
      <c r="S11" s="12" t="inlineStr">
        <is>
          <t>Best-buy step</t>
        </is>
      </c>
      <c r="T11" s="12" t="inlineStr">
        <is>
          <t>Previous lift (scaled)</t>
        </is>
      </c>
      <c r="U11" s="12" t="inlineStr">
        <is>
          <t>Previous cost (scaled)</t>
        </is>
      </c>
      <c r="V11" s="12" t="inlineStr">
        <is>
          <t>Incremental output</t>
        </is>
      </c>
      <c r="W11" s="12" t="inlineStr">
        <is>
          <t>Incremental cost</t>
        </is>
      </c>
      <c r="X11" s="12" t="inlineStr">
        <is>
          <t>Incremental cost per unit</t>
        </is>
      </c>
      <c r="Y11" s="12" t="inlineStr">
        <is>
          <t>Unit cost</t>
        </is>
      </c>
      <c r="Z11" s="12" t="inlineStr">
        <is>
          <t>Final array</t>
        </is>
      </c>
      <c r="AA11" s="12" t="inlineStr">
        <is>
          <t>Final array order</t>
        </is>
      </c>
    </row>
    <row r="12">
      <c r="A12" s="4" t="n">
        <v>1</v>
      </c>
      <c r="B12" s="4" t="inlineStr">
        <is>
          <t>No Action</t>
        </is>
      </c>
      <c r="C12" s="10">
        <f>IF(SUMPRODUCT(D12:E12,1-$D$5:$E$5)=0,1,0)</f>
        <v/>
      </c>
      <c r="D12" s="4" t="n">
        <v>0</v>
      </c>
      <c r="E12" s="4" t="n">
        <v>0</v>
      </c>
      <c r="F12" s="6">
        <f>IF(C12=1,1+SUMPRODUCT(D12:E12,$D$9:$E$9),"")</f>
        <v/>
      </c>
      <c r="G12" s="6">
        <f>SUMPRODUCT(D12:E12,$D$6:$E$6)</f>
        <v/>
      </c>
      <c r="H12" s="6">
        <f>SUMPRODUCT(D12:E12,$D$7:$E$7)</f>
        <v/>
      </c>
      <c r="I12" s="25">
        <f>SUMPRODUCT(D12:E12,$D$8:$E$8)</f>
        <v/>
      </c>
      <c r="J12" s="20">
        <f>G12/10^in_out_dp</f>
        <v/>
      </c>
      <c r="K12" s="26">
        <f>H12/10^in_cost_dp</f>
        <v/>
      </c>
      <c r="L12" s="10">
        <f>IF(SUM(D12:E12)=0,1,0)</f>
        <v/>
      </c>
      <c r="M12" s="10">
        <f>SUMPRODUCT($C$12:$C$15*(($G$12:$G$15=G12)*($H$12:$H$15&lt;H12)+($G$12:$G$15&gt;G12)*($H$12:$H$15&lt;=H12)))</f>
        <v/>
      </c>
      <c r="N12" s="10">
        <f>IF(C12=0,0,IF(OR(L12=1,M12=0),1,0))</f>
        <v/>
      </c>
      <c r="O12" s="10">
        <f>IF(AND(N12=1,L12=0,G12&gt;0),1,0)</f>
        <v/>
      </c>
      <c r="P12" s="28">
        <f>IF(O12=1,MAX(H12/G12,SUMPRODUCT(MAX(((H12-$H$12:$H$15)*($O$12:$O$15*($G$12:$G$15&lt;G12)))/((G12-$G$12:$G$15)*($O$12:$O$15*($G$12:$G$15&lt;G12))+1-($O$12:$O$15*($G$12:$G$15&lt;G12)))-(1-($O$12:$O$15*($G$12:$G$15&lt;G12)))*1E+300))),0)</f>
        <v/>
      </c>
      <c r="Q12" s="28">
        <f>IF(O12=1,SUMPRODUCT(MIN(((($H$12:$H$15-H12)*($O$12:$O$15*($G$12:$G$15&gt;G12)))/(($G$12:$G$15-G12)*($O$12:$O$15*($G$12:$G$15&gt;G12))+1-($O$12:$O$15*($G$12:$G$15&gt;G12)))+(1-($O$12:$O$15*($G$12:$G$15&gt;G12)))*1E+300))),0)</f>
        <v/>
      </c>
      <c r="R12" s="10">
        <f>IF(C12=0,0,IF(L12=1,1,IF(AND(O12=1,P12&lt;=Q12),1,0)))</f>
        <v/>
      </c>
      <c r="S12" s="10">
        <f>IF(R12=1,1+SUMPRODUCT($R$12:$R$15*(($G$12:$G$15&lt;G12)+($G$12:$G$15=G12)*($A$12:$A$15&lt;A12))),0)</f>
        <v/>
      </c>
      <c r="T12" s="10">
        <f>IF(S12&lt;=1,0,SUMPRODUCT(($S$12:$S$15=S12-1)*$G$12:$G$15))</f>
        <v/>
      </c>
      <c r="U12" s="10">
        <f>IF(S12&lt;=1,0,SUMPRODUCT(($S$12:$S$15=S12-1)*$H$12:$H$15))</f>
        <v/>
      </c>
      <c r="V12" s="20">
        <f>IF(S12=0,"",(G12-T12)/10^in_out_dp)</f>
        <v/>
      </c>
      <c r="W12" s="26">
        <f>IF(S12=0,"",(H12-U12)/10^in_cost_dp)</f>
        <v/>
      </c>
      <c r="X12" s="26">
        <f>IF(S12=0,"",IF(G12=T12,0,W12/V12))</f>
        <v/>
      </c>
      <c r="Y12" s="26">
        <f>IF(AND(C12=1,G12&gt;0),K12/J12,"n/a")</f>
        <v/>
      </c>
      <c r="Z12" s="15" t="n">
        <v>1</v>
      </c>
      <c r="AA12" s="6">
        <f>IF(AND(C12=1,Z12=1),1+SUMPRODUCT($C$12:$C$15*$Z$12:$Z$15*(($G$12:$G$15&lt;G12)+($G$12:$G$15=G12)*($H$12:$H$15&lt;H12)+($G$12:$G$15=G12)*($H$12:$H$15=H12)*($A$12:$A$15&lt;A12))),0)</f>
        <v/>
      </c>
    </row>
    <row r="13">
      <c r="A13" s="4" t="n">
        <v>2</v>
      </c>
      <c r="B13" s="4" t="inlineStr">
        <is>
          <t>B</t>
        </is>
      </c>
      <c r="C13" s="10">
        <f>IF(SUMPRODUCT(D13:E13,1-$D$5:$E$5)=0,1,0)</f>
        <v/>
      </c>
      <c r="D13" s="4" t="n">
        <v>0</v>
      </c>
      <c r="E13" s="4" t="n">
        <v>1</v>
      </c>
      <c r="F13" s="6">
        <f>IF(C13=1,1+SUMPRODUCT(D13:E13,$D$9:$E$9),"")</f>
        <v/>
      </c>
      <c r="G13" s="6">
        <f>SUMPRODUCT(D13:E13,$D$6:$E$6)</f>
        <v/>
      </c>
      <c r="H13" s="6">
        <f>SUMPRODUCT(D13:E13,$D$7:$E$7)</f>
        <v/>
      </c>
      <c r="I13" s="25">
        <f>SUMPRODUCT(D13:E13,$D$8:$E$8)</f>
        <v/>
      </c>
      <c r="J13" s="20">
        <f>G13/10^in_out_dp</f>
        <v/>
      </c>
      <c r="K13" s="26">
        <f>H13/10^in_cost_dp</f>
        <v/>
      </c>
      <c r="L13" s="10">
        <f>IF(SUM(D13:E13)=0,1,0)</f>
        <v/>
      </c>
      <c r="M13" s="10">
        <f>SUMPRODUCT($C$12:$C$15*(($G$12:$G$15=G13)*($H$12:$H$15&lt;H13)+($G$12:$G$15&gt;G13)*($H$12:$H$15&lt;=H13)))</f>
        <v/>
      </c>
      <c r="N13" s="10">
        <f>IF(C13=0,0,IF(OR(L13=1,M13=0),1,0))</f>
        <v/>
      </c>
      <c r="O13" s="10">
        <f>IF(AND(N13=1,L13=0,G13&gt;0),1,0)</f>
        <v/>
      </c>
      <c r="P13" s="28">
        <f>IF(O13=1,MAX(H13/G13,SUMPRODUCT(MAX(((H13-$H$12:$H$15)*($O$12:$O$15*($G$12:$G$15&lt;G13)))/((G13-$G$12:$G$15)*($O$12:$O$15*($G$12:$G$15&lt;G13))+1-($O$12:$O$15*($G$12:$G$15&lt;G13)))-(1-($O$12:$O$15*($G$12:$G$15&lt;G13)))*1E+300))),0)</f>
        <v/>
      </c>
      <c r="Q13" s="28">
        <f>IF(O13=1,SUMPRODUCT(MIN(((($H$12:$H$15-H13)*($O$12:$O$15*($G$12:$G$15&gt;G13)))/(($G$12:$G$15-G13)*($O$12:$O$15*($G$12:$G$15&gt;G13))+1-($O$12:$O$15*($G$12:$G$15&gt;G13)))+(1-($O$12:$O$15*($G$12:$G$15&gt;G13)))*1E+300))),0)</f>
        <v/>
      </c>
      <c r="R13" s="10">
        <f>IF(C13=0,0,IF(L13=1,1,IF(AND(O13=1,P13&lt;=Q13),1,0)))</f>
        <v/>
      </c>
      <c r="S13" s="10">
        <f>IF(R13=1,1+SUMPRODUCT($R$12:$R$15*(($G$12:$G$15&lt;G13)+($G$12:$G$15=G13)*($A$12:$A$15&lt;A13))),0)</f>
        <v/>
      </c>
      <c r="T13" s="10">
        <f>IF(S13&lt;=1,0,SUMPRODUCT(($S$12:$S$15=S13-1)*$G$12:$G$15))</f>
        <v/>
      </c>
      <c r="U13" s="10">
        <f>IF(S13&lt;=1,0,SUMPRODUCT(($S$12:$S$15=S13-1)*$H$12:$H$15))</f>
        <v/>
      </c>
      <c r="V13" s="20">
        <f>IF(S13=0,"",(G13-T13)/10^in_out_dp)</f>
        <v/>
      </c>
      <c r="W13" s="26">
        <f>IF(S13=0,"",(H13-U13)/10^in_cost_dp)</f>
        <v/>
      </c>
      <c r="X13" s="26">
        <f>IF(S13=0,"",IF(G13=T13,0,W13/V13))</f>
        <v/>
      </c>
      <c r="Y13" s="26">
        <f>IF(AND(C13=1,G13&gt;0),K13/J13,"n/a")</f>
        <v/>
      </c>
      <c r="Z13" s="15" t="n">
        <v>1</v>
      </c>
      <c r="AA13" s="6">
        <f>IF(AND(C13=1,Z13=1),1+SUMPRODUCT($C$12:$C$15*$Z$12:$Z$15*(($G$12:$G$15&lt;G13)+($G$12:$G$15=G13)*($H$12:$H$15&lt;H13)+($G$12:$G$15=G13)*($H$12:$H$15=H13)*($A$12:$A$15&lt;A13))),0)</f>
        <v/>
      </c>
    </row>
    <row r="14">
      <c r="A14" s="4" t="n">
        <v>3</v>
      </c>
      <c r="B14" s="4" t="inlineStr">
        <is>
          <t>A</t>
        </is>
      </c>
      <c r="C14" s="10">
        <f>IF(SUMPRODUCT(D14:E14,1-$D$5:$E$5)=0,1,0)</f>
        <v/>
      </c>
      <c r="D14" s="4" t="n">
        <v>1</v>
      </c>
      <c r="E14" s="4" t="n">
        <v>0</v>
      </c>
      <c r="F14" s="6">
        <f>IF(C14=1,1+SUMPRODUCT(D14:E14,$D$9:$E$9),"")</f>
        <v/>
      </c>
      <c r="G14" s="6">
        <f>SUMPRODUCT(D14:E14,$D$6:$E$6)</f>
        <v/>
      </c>
      <c r="H14" s="6">
        <f>SUMPRODUCT(D14:E14,$D$7:$E$7)</f>
        <v/>
      </c>
      <c r="I14" s="25">
        <f>SUMPRODUCT(D14:E14,$D$8:$E$8)</f>
        <v/>
      </c>
      <c r="J14" s="20">
        <f>G14/10^in_out_dp</f>
        <v/>
      </c>
      <c r="K14" s="26">
        <f>H14/10^in_cost_dp</f>
        <v/>
      </c>
      <c r="L14" s="10">
        <f>IF(SUM(D14:E14)=0,1,0)</f>
        <v/>
      </c>
      <c r="M14" s="10">
        <f>SUMPRODUCT($C$12:$C$15*(($G$12:$G$15=G14)*($H$12:$H$15&lt;H14)+($G$12:$G$15&gt;G14)*($H$12:$H$15&lt;=H14)))</f>
        <v/>
      </c>
      <c r="N14" s="10">
        <f>IF(C14=0,0,IF(OR(L14=1,M14=0),1,0))</f>
        <v/>
      </c>
      <c r="O14" s="10">
        <f>IF(AND(N14=1,L14=0,G14&gt;0),1,0)</f>
        <v/>
      </c>
      <c r="P14" s="28">
        <f>IF(O14=1,MAX(H14/G14,SUMPRODUCT(MAX(((H14-$H$12:$H$15)*($O$12:$O$15*($G$12:$G$15&lt;G14)))/((G14-$G$12:$G$15)*($O$12:$O$15*($G$12:$G$15&lt;G14))+1-($O$12:$O$15*($G$12:$G$15&lt;G14)))-(1-($O$12:$O$15*($G$12:$G$15&lt;G14)))*1E+300))),0)</f>
        <v/>
      </c>
      <c r="Q14" s="28">
        <f>IF(O14=1,SUMPRODUCT(MIN(((($H$12:$H$15-H14)*($O$12:$O$15*($G$12:$G$15&gt;G14)))/(($G$12:$G$15-G14)*($O$12:$O$15*($G$12:$G$15&gt;G14))+1-($O$12:$O$15*($G$12:$G$15&gt;G14)))+(1-($O$12:$O$15*($G$12:$G$15&gt;G14)))*1E+300))),0)</f>
        <v/>
      </c>
      <c r="R14" s="10">
        <f>IF(C14=0,0,IF(L14=1,1,IF(AND(O14=1,P14&lt;=Q14),1,0)))</f>
        <v/>
      </c>
      <c r="S14" s="10">
        <f>IF(R14=1,1+SUMPRODUCT($R$12:$R$15*(($G$12:$G$15&lt;G14)+($G$12:$G$15=G14)*($A$12:$A$15&lt;A14))),0)</f>
        <v/>
      </c>
      <c r="T14" s="10">
        <f>IF(S14&lt;=1,0,SUMPRODUCT(($S$12:$S$15=S14-1)*$G$12:$G$15))</f>
        <v/>
      </c>
      <c r="U14" s="10">
        <f>IF(S14&lt;=1,0,SUMPRODUCT(($S$12:$S$15=S14-1)*$H$12:$H$15))</f>
        <v/>
      </c>
      <c r="V14" s="20">
        <f>IF(S14=0,"",(G14-T14)/10^in_out_dp)</f>
        <v/>
      </c>
      <c r="W14" s="26">
        <f>IF(S14=0,"",(H14-U14)/10^in_cost_dp)</f>
        <v/>
      </c>
      <c r="X14" s="26">
        <f>IF(S14=0,"",IF(G14=T14,0,W14/V14))</f>
        <v/>
      </c>
      <c r="Y14" s="26">
        <f>IF(AND(C14=1,G14&gt;0),K14/J14,"n/a")</f>
        <v/>
      </c>
      <c r="Z14" s="15" t="n">
        <v>0</v>
      </c>
      <c r="AA14" s="6">
        <f>IF(AND(C14=1,Z14=1),1+SUMPRODUCT($C$12:$C$15*$Z$12:$Z$15*(($G$12:$G$15&lt;G14)+($G$12:$G$15=G14)*($H$12:$H$15&lt;H14)+($G$12:$G$15=G14)*($H$12:$H$15=H14)*($A$12:$A$15&lt;A14))),0)</f>
        <v/>
      </c>
    </row>
    <row r="15">
      <c r="A15" s="4" t="n">
        <v>4</v>
      </c>
      <c r="B15" s="4" t="inlineStr">
        <is>
          <t>A + B</t>
        </is>
      </c>
      <c r="C15" s="10">
        <f>IF(SUMPRODUCT(D15:E15,1-$D$5:$E$5)=0,1,0)</f>
        <v/>
      </c>
      <c r="D15" s="4" t="n">
        <v>1</v>
      </c>
      <c r="E15" s="4" t="n">
        <v>1</v>
      </c>
      <c r="F15" s="6">
        <f>IF(C15=1,1+SUMPRODUCT(D15:E15,$D$9:$E$9),"")</f>
        <v/>
      </c>
      <c r="G15" s="6">
        <f>SUMPRODUCT(D15:E15,$D$6:$E$6)</f>
        <v/>
      </c>
      <c r="H15" s="6">
        <f>SUMPRODUCT(D15:E15,$D$7:$E$7)</f>
        <v/>
      </c>
      <c r="I15" s="25">
        <f>SUMPRODUCT(D15:E15,$D$8:$E$8)</f>
        <v/>
      </c>
      <c r="J15" s="20">
        <f>G15/10^in_out_dp</f>
        <v/>
      </c>
      <c r="K15" s="26">
        <f>H15/10^in_cost_dp</f>
        <v/>
      </c>
      <c r="L15" s="10">
        <f>IF(SUM(D15:E15)=0,1,0)</f>
        <v/>
      </c>
      <c r="M15" s="10">
        <f>SUMPRODUCT($C$12:$C$15*(($G$12:$G$15=G15)*($H$12:$H$15&lt;H15)+($G$12:$G$15&gt;G15)*($H$12:$H$15&lt;=H15)))</f>
        <v/>
      </c>
      <c r="N15" s="10">
        <f>IF(C15=0,0,IF(OR(L15=1,M15=0),1,0))</f>
        <v/>
      </c>
      <c r="O15" s="10">
        <f>IF(AND(N15=1,L15=0,G15&gt;0),1,0)</f>
        <v/>
      </c>
      <c r="P15" s="28">
        <f>IF(O15=1,MAX(H15/G15,SUMPRODUCT(MAX(((H15-$H$12:$H$15)*($O$12:$O$15*($G$12:$G$15&lt;G15)))/((G15-$G$12:$G$15)*($O$12:$O$15*($G$12:$G$15&lt;G15))+1-($O$12:$O$15*($G$12:$G$15&lt;G15)))-(1-($O$12:$O$15*($G$12:$G$15&lt;G15)))*1E+300))),0)</f>
        <v/>
      </c>
      <c r="Q15" s="28">
        <f>IF(O15=1,SUMPRODUCT(MIN(((($H$12:$H$15-H15)*($O$12:$O$15*($G$12:$G$15&gt;G15)))/(($G$12:$G$15-G15)*($O$12:$O$15*($G$12:$G$15&gt;G15))+1-($O$12:$O$15*($G$12:$G$15&gt;G15)))+(1-($O$12:$O$15*($G$12:$G$15&gt;G15)))*1E+300))),0)</f>
        <v/>
      </c>
      <c r="R15" s="10">
        <f>IF(C15=0,0,IF(L15=1,1,IF(AND(O15=1,P15&lt;=Q15),1,0)))</f>
        <v/>
      </c>
      <c r="S15" s="10">
        <f>IF(R15=1,1+SUMPRODUCT($R$12:$R$15*(($G$12:$G$15&lt;G15)+($G$12:$G$15=G15)*($A$12:$A$15&lt;A15))),0)</f>
        <v/>
      </c>
      <c r="T15" s="10">
        <f>IF(S15&lt;=1,0,SUMPRODUCT(($S$12:$S$15=S15-1)*$G$12:$G$15))</f>
        <v/>
      </c>
      <c r="U15" s="10">
        <f>IF(S15&lt;=1,0,SUMPRODUCT(($S$12:$S$15=S15-1)*$H$12:$H$15))</f>
        <v/>
      </c>
      <c r="V15" s="20">
        <f>IF(S15=0,"",(G15-T15)/10^in_out_dp)</f>
        <v/>
      </c>
      <c r="W15" s="26">
        <f>IF(S15=0,"",(H15-U15)/10^in_cost_dp)</f>
        <v/>
      </c>
      <c r="X15" s="26">
        <f>IF(S15=0,"",IF(G15=T15,0,W15/V15))</f>
        <v/>
      </c>
      <c r="Y15" s="26">
        <f>IF(AND(C15=1,G15&gt;0),K15/J15,"n/a")</f>
        <v/>
      </c>
      <c r="Z15" s="15" t="n">
        <v>1</v>
      </c>
      <c r="AA15" s="6">
        <f>IF(AND(C15=1,Z15=1),1+SUMPRODUCT($C$12:$C$15*$Z$12:$Z$15*(($G$12:$G$15&lt;G15)+($G$12:$G$15=G15)*($H$12:$H$15&lt;H15)+($G$12:$G$15=G15)*($H$12:$H$15=H15)*($A$12:$A$15&lt;A15))),0)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Z12:Z15">
    <cfRule type="expression" priority="1" dxfId="0" stopIfTrue="0">
      <formula>Z12&lt;&gt;'snap Watershed plans'!Z12</formula>
    </cfRule>
  </conditionalFormatting>
  <dataValidations count="1">
    <dataValidation sqref="Z12:Z15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10" customWidth="1" style="8" min="2" max="2"/>
    <col width="40" customWidth="1" style="8" min="3" max="3"/>
    <col width="12" customWidth="1" style="8" min="4" max="4"/>
    <col width="15" customWidth="1" style="8" min="5" max="5"/>
    <col width="15" customWidth="1" style="8" min="6" max="6"/>
    <col width="12" customWidth="1" style="8" min="7" max="7"/>
    <col width="12" customWidth="1" style="8" min="8" max="8"/>
    <col width="13" customWidth="1" style="8" min="9" max="9"/>
    <col width="14" customWidth="1" style="8" min="10" max="10"/>
    <col width="10" customWidth="1" style="8" min="11" max="11"/>
    <col width="50" customWidth="1" style="8" min="12" max="12"/>
  </cols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s="7" t="inlineStr">
        <is>
          <t>Best buys</t>
        </is>
      </c>
    </row>
    <row r="5">
      <c r="A5" s="12" t="inlineStr">
        <is>
          <t>Step</t>
        </is>
      </c>
      <c r="B5" s="12" t="inlineStr">
        <is>
          <t>Plan number</t>
        </is>
      </c>
      <c r="C5" s="12" t="inlineStr">
        <is>
          <t>Plan</t>
        </is>
      </c>
      <c r="D5" s="12" t="inlineStr">
        <is>
          <t>Lift (AAHU)</t>
        </is>
      </c>
      <c r="E5" s="12" t="inlineStr">
        <is>
          <t>Average annual cost</t>
        </is>
      </c>
      <c r="F5" s="12" t="inlineStr">
        <is>
          <t>Construction cost</t>
        </is>
      </c>
      <c r="G5" s="12" t="inlineStr">
        <is>
          <t>Unit cost</t>
        </is>
      </c>
      <c r="H5" s="12" t="inlineStr">
        <is>
          <t>Incremental cost per unit</t>
        </is>
      </c>
    </row>
    <row r="6">
      <c r="A6" s="4" t="n">
        <v>1</v>
      </c>
      <c r="B6" s="6">
        <f>IFERROR(INDEX('Watershed plans'!$F$12:$F$15,MATCH(1,'Watershed plans'!$S$12:$S$15,0)),"")</f>
        <v/>
      </c>
      <c r="C6" s="10">
        <f>IFERROR(INDEX('Watershed plans'!$B$12:$B$15,MATCH(1,'Watershed plans'!$S$12:$S$15,0)),"")</f>
        <v/>
      </c>
      <c r="D6" s="20">
        <f>IFERROR(INDEX('Watershed plans'!$J$12:$J$15,MATCH(1,'Watershed plans'!$S$12:$S$15,0)),"")</f>
        <v/>
      </c>
      <c r="E6" s="26">
        <f>IFERROR(INDEX('Watershed plans'!$K$12:$K$15,MATCH(1,'Watershed plans'!$S$12:$S$15,0)),"")</f>
        <v/>
      </c>
      <c r="F6" s="25">
        <f>IFERROR(INDEX('Watershed plans'!$I$12:$I$15,MATCH(1,'Watershed plans'!$S$12:$S$15,0)),"")</f>
        <v/>
      </c>
      <c r="G6" s="26">
        <f>IFERROR(INDEX('Watershed plans'!$Y$12:$Y$15,MATCH(1,'Watershed plans'!$S$12:$S$15,0)),"")</f>
        <v/>
      </c>
      <c r="H6" s="26">
        <f>IFERROR(INDEX('Watershed plans'!$X$12:$X$15,MATCH(1,'Watershed plans'!$S$12:$S$15,0)),"")</f>
        <v/>
      </c>
    </row>
    <row r="7">
      <c r="A7" s="4" t="n">
        <v>2</v>
      </c>
      <c r="B7" s="6">
        <f>IFERROR(INDEX('Watershed plans'!$F$12:$F$15,MATCH(2,'Watershed plans'!$S$12:$S$15,0)),"")</f>
        <v/>
      </c>
      <c r="C7" s="10">
        <f>IFERROR(INDEX('Watershed plans'!$B$12:$B$15,MATCH(2,'Watershed plans'!$S$12:$S$15,0)),"")</f>
        <v/>
      </c>
      <c r="D7" s="20">
        <f>IFERROR(INDEX('Watershed plans'!$J$12:$J$15,MATCH(2,'Watershed plans'!$S$12:$S$15,0)),"")</f>
        <v/>
      </c>
      <c r="E7" s="26">
        <f>IFERROR(INDEX('Watershed plans'!$K$12:$K$15,MATCH(2,'Watershed plans'!$S$12:$S$15,0)),"")</f>
        <v/>
      </c>
      <c r="F7" s="25">
        <f>IFERROR(INDEX('Watershed plans'!$I$12:$I$15,MATCH(2,'Watershed plans'!$S$12:$S$15,0)),"")</f>
        <v/>
      </c>
      <c r="G7" s="26">
        <f>IFERROR(INDEX('Watershed plans'!$Y$12:$Y$15,MATCH(2,'Watershed plans'!$S$12:$S$15,0)),"")</f>
        <v/>
      </c>
      <c r="H7" s="26">
        <f>IFERROR(INDEX('Watershed plans'!$X$12:$X$15,MATCH(2,'Watershed plans'!$S$12:$S$15,0)),"")</f>
        <v/>
      </c>
    </row>
    <row r="8">
      <c r="A8" s="4" t="n">
        <v>3</v>
      </c>
      <c r="B8" s="6">
        <f>IFERROR(INDEX('Watershed plans'!$F$12:$F$15,MATCH(3,'Watershed plans'!$S$12:$S$15,0)),"")</f>
        <v/>
      </c>
      <c r="C8" s="10">
        <f>IFERROR(INDEX('Watershed plans'!$B$12:$B$15,MATCH(3,'Watershed plans'!$S$12:$S$15,0)),"")</f>
        <v/>
      </c>
      <c r="D8" s="20">
        <f>IFERROR(INDEX('Watershed plans'!$J$12:$J$15,MATCH(3,'Watershed plans'!$S$12:$S$15,0)),"")</f>
        <v/>
      </c>
      <c r="E8" s="26">
        <f>IFERROR(INDEX('Watershed plans'!$K$12:$K$15,MATCH(3,'Watershed plans'!$S$12:$S$15,0)),"")</f>
        <v/>
      </c>
      <c r="F8" s="25">
        <f>IFERROR(INDEX('Watershed plans'!$I$12:$I$15,MATCH(3,'Watershed plans'!$S$12:$S$15,0)),"")</f>
        <v/>
      </c>
      <c r="G8" s="26">
        <f>IFERROR(INDEX('Watershed plans'!$Y$12:$Y$15,MATCH(3,'Watershed plans'!$S$12:$S$15,0)),"")</f>
        <v/>
      </c>
      <c r="H8" s="26">
        <f>IFERROR(INDEX('Watershed plans'!$X$12:$X$15,MATCH(3,'Watershed plans'!$S$12:$S$15,0)),"")</f>
        <v/>
      </c>
    </row>
    <row r="9">
      <c r="A9" s="4" t="n">
        <v>4</v>
      </c>
      <c r="B9" s="6">
        <f>IFERROR(INDEX('Watershed plans'!$F$12:$F$15,MATCH(4,'Watershed plans'!$S$12:$S$15,0)),"")</f>
        <v/>
      </c>
      <c r="C9" s="10">
        <f>IFERROR(INDEX('Watershed plans'!$B$12:$B$15,MATCH(4,'Watershed plans'!$S$12:$S$15,0)),"")</f>
        <v/>
      </c>
      <c r="D9" s="20">
        <f>IFERROR(INDEX('Watershed plans'!$J$12:$J$15,MATCH(4,'Watershed plans'!$S$12:$S$15,0)),"")</f>
        <v/>
      </c>
      <c r="E9" s="26">
        <f>IFERROR(INDEX('Watershed plans'!$K$12:$K$15,MATCH(4,'Watershed plans'!$S$12:$S$15,0)),"")</f>
        <v/>
      </c>
      <c r="F9" s="25">
        <f>IFERROR(INDEX('Watershed plans'!$I$12:$I$15,MATCH(4,'Watershed plans'!$S$12:$S$15,0)),"")</f>
        <v/>
      </c>
      <c r="G9" s="26">
        <f>IFERROR(INDEX('Watershed plans'!$Y$12:$Y$15,MATCH(4,'Watershed plans'!$S$12:$S$15,0)),"")</f>
        <v/>
      </c>
      <c r="H9" s="26">
        <f>IFERROR(INDEX('Watershed plans'!$X$12:$X$15,MATCH(4,'Watershed plans'!$S$12:$S$15,0)),"")</f>
        <v/>
      </c>
    </row>
    <row r="10">
      <c r="A10" s="4" t="n">
        <v>5</v>
      </c>
      <c r="B10" s="6">
        <f>IFERROR(INDEX('Watershed plans'!$F$12:$F$15,MATCH(5,'Watershed plans'!$S$12:$S$15,0)),"")</f>
        <v/>
      </c>
      <c r="C10" s="10">
        <f>IFERROR(INDEX('Watershed plans'!$B$12:$B$15,MATCH(5,'Watershed plans'!$S$12:$S$15,0)),"")</f>
        <v/>
      </c>
      <c r="D10" s="20">
        <f>IFERROR(INDEX('Watershed plans'!$J$12:$J$15,MATCH(5,'Watershed plans'!$S$12:$S$15,0)),"")</f>
        <v/>
      </c>
      <c r="E10" s="26">
        <f>IFERROR(INDEX('Watershed plans'!$K$12:$K$15,MATCH(5,'Watershed plans'!$S$12:$S$15,0)),"")</f>
        <v/>
      </c>
      <c r="F10" s="25">
        <f>IFERROR(INDEX('Watershed plans'!$I$12:$I$15,MATCH(5,'Watershed plans'!$S$12:$S$15,0)),"")</f>
        <v/>
      </c>
      <c r="G10" s="26">
        <f>IFERROR(INDEX('Watershed plans'!$Y$12:$Y$15,MATCH(5,'Watershed plans'!$S$12:$S$15,0)),"")</f>
        <v/>
      </c>
      <c r="H10" s="26">
        <f>IFERROR(INDEX('Watershed plans'!$X$12:$X$15,MATCH(5,'Watershed plans'!$S$12:$S$15,0)),"")</f>
        <v/>
      </c>
    </row>
    <row r="11">
      <c r="A11" s="4" t="n">
        <v>6</v>
      </c>
      <c r="B11" s="6">
        <f>IFERROR(INDEX('Watershed plans'!$F$12:$F$15,MATCH(6,'Watershed plans'!$S$12:$S$15,0)),"")</f>
        <v/>
      </c>
      <c r="C11" s="10">
        <f>IFERROR(INDEX('Watershed plans'!$B$12:$B$15,MATCH(6,'Watershed plans'!$S$12:$S$15,0)),"")</f>
        <v/>
      </c>
      <c r="D11" s="20">
        <f>IFERROR(INDEX('Watershed plans'!$J$12:$J$15,MATCH(6,'Watershed plans'!$S$12:$S$15,0)),"")</f>
        <v/>
      </c>
      <c r="E11" s="26">
        <f>IFERROR(INDEX('Watershed plans'!$K$12:$K$15,MATCH(6,'Watershed plans'!$S$12:$S$15,0)),"")</f>
        <v/>
      </c>
      <c r="F11" s="25">
        <f>IFERROR(INDEX('Watershed plans'!$I$12:$I$15,MATCH(6,'Watershed plans'!$S$12:$S$15,0)),"")</f>
        <v/>
      </c>
      <c r="G11" s="26">
        <f>IFERROR(INDEX('Watershed plans'!$Y$12:$Y$15,MATCH(6,'Watershed plans'!$S$12:$S$15,0)),"")</f>
        <v/>
      </c>
      <c r="H11" s="26">
        <f>IFERROR(INDEX('Watershed plans'!$X$12:$X$15,MATCH(6,'Watershed plans'!$S$12:$S$15,0)),"")</f>
        <v/>
      </c>
    </row>
    <row r="12">
      <c r="A12" s="4" t="n">
        <v>7</v>
      </c>
      <c r="B12" s="6">
        <f>IFERROR(INDEX('Watershed plans'!$F$12:$F$15,MATCH(7,'Watershed plans'!$S$12:$S$15,0)),"")</f>
        <v/>
      </c>
      <c r="C12" s="10">
        <f>IFERROR(INDEX('Watershed plans'!$B$12:$B$15,MATCH(7,'Watershed plans'!$S$12:$S$15,0)),"")</f>
        <v/>
      </c>
      <c r="D12" s="20">
        <f>IFERROR(INDEX('Watershed plans'!$J$12:$J$15,MATCH(7,'Watershed plans'!$S$12:$S$15,0)),"")</f>
        <v/>
      </c>
      <c r="E12" s="26">
        <f>IFERROR(INDEX('Watershed plans'!$K$12:$K$15,MATCH(7,'Watershed plans'!$S$12:$S$15,0)),"")</f>
        <v/>
      </c>
      <c r="F12" s="25">
        <f>IFERROR(INDEX('Watershed plans'!$I$12:$I$15,MATCH(7,'Watershed plans'!$S$12:$S$15,0)),"")</f>
        <v/>
      </c>
      <c r="G12" s="26">
        <f>IFERROR(INDEX('Watershed plans'!$Y$12:$Y$15,MATCH(7,'Watershed plans'!$S$12:$S$15,0)),"")</f>
        <v/>
      </c>
      <c r="H12" s="26">
        <f>IFERROR(INDEX('Watershed plans'!$X$12:$X$15,MATCH(7,'Watershed plans'!$S$12:$S$15,0)),"")</f>
        <v/>
      </c>
    </row>
    <row r="13">
      <c r="A13" s="4" t="n">
        <v>8</v>
      </c>
      <c r="B13" s="6">
        <f>IFERROR(INDEX('Watershed plans'!$F$12:$F$15,MATCH(8,'Watershed plans'!$S$12:$S$15,0)),"")</f>
        <v/>
      </c>
      <c r="C13" s="10">
        <f>IFERROR(INDEX('Watershed plans'!$B$12:$B$15,MATCH(8,'Watershed plans'!$S$12:$S$15,0)),"")</f>
        <v/>
      </c>
      <c r="D13" s="20">
        <f>IFERROR(INDEX('Watershed plans'!$J$12:$J$15,MATCH(8,'Watershed plans'!$S$12:$S$15,0)),"")</f>
        <v/>
      </c>
      <c r="E13" s="26">
        <f>IFERROR(INDEX('Watershed plans'!$K$12:$K$15,MATCH(8,'Watershed plans'!$S$12:$S$15,0)),"")</f>
        <v/>
      </c>
      <c r="F13" s="25">
        <f>IFERROR(INDEX('Watershed plans'!$I$12:$I$15,MATCH(8,'Watershed plans'!$S$12:$S$15,0)),"")</f>
        <v/>
      </c>
      <c r="G13" s="26">
        <f>IFERROR(INDEX('Watershed plans'!$Y$12:$Y$15,MATCH(8,'Watershed plans'!$S$12:$S$15,0)),"")</f>
        <v/>
      </c>
      <c r="H13" s="26">
        <f>IFERROR(INDEX('Watershed plans'!$X$12:$X$15,MATCH(8,'Watershed plans'!$S$12:$S$15,0)),"")</f>
        <v/>
      </c>
    </row>
    <row r="14">
      <c r="A14" s="4" t="n">
        <v>9</v>
      </c>
      <c r="B14" s="6">
        <f>IFERROR(INDEX('Watershed plans'!$F$12:$F$15,MATCH(9,'Watershed plans'!$S$12:$S$15,0)),"")</f>
        <v/>
      </c>
      <c r="C14" s="10">
        <f>IFERROR(INDEX('Watershed plans'!$B$12:$B$15,MATCH(9,'Watershed plans'!$S$12:$S$15,0)),"")</f>
        <v/>
      </c>
      <c r="D14" s="20">
        <f>IFERROR(INDEX('Watershed plans'!$J$12:$J$15,MATCH(9,'Watershed plans'!$S$12:$S$15,0)),"")</f>
        <v/>
      </c>
      <c r="E14" s="26">
        <f>IFERROR(INDEX('Watershed plans'!$K$12:$K$15,MATCH(9,'Watershed plans'!$S$12:$S$15,0)),"")</f>
        <v/>
      </c>
      <c r="F14" s="25">
        <f>IFERROR(INDEX('Watershed plans'!$I$12:$I$15,MATCH(9,'Watershed plans'!$S$12:$S$15,0)),"")</f>
        <v/>
      </c>
      <c r="G14" s="26">
        <f>IFERROR(INDEX('Watershed plans'!$Y$12:$Y$15,MATCH(9,'Watershed plans'!$S$12:$S$15,0)),"")</f>
        <v/>
      </c>
      <c r="H14" s="26">
        <f>IFERROR(INDEX('Watershed plans'!$X$12:$X$15,MATCH(9,'Watershed plans'!$S$12:$S$15,0)),"")</f>
        <v/>
      </c>
    </row>
    <row r="15">
      <c r="A15" s="4" t="n">
        <v>10</v>
      </c>
      <c r="B15" s="6">
        <f>IFERROR(INDEX('Watershed plans'!$F$12:$F$15,MATCH(10,'Watershed plans'!$S$12:$S$15,0)),"")</f>
        <v/>
      </c>
      <c r="C15" s="10">
        <f>IFERROR(INDEX('Watershed plans'!$B$12:$B$15,MATCH(10,'Watershed plans'!$S$12:$S$15,0)),"")</f>
        <v/>
      </c>
      <c r="D15" s="20">
        <f>IFERROR(INDEX('Watershed plans'!$J$12:$J$15,MATCH(10,'Watershed plans'!$S$12:$S$15,0)),"")</f>
        <v/>
      </c>
      <c r="E15" s="26">
        <f>IFERROR(INDEX('Watershed plans'!$K$12:$K$15,MATCH(10,'Watershed plans'!$S$12:$S$15,0)),"")</f>
        <v/>
      </c>
      <c r="F15" s="25">
        <f>IFERROR(INDEX('Watershed plans'!$I$12:$I$15,MATCH(10,'Watershed plans'!$S$12:$S$15,0)),"")</f>
        <v/>
      </c>
      <c r="G15" s="26">
        <f>IFERROR(INDEX('Watershed plans'!$Y$12:$Y$15,MATCH(10,'Watershed plans'!$S$12:$S$15,0)),"")</f>
        <v/>
      </c>
      <c r="H15" s="26">
        <f>IFERROR(INDEX('Watershed plans'!$X$12:$X$15,MATCH(10,'Watershed plans'!$S$12:$S$15,0)),"")</f>
        <v/>
      </c>
    </row>
    <row r="16">
      <c r="A16" s="4" t="n">
        <v>11</v>
      </c>
      <c r="B16" s="6">
        <f>IFERROR(INDEX('Watershed plans'!$F$12:$F$15,MATCH(11,'Watershed plans'!$S$12:$S$15,0)),"")</f>
        <v/>
      </c>
      <c r="C16" s="10">
        <f>IFERROR(INDEX('Watershed plans'!$B$12:$B$15,MATCH(11,'Watershed plans'!$S$12:$S$15,0)),"")</f>
        <v/>
      </c>
      <c r="D16" s="20">
        <f>IFERROR(INDEX('Watershed plans'!$J$12:$J$15,MATCH(11,'Watershed plans'!$S$12:$S$15,0)),"")</f>
        <v/>
      </c>
      <c r="E16" s="26">
        <f>IFERROR(INDEX('Watershed plans'!$K$12:$K$15,MATCH(11,'Watershed plans'!$S$12:$S$15,0)),"")</f>
        <v/>
      </c>
      <c r="F16" s="25">
        <f>IFERROR(INDEX('Watershed plans'!$I$12:$I$15,MATCH(11,'Watershed plans'!$S$12:$S$15,0)),"")</f>
        <v/>
      </c>
      <c r="G16" s="26">
        <f>IFERROR(INDEX('Watershed plans'!$Y$12:$Y$15,MATCH(11,'Watershed plans'!$S$12:$S$15,0)),"")</f>
        <v/>
      </c>
      <c r="H16" s="26">
        <f>IFERROR(INDEX('Watershed plans'!$X$12:$X$15,MATCH(11,'Watershed plans'!$S$12:$S$15,0)),"")</f>
        <v/>
      </c>
    </row>
    <row r="17">
      <c r="A17" s="4" t="n">
        <v>12</v>
      </c>
      <c r="B17" s="6">
        <f>IFERROR(INDEX('Watershed plans'!$F$12:$F$15,MATCH(12,'Watershed plans'!$S$12:$S$15,0)),"")</f>
        <v/>
      </c>
      <c r="C17" s="10">
        <f>IFERROR(INDEX('Watershed plans'!$B$12:$B$15,MATCH(12,'Watershed plans'!$S$12:$S$15,0)),"")</f>
        <v/>
      </c>
      <c r="D17" s="20">
        <f>IFERROR(INDEX('Watershed plans'!$J$12:$J$15,MATCH(12,'Watershed plans'!$S$12:$S$15,0)),"")</f>
        <v/>
      </c>
      <c r="E17" s="26">
        <f>IFERROR(INDEX('Watershed plans'!$K$12:$K$15,MATCH(12,'Watershed plans'!$S$12:$S$15,0)),"")</f>
        <v/>
      </c>
      <c r="F17" s="25">
        <f>IFERROR(INDEX('Watershed plans'!$I$12:$I$15,MATCH(12,'Watershed plans'!$S$12:$S$15,0)),"")</f>
        <v/>
      </c>
      <c r="G17" s="26">
        <f>IFERROR(INDEX('Watershed plans'!$Y$12:$Y$15,MATCH(12,'Watershed plans'!$S$12:$S$15,0)),"")</f>
        <v/>
      </c>
      <c r="H17" s="26">
        <f>IFERROR(INDEX('Watershed plans'!$X$12:$X$15,MATCH(12,'Watershed plans'!$S$12:$S$15,0)),"")</f>
        <v/>
      </c>
    </row>
    <row r="18">
      <c r="A18" s="4" t="n">
        <v>13</v>
      </c>
      <c r="B18" s="6">
        <f>IFERROR(INDEX('Watershed plans'!$F$12:$F$15,MATCH(13,'Watershed plans'!$S$12:$S$15,0)),"")</f>
        <v/>
      </c>
      <c r="C18" s="10">
        <f>IFERROR(INDEX('Watershed plans'!$B$12:$B$15,MATCH(13,'Watershed plans'!$S$12:$S$15,0)),"")</f>
        <v/>
      </c>
      <c r="D18" s="20">
        <f>IFERROR(INDEX('Watershed plans'!$J$12:$J$15,MATCH(13,'Watershed plans'!$S$12:$S$15,0)),"")</f>
        <v/>
      </c>
      <c r="E18" s="26">
        <f>IFERROR(INDEX('Watershed plans'!$K$12:$K$15,MATCH(13,'Watershed plans'!$S$12:$S$15,0)),"")</f>
        <v/>
      </c>
      <c r="F18" s="25">
        <f>IFERROR(INDEX('Watershed plans'!$I$12:$I$15,MATCH(13,'Watershed plans'!$S$12:$S$15,0)),"")</f>
        <v/>
      </c>
      <c r="G18" s="26">
        <f>IFERROR(INDEX('Watershed plans'!$Y$12:$Y$15,MATCH(13,'Watershed plans'!$S$12:$S$15,0)),"")</f>
        <v/>
      </c>
      <c r="H18" s="26">
        <f>IFERROR(INDEX('Watershed plans'!$X$12:$X$15,MATCH(13,'Watershed plans'!$S$12:$S$15,0)),"")</f>
        <v/>
      </c>
    </row>
    <row r="19">
      <c r="A19" s="4" t="n">
        <v>14</v>
      </c>
      <c r="B19" s="6">
        <f>IFERROR(INDEX('Watershed plans'!$F$12:$F$15,MATCH(14,'Watershed plans'!$S$12:$S$15,0)),"")</f>
        <v/>
      </c>
      <c r="C19" s="10">
        <f>IFERROR(INDEX('Watershed plans'!$B$12:$B$15,MATCH(14,'Watershed plans'!$S$12:$S$15,0)),"")</f>
        <v/>
      </c>
      <c r="D19" s="20">
        <f>IFERROR(INDEX('Watershed plans'!$J$12:$J$15,MATCH(14,'Watershed plans'!$S$12:$S$15,0)),"")</f>
        <v/>
      </c>
      <c r="E19" s="26">
        <f>IFERROR(INDEX('Watershed plans'!$K$12:$K$15,MATCH(14,'Watershed plans'!$S$12:$S$15,0)),"")</f>
        <v/>
      </c>
      <c r="F19" s="25">
        <f>IFERROR(INDEX('Watershed plans'!$I$12:$I$15,MATCH(14,'Watershed plans'!$S$12:$S$15,0)),"")</f>
        <v/>
      </c>
      <c r="G19" s="26">
        <f>IFERROR(INDEX('Watershed plans'!$Y$12:$Y$15,MATCH(14,'Watershed plans'!$S$12:$S$15,0)),"")</f>
        <v/>
      </c>
      <c r="H19" s="26">
        <f>IFERROR(INDEX('Watershed plans'!$X$12:$X$15,MATCH(14,'Watershed plans'!$S$12:$S$15,0)),"")</f>
        <v/>
      </c>
    </row>
    <row r="20">
      <c r="A20" s="4" t="n">
        <v>15</v>
      </c>
      <c r="B20" s="6">
        <f>IFERROR(INDEX('Watershed plans'!$F$12:$F$15,MATCH(15,'Watershed plans'!$S$12:$S$15,0)),"")</f>
        <v/>
      </c>
      <c r="C20" s="10">
        <f>IFERROR(INDEX('Watershed plans'!$B$12:$B$15,MATCH(15,'Watershed plans'!$S$12:$S$15,0)),"")</f>
        <v/>
      </c>
      <c r="D20" s="20">
        <f>IFERROR(INDEX('Watershed plans'!$J$12:$J$15,MATCH(15,'Watershed plans'!$S$12:$S$15,0)),"")</f>
        <v/>
      </c>
      <c r="E20" s="26">
        <f>IFERROR(INDEX('Watershed plans'!$K$12:$K$15,MATCH(15,'Watershed plans'!$S$12:$S$15,0)),"")</f>
        <v/>
      </c>
      <c r="F20" s="25">
        <f>IFERROR(INDEX('Watershed plans'!$I$12:$I$15,MATCH(15,'Watershed plans'!$S$12:$S$15,0)),"")</f>
        <v/>
      </c>
      <c r="G20" s="26">
        <f>IFERROR(INDEX('Watershed plans'!$Y$12:$Y$15,MATCH(15,'Watershed plans'!$S$12:$S$15,0)),"")</f>
        <v/>
      </c>
      <c r="H20" s="26">
        <f>IFERROR(INDEX('Watershed plans'!$X$12:$X$15,MATCH(15,'Watershed plans'!$S$12:$S$15,0)),"")</f>
        <v/>
      </c>
    </row>
    <row r="21">
      <c r="A21" s="4" t="n">
        <v>16</v>
      </c>
      <c r="B21" s="6">
        <f>IFERROR(INDEX('Watershed plans'!$F$12:$F$15,MATCH(16,'Watershed plans'!$S$12:$S$15,0)),"")</f>
        <v/>
      </c>
      <c r="C21" s="10">
        <f>IFERROR(INDEX('Watershed plans'!$B$12:$B$15,MATCH(16,'Watershed plans'!$S$12:$S$15,0)),"")</f>
        <v/>
      </c>
      <c r="D21" s="20">
        <f>IFERROR(INDEX('Watershed plans'!$J$12:$J$15,MATCH(16,'Watershed plans'!$S$12:$S$15,0)),"")</f>
        <v/>
      </c>
      <c r="E21" s="26">
        <f>IFERROR(INDEX('Watershed plans'!$K$12:$K$15,MATCH(16,'Watershed plans'!$S$12:$S$15,0)),"")</f>
        <v/>
      </c>
      <c r="F21" s="25">
        <f>IFERROR(INDEX('Watershed plans'!$I$12:$I$15,MATCH(16,'Watershed plans'!$S$12:$S$15,0)),"")</f>
        <v/>
      </c>
      <c r="G21" s="26">
        <f>IFERROR(INDEX('Watershed plans'!$Y$12:$Y$15,MATCH(16,'Watershed plans'!$S$12:$S$15,0)),"")</f>
        <v/>
      </c>
      <c r="H21" s="26">
        <f>IFERROR(INDEX('Watershed plans'!$X$12:$X$15,MATCH(16,'Watershed plans'!$S$12:$S$15,0)),"")</f>
        <v/>
      </c>
    </row>
    <row r="22">
      <c r="A22" s="4" t="n">
        <v>17</v>
      </c>
      <c r="B22" s="6">
        <f>IFERROR(INDEX('Watershed plans'!$F$12:$F$15,MATCH(17,'Watershed plans'!$S$12:$S$15,0)),"")</f>
        <v/>
      </c>
      <c r="C22" s="10">
        <f>IFERROR(INDEX('Watershed plans'!$B$12:$B$15,MATCH(17,'Watershed plans'!$S$12:$S$15,0)),"")</f>
        <v/>
      </c>
      <c r="D22" s="20">
        <f>IFERROR(INDEX('Watershed plans'!$J$12:$J$15,MATCH(17,'Watershed plans'!$S$12:$S$15,0)),"")</f>
        <v/>
      </c>
      <c r="E22" s="26">
        <f>IFERROR(INDEX('Watershed plans'!$K$12:$K$15,MATCH(17,'Watershed plans'!$S$12:$S$15,0)),"")</f>
        <v/>
      </c>
      <c r="F22" s="25">
        <f>IFERROR(INDEX('Watershed plans'!$I$12:$I$15,MATCH(17,'Watershed plans'!$S$12:$S$15,0)),"")</f>
        <v/>
      </c>
      <c r="G22" s="26">
        <f>IFERROR(INDEX('Watershed plans'!$Y$12:$Y$15,MATCH(17,'Watershed plans'!$S$12:$S$15,0)),"")</f>
        <v/>
      </c>
      <c r="H22" s="26">
        <f>IFERROR(INDEX('Watershed plans'!$X$12:$X$15,MATCH(17,'Watershed plans'!$S$12:$S$15,0)),"")</f>
        <v/>
      </c>
    </row>
    <row r="23">
      <c r="A23" s="4" t="n">
        <v>18</v>
      </c>
      <c r="B23" s="6">
        <f>IFERROR(INDEX('Watershed plans'!$F$12:$F$15,MATCH(18,'Watershed plans'!$S$12:$S$15,0)),"")</f>
        <v/>
      </c>
      <c r="C23" s="10">
        <f>IFERROR(INDEX('Watershed plans'!$B$12:$B$15,MATCH(18,'Watershed plans'!$S$12:$S$15,0)),"")</f>
        <v/>
      </c>
      <c r="D23" s="20">
        <f>IFERROR(INDEX('Watershed plans'!$J$12:$J$15,MATCH(18,'Watershed plans'!$S$12:$S$15,0)),"")</f>
        <v/>
      </c>
      <c r="E23" s="26">
        <f>IFERROR(INDEX('Watershed plans'!$K$12:$K$15,MATCH(18,'Watershed plans'!$S$12:$S$15,0)),"")</f>
        <v/>
      </c>
      <c r="F23" s="25">
        <f>IFERROR(INDEX('Watershed plans'!$I$12:$I$15,MATCH(18,'Watershed plans'!$S$12:$S$15,0)),"")</f>
        <v/>
      </c>
      <c r="G23" s="26">
        <f>IFERROR(INDEX('Watershed plans'!$Y$12:$Y$15,MATCH(18,'Watershed plans'!$S$12:$S$15,0)),"")</f>
        <v/>
      </c>
      <c r="H23" s="26">
        <f>IFERROR(INDEX('Watershed plans'!$X$12:$X$15,MATCH(18,'Watershed plans'!$S$12:$S$15,0)),"")</f>
        <v/>
      </c>
    </row>
    <row r="24">
      <c r="A24" s="4" t="n">
        <v>19</v>
      </c>
      <c r="B24" s="6">
        <f>IFERROR(INDEX('Watershed plans'!$F$12:$F$15,MATCH(19,'Watershed plans'!$S$12:$S$15,0)),"")</f>
        <v/>
      </c>
      <c r="C24" s="10">
        <f>IFERROR(INDEX('Watershed plans'!$B$12:$B$15,MATCH(19,'Watershed plans'!$S$12:$S$15,0)),"")</f>
        <v/>
      </c>
      <c r="D24" s="20">
        <f>IFERROR(INDEX('Watershed plans'!$J$12:$J$15,MATCH(19,'Watershed plans'!$S$12:$S$15,0)),"")</f>
        <v/>
      </c>
      <c r="E24" s="26">
        <f>IFERROR(INDEX('Watershed plans'!$K$12:$K$15,MATCH(19,'Watershed plans'!$S$12:$S$15,0)),"")</f>
        <v/>
      </c>
      <c r="F24" s="25">
        <f>IFERROR(INDEX('Watershed plans'!$I$12:$I$15,MATCH(19,'Watershed plans'!$S$12:$S$15,0)),"")</f>
        <v/>
      </c>
      <c r="G24" s="26">
        <f>IFERROR(INDEX('Watershed plans'!$Y$12:$Y$15,MATCH(19,'Watershed plans'!$S$12:$S$15,0)),"")</f>
        <v/>
      </c>
      <c r="H24" s="26">
        <f>IFERROR(INDEX('Watershed plans'!$X$12:$X$15,MATCH(19,'Watershed plans'!$S$12:$S$15,0)),"")</f>
        <v/>
      </c>
    </row>
    <row r="25">
      <c r="A25" s="4" t="n">
        <v>20</v>
      </c>
      <c r="B25" s="6">
        <f>IFERROR(INDEX('Watershed plans'!$F$12:$F$15,MATCH(20,'Watershed plans'!$S$12:$S$15,0)),"")</f>
        <v/>
      </c>
      <c r="C25" s="10">
        <f>IFERROR(INDEX('Watershed plans'!$B$12:$B$15,MATCH(20,'Watershed plans'!$S$12:$S$15,0)),"")</f>
        <v/>
      </c>
      <c r="D25" s="20">
        <f>IFERROR(INDEX('Watershed plans'!$J$12:$J$15,MATCH(20,'Watershed plans'!$S$12:$S$15,0)),"")</f>
        <v/>
      </c>
      <c r="E25" s="26">
        <f>IFERROR(INDEX('Watershed plans'!$K$12:$K$15,MATCH(20,'Watershed plans'!$S$12:$S$15,0)),"")</f>
        <v/>
      </c>
      <c r="F25" s="25">
        <f>IFERROR(INDEX('Watershed plans'!$I$12:$I$15,MATCH(20,'Watershed plans'!$S$12:$S$15,0)),"")</f>
        <v/>
      </c>
      <c r="G25" s="26">
        <f>IFERROR(INDEX('Watershed plans'!$Y$12:$Y$15,MATCH(20,'Watershed plans'!$S$12:$S$15,0)),"")</f>
        <v/>
      </c>
      <c r="H25" s="26">
        <f>IFERROR(INDEX('Watershed plans'!$X$12:$X$15,MATCH(20,'Watershed plans'!$S$12:$S$15,0)),"")</f>
        <v/>
      </c>
    </row>
    <row r="26">
      <c r="A26" s="4" t="n">
        <v>21</v>
      </c>
      <c r="B26" s="6">
        <f>IFERROR(INDEX('Watershed plans'!$F$12:$F$15,MATCH(21,'Watershed plans'!$S$12:$S$15,0)),"")</f>
        <v/>
      </c>
      <c r="C26" s="10">
        <f>IFERROR(INDEX('Watershed plans'!$B$12:$B$15,MATCH(21,'Watershed plans'!$S$12:$S$15,0)),"")</f>
        <v/>
      </c>
      <c r="D26" s="20">
        <f>IFERROR(INDEX('Watershed plans'!$J$12:$J$15,MATCH(21,'Watershed plans'!$S$12:$S$15,0)),"")</f>
        <v/>
      </c>
      <c r="E26" s="26">
        <f>IFERROR(INDEX('Watershed plans'!$K$12:$K$15,MATCH(21,'Watershed plans'!$S$12:$S$15,0)),"")</f>
        <v/>
      </c>
      <c r="F26" s="25">
        <f>IFERROR(INDEX('Watershed plans'!$I$12:$I$15,MATCH(21,'Watershed plans'!$S$12:$S$15,0)),"")</f>
        <v/>
      </c>
      <c r="G26" s="26">
        <f>IFERROR(INDEX('Watershed plans'!$Y$12:$Y$15,MATCH(21,'Watershed plans'!$S$12:$S$15,0)),"")</f>
        <v/>
      </c>
      <c r="H26" s="26">
        <f>IFERROR(INDEX('Watershed plans'!$X$12:$X$15,MATCH(21,'Watershed plans'!$S$12:$S$15,0)),"")</f>
        <v/>
      </c>
    </row>
    <row r="27">
      <c r="A27" s="4" t="n">
        <v>22</v>
      </c>
      <c r="B27" s="6">
        <f>IFERROR(INDEX('Watershed plans'!$F$12:$F$15,MATCH(22,'Watershed plans'!$S$12:$S$15,0)),"")</f>
        <v/>
      </c>
      <c r="C27" s="10">
        <f>IFERROR(INDEX('Watershed plans'!$B$12:$B$15,MATCH(22,'Watershed plans'!$S$12:$S$15,0)),"")</f>
        <v/>
      </c>
      <c r="D27" s="20">
        <f>IFERROR(INDEX('Watershed plans'!$J$12:$J$15,MATCH(22,'Watershed plans'!$S$12:$S$15,0)),"")</f>
        <v/>
      </c>
      <c r="E27" s="26">
        <f>IFERROR(INDEX('Watershed plans'!$K$12:$K$15,MATCH(22,'Watershed plans'!$S$12:$S$15,0)),"")</f>
        <v/>
      </c>
      <c r="F27" s="25">
        <f>IFERROR(INDEX('Watershed plans'!$I$12:$I$15,MATCH(22,'Watershed plans'!$S$12:$S$15,0)),"")</f>
        <v/>
      </c>
      <c r="G27" s="26">
        <f>IFERROR(INDEX('Watershed plans'!$Y$12:$Y$15,MATCH(22,'Watershed plans'!$S$12:$S$15,0)),"")</f>
        <v/>
      </c>
      <c r="H27" s="26">
        <f>IFERROR(INDEX('Watershed plans'!$X$12:$X$15,MATCH(22,'Watershed plans'!$S$12:$S$15,0)),"")</f>
        <v/>
      </c>
    </row>
    <row r="28">
      <c r="A28" s="4" t="n">
        <v>23</v>
      </c>
      <c r="B28" s="6">
        <f>IFERROR(INDEX('Watershed plans'!$F$12:$F$15,MATCH(23,'Watershed plans'!$S$12:$S$15,0)),"")</f>
        <v/>
      </c>
      <c r="C28" s="10">
        <f>IFERROR(INDEX('Watershed plans'!$B$12:$B$15,MATCH(23,'Watershed plans'!$S$12:$S$15,0)),"")</f>
        <v/>
      </c>
      <c r="D28" s="20">
        <f>IFERROR(INDEX('Watershed plans'!$J$12:$J$15,MATCH(23,'Watershed plans'!$S$12:$S$15,0)),"")</f>
        <v/>
      </c>
      <c r="E28" s="26">
        <f>IFERROR(INDEX('Watershed plans'!$K$12:$K$15,MATCH(23,'Watershed plans'!$S$12:$S$15,0)),"")</f>
        <v/>
      </c>
      <c r="F28" s="25">
        <f>IFERROR(INDEX('Watershed plans'!$I$12:$I$15,MATCH(23,'Watershed plans'!$S$12:$S$15,0)),"")</f>
        <v/>
      </c>
      <c r="G28" s="26">
        <f>IFERROR(INDEX('Watershed plans'!$Y$12:$Y$15,MATCH(23,'Watershed plans'!$S$12:$S$15,0)),"")</f>
        <v/>
      </c>
      <c r="H28" s="26">
        <f>IFERROR(INDEX('Watershed plans'!$X$12:$X$15,MATCH(23,'Watershed plans'!$S$12:$S$15,0)),"")</f>
        <v/>
      </c>
    </row>
    <row r="29">
      <c r="A29" s="4" t="n">
        <v>24</v>
      </c>
      <c r="B29" s="6">
        <f>IFERROR(INDEX('Watershed plans'!$F$12:$F$15,MATCH(24,'Watershed plans'!$S$12:$S$15,0)),"")</f>
        <v/>
      </c>
      <c r="C29" s="10">
        <f>IFERROR(INDEX('Watershed plans'!$B$12:$B$15,MATCH(24,'Watershed plans'!$S$12:$S$15,0)),"")</f>
        <v/>
      </c>
      <c r="D29" s="20">
        <f>IFERROR(INDEX('Watershed plans'!$J$12:$J$15,MATCH(24,'Watershed plans'!$S$12:$S$15,0)),"")</f>
        <v/>
      </c>
      <c r="E29" s="26">
        <f>IFERROR(INDEX('Watershed plans'!$K$12:$K$15,MATCH(24,'Watershed plans'!$S$12:$S$15,0)),"")</f>
        <v/>
      </c>
      <c r="F29" s="25">
        <f>IFERROR(INDEX('Watershed plans'!$I$12:$I$15,MATCH(24,'Watershed plans'!$S$12:$S$15,0)),"")</f>
        <v/>
      </c>
      <c r="G29" s="26">
        <f>IFERROR(INDEX('Watershed plans'!$Y$12:$Y$15,MATCH(24,'Watershed plans'!$S$12:$S$15,0)),"")</f>
        <v/>
      </c>
      <c r="H29" s="26">
        <f>IFERROR(INDEX('Watershed plans'!$X$12:$X$15,MATCH(24,'Watershed plans'!$S$12:$S$15,0)),"")</f>
        <v/>
      </c>
    </row>
    <row r="30">
      <c r="A30" s="4" t="n">
        <v>25</v>
      </c>
      <c r="B30" s="6">
        <f>IFERROR(INDEX('Watershed plans'!$F$12:$F$15,MATCH(25,'Watershed plans'!$S$12:$S$15,0)),"")</f>
        <v/>
      </c>
      <c r="C30" s="10">
        <f>IFERROR(INDEX('Watershed plans'!$B$12:$B$15,MATCH(25,'Watershed plans'!$S$12:$S$15,0)),"")</f>
        <v/>
      </c>
      <c r="D30" s="20">
        <f>IFERROR(INDEX('Watershed plans'!$J$12:$J$15,MATCH(25,'Watershed plans'!$S$12:$S$15,0)),"")</f>
        <v/>
      </c>
      <c r="E30" s="26">
        <f>IFERROR(INDEX('Watershed plans'!$K$12:$K$15,MATCH(25,'Watershed plans'!$S$12:$S$15,0)),"")</f>
        <v/>
      </c>
      <c r="F30" s="25">
        <f>IFERROR(INDEX('Watershed plans'!$I$12:$I$15,MATCH(25,'Watershed plans'!$S$12:$S$15,0)),"")</f>
        <v/>
      </c>
      <c r="G30" s="26">
        <f>IFERROR(INDEX('Watershed plans'!$Y$12:$Y$15,MATCH(25,'Watershed plans'!$S$12:$S$15,0)),"")</f>
        <v/>
      </c>
      <c r="H30" s="26">
        <f>IFERROR(INDEX('Watershed plans'!$X$12:$X$15,MATCH(25,'Watershed plans'!$S$12:$S$15,0)),"")</f>
        <v/>
      </c>
    </row>
    <row r="31">
      <c r="A31" s="4" t="n">
        <v>26</v>
      </c>
      <c r="B31" s="6">
        <f>IFERROR(INDEX('Watershed plans'!$F$12:$F$15,MATCH(26,'Watershed plans'!$S$12:$S$15,0)),"")</f>
        <v/>
      </c>
      <c r="C31" s="10">
        <f>IFERROR(INDEX('Watershed plans'!$B$12:$B$15,MATCH(26,'Watershed plans'!$S$12:$S$15,0)),"")</f>
        <v/>
      </c>
      <c r="D31" s="20">
        <f>IFERROR(INDEX('Watershed plans'!$J$12:$J$15,MATCH(26,'Watershed plans'!$S$12:$S$15,0)),"")</f>
        <v/>
      </c>
      <c r="E31" s="26">
        <f>IFERROR(INDEX('Watershed plans'!$K$12:$K$15,MATCH(26,'Watershed plans'!$S$12:$S$15,0)),"")</f>
        <v/>
      </c>
      <c r="F31" s="25">
        <f>IFERROR(INDEX('Watershed plans'!$I$12:$I$15,MATCH(26,'Watershed plans'!$S$12:$S$15,0)),"")</f>
        <v/>
      </c>
      <c r="G31" s="26">
        <f>IFERROR(INDEX('Watershed plans'!$Y$12:$Y$15,MATCH(26,'Watershed plans'!$S$12:$S$15,0)),"")</f>
        <v/>
      </c>
      <c r="H31" s="26">
        <f>IFERROR(INDEX('Watershed plans'!$X$12:$X$15,MATCH(26,'Watershed plans'!$S$12:$S$15,0)),"")</f>
        <v/>
      </c>
    </row>
    <row r="32">
      <c r="A32" s="4" t="n">
        <v>27</v>
      </c>
      <c r="B32" s="6">
        <f>IFERROR(INDEX('Watershed plans'!$F$12:$F$15,MATCH(27,'Watershed plans'!$S$12:$S$15,0)),"")</f>
        <v/>
      </c>
      <c r="C32" s="10">
        <f>IFERROR(INDEX('Watershed plans'!$B$12:$B$15,MATCH(27,'Watershed plans'!$S$12:$S$15,0)),"")</f>
        <v/>
      </c>
      <c r="D32" s="20">
        <f>IFERROR(INDEX('Watershed plans'!$J$12:$J$15,MATCH(27,'Watershed plans'!$S$12:$S$15,0)),"")</f>
        <v/>
      </c>
      <c r="E32" s="26">
        <f>IFERROR(INDEX('Watershed plans'!$K$12:$K$15,MATCH(27,'Watershed plans'!$S$12:$S$15,0)),"")</f>
        <v/>
      </c>
      <c r="F32" s="25">
        <f>IFERROR(INDEX('Watershed plans'!$I$12:$I$15,MATCH(27,'Watershed plans'!$S$12:$S$15,0)),"")</f>
        <v/>
      </c>
      <c r="G32" s="26">
        <f>IFERROR(INDEX('Watershed plans'!$Y$12:$Y$15,MATCH(27,'Watershed plans'!$S$12:$S$15,0)),"")</f>
        <v/>
      </c>
      <c r="H32" s="26">
        <f>IFERROR(INDEX('Watershed plans'!$X$12:$X$15,MATCH(27,'Watershed plans'!$S$12:$S$15,0)),"")</f>
        <v/>
      </c>
    </row>
    <row r="33">
      <c r="A33" s="4" t="n">
        <v>28</v>
      </c>
      <c r="B33" s="6">
        <f>IFERROR(INDEX('Watershed plans'!$F$12:$F$15,MATCH(28,'Watershed plans'!$S$12:$S$15,0)),"")</f>
        <v/>
      </c>
      <c r="C33" s="10">
        <f>IFERROR(INDEX('Watershed plans'!$B$12:$B$15,MATCH(28,'Watershed plans'!$S$12:$S$15,0)),"")</f>
        <v/>
      </c>
      <c r="D33" s="20">
        <f>IFERROR(INDEX('Watershed plans'!$J$12:$J$15,MATCH(28,'Watershed plans'!$S$12:$S$15,0)),"")</f>
        <v/>
      </c>
      <c r="E33" s="26">
        <f>IFERROR(INDEX('Watershed plans'!$K$12:$K$15,MATCH(28,'Watershed plans'!$S$12:$S$15,0)),"")</f>
        <v/>
      </c>
      <c r="F33" s="25">
        <f>IFERROR(INDEX('Watershed plans'!$I$12:$I$15,MATCH(28,'Watershed plans'!$S$12:$S$15,0)),"")</f>
        <v/>
      </c>
      <c r="G33" s="26">
        <f>IFERROR(INDEX('Watershed plans'!$Y$12:$Y$15,MATCH(28,'Watershed plans'!$S$12:$S$15,0)),"")</f>
        <v/>
      </c>
      <c r="H33" s="26">
        <f>IFERROR(INDEX('Watershed plans'!$X$12:$X$15,MATCH(28,'Watershed plans'!$S$12:$S$15,0)),"")</f>
        <v/>
      </c>
    </row>
    <row r="34">
      <c r="A34" s="4" t="n">
        <v>29</v>
      </c>
      <c r="B34" s="6">
        <f>IFERROR(INDEX('Watershed plans'!$F$12:$F$15,MATCH(29,'Watershed plans'!$S$12:$S$15,0)),"")</f>
        <v/>
      </c>
      <c r="C34" s="10">
        <f>IFERROR(INDEX('Watershed plans'!$B$12:$B$15,MATCH(29,'Watershed plans'!$S$12:$S$15,0)),"")</f>
        <v/>
      </c>
      <c r="D34" s="20">
        <f>IFERROR(INDEX('Watershed plans'!$J$12:$J$15,MATCH(29,'Watershed plans'!$S$12:$S$15,0)),"")</f>
        <v/>
      </c>
      <c r="E34" s="26">
        <f>IFERROR(INDEX('Watershed plans'!$K$12:$K$15,MATCH(29,'Watershed plans'!$S$12:$S$15,0)),"")</f>
        <v/>
      </c>
      <c r="F34" s="25">
        <f>IFERROR(INDEX('Watershed plans'!$I$12:$I$15,MATCH(29,'Watershed plans'!$S$12:$S$15,0)),"")</f>
        <v/>
      </c>
      <c r="G34" s="26">
        <f>IFERROR(INDEX('Watershed plans'!$Y$12:$Y$15,MATCH(29,'Watershed plans'!$S$12:$S$15,0)),"")</f>
        <v/>
      </c>
      <c r="H34" s="26">
        <f>IFERROR(INDEX('Watershed plans'!$X$12:$X$15,MATCH(29,'Watershed plans'!$S$12:$S$15,0)),"")</f>
        <v/>
      </c>
    </row>
    <row r="35">
      <c r="A35" s="4" t="n">
        <v>30</v>
      </c>
      <c r="B35" s="6">
        <f>IFERROR(INDEX('Watershed plans'!$F$12:$F$15,MATCH(30,'Watershed plans'!$S$12:$S$15,0)),"")</f>
        <v/>
      </c>
      <c r="C35" s="10">
        <f>IFERROR(INDEX('Watershed plans'!$B$12:$B$15,MATCH(30,'Watershed plans'!$S$12:$S$15,0)),"")</f>
        <v/>
      </c>
      <c r="D35" s="20">
        <f>IFERROR(INDEX('Watershed plans'!$J$12:$J$15,MATCH(30,'Watershed plans'!$S$12:$S$15,0)),"")</f>
        <v/>
      </c>
      <c r="E35" s="26">
        <f>IFERROR(INDEX('Watershed plans'!$K$12:$K$15,MATCH(30,'Watershed plans'!$S$12:$S$15,0)),"")</f>
        <v/>
      </c>
      <c r="F35" s="25">
        <f>IFERROR(INDEX('Watershed plans'!$I$12:$I$15,MATCH(30,'Watershed plans'!$S$12:$S$15,0)),"")</f>
        <v/>
      </c>
      <c r="G35" s="26">
        <f>IFERROR(INDEX('Watershed plans'!$Y$12:$Y$15,MATCH(30,'Watershed plans'!$S$12:$S$15,0)),"")</f>
        <v/>
      </c>
      <c r="H35" s="26">
        <f>IFERROR(INDEX('Watershed plans'!$X$12:$X$15,MATCH(30,'Watershed plans'!$S$12:$S$15,0)),"")</f>
        <v/>
      </c>
    </row>
    <row r="36">
      <c r="A36" s="4" t="n">
        <v>31</v>
      </c>
      <c r="B36" s="6">
        <f>IFERROR(INDEX('Watershed plans'!$F$12:$F$15,MATCH(31,'Watershed plans'!$S$12:$S$15,0)),"")</f>
        <v/>
      </c>
      <c r="C36" s="10">
        <f>IFERROR(INDEX('Watershed plans'!$B$12:$B$15,MATCH(31,'Watershed plans'!$S$12:$S$15,0)),"")</f>
        <v/>
      </c>
      <c r="D36" s="20">
        <f>IFERROR(INDEX('Watershed plans'!$J$12:$J$15,MATCH(31,'Watershed plans'!$S$12:$S$15,0)),"")</f>
        <v/>
      </c>
      <c r="E36" s="26">
        <f>IFERROR(INDEX('Watershed plans'!$K$12:$K$15,MATCH(31,'Watershed plans'!$S$12:$S$15,0)),"")</f>
        <v/>
      </c>
      <c r="F36" s="25">
        <f>IFERROR(INDEX('Watershed plans'!$I$12:$I$15,MATCH(31,'Watershed plans'!$S$12:$S$15,0)),"")</f>
        <v/>
      </c>
      <c r="G36" s="26">
        <f>IFERROR(INDEX('Watershed plans'!$Y$12:$Y$15,MATCH(31,'Watershed plans'!$S$12:$S$15,0)),"")</f>
        <v/>
      </c>
      <c r="H36" s="26">
        <f>IFERROR(INDEX('Watershed plans'!$X$12:$X$15,MATCH(31,'Watershed plans'!$S$12:$S$15,0)),"")</f>
        <v/>
      </c>
    </row>
    <row r="37">
      <c r="A37" s="4" t="n">
        <v>32</v>
      </c>
      <c r="B37" s="6">
        <f>IFERROR(INDEX('Watershed plans'!$F$12:$F$15,MATCH(32,'Watershed plans'!$S$12:$S$15,0)),"")</f>
        <v/>
      </c>
      <c r="C37" s="10">
        <f>IFERROR(INDEX('Watershed plans'!$B$12:$B$15,MATCH(32,'Watershed plans'!$S$12:$S$15,0)),"")</f>
        <v/>
      </c>
      <c r="D37" s="20">
        <f>IFERROR(INDEX('Watershed plans'!$J$12:$J$15,MATCH(32,'Watershed plans'!$S$12:$S$15,0)),"")</f>
        <v/>
      </c>
      <c r="E37" s="26">
        <f>IFERROR(INDEX('Watershed plans'!$K$12:$K$15,MATCH(32,'Watershed plans'!$S$12:$S$15,0)),"")</f>
        <v/>
      </c>
      <c r="F37" s="25">
        <f>IFERROR(INDEX('Watershed plans'!$I$12:$I$15,MATCH(32,'Watershed plans'!$S$12:$S$15,0)),"")</f>
        <v/>
      </c>
      <c r="G37" s="26">
        <f>IFERROR(INDEX('Watershed plans'!$Y$12:$Y$15,MATCH(32,'Watershed plans'!$S$12:$S$15,0)),"")</f>
        <v/>
      </c>
      <c r="H37" s="26">
        <f>IFERROR(INDEX('Watershed plans'!$X$12:$X$15,MATCH(32,'Watershed plans'!$S$12:$S$15,0)),"")</f>
        <v/>
      </c>
    </row>
    <row r="38">
      <c r="A38" s="4" t="n">
        <v>33</v>
      </c>
      <c r="B38" s="6">
        <f>IFERROR(INDEX('Watershed plans'!$F$12:$F$15,MATCH(33,'Watershed plans'!$S$12:$S$15,0)),"")</f>
        <v/>
      </c>
      <c r="C38" s="10">
        <f>IFERROR(INDEX('Watershed plans'!$B$12:$B$15,MATCH(33,'Watershed plans'!$S$12:$S$15,0)),"")</f>
        <v/>
      </c>
      <c r="D38" s="20">
        <f>IFERROR(INDEX('Watershed plans'!$J$12:$J$15,MATCH(33,'Watershed plans'!$S$12:$S$15,0)),"")</f>
        <v/>
      </c>
      <c r="E38" s="26">
        <f>IFERROR(INDEX('Watershed plans'!$K$12:$K$15,MATCH(33,'Watershed plans'!$S$12:$S$15,0)),"")</f>
        <v/>
      </c>
      <c r="F38" s="25">
        <f>IFERROR(INDEX('Watershed plans'!$I$12:$I$15,MATCH(33,'Watershed plans'!$S$12:$S$15,0)),"")</f>
        <v/>
      </c>
      <c r="G38" s="26">
        <f>IFERROR(INDEX('Watershed plans'!$Y$12:$Y$15,MATCH(33,'Watershed plans'!$S$12:$S$15,0)),"")</f>
        <v/>
      </c>
      <c r="H38" s="26">
        <f>IFERROR(INDEX('Watershed plans'!$X$12:$X$15,MATCH(33,'Watershed plans'!$S$12:$S$15,0)),"")</f>
        <v/>
      </c>
    </row>
    <row r="39">
      <c r="A39" s="4" t="n">
        <v>34</v>
      </c>
      <c r="B39" s="6">
        <f>IFERROR(INDEX('Watershed plans'!$F$12:$F$15,MATCH(34,'Watershed plans'!$S$12:$S$15,0)),"")</f>
        <v/>
      </c>
      <c r="C39" s="10">
        <f>IFERROR(INDEX('Watershed plans'!$B$12:$B$15,MATCH(34,'Watershed plans'!$S$12:$S$15,0)),"")</f>
        <v/>
      </c>
      <c r="D39" s="20">
        <f>IFERROR(INDEX('Watershed plans'!$J$12:$J$15,MATCH(34,'Watershed plans'!$S$12:$S$15,0)),"")</f>
        <v/>
      </c>
      <c r="E39" s="26">
        <f>IFERROR(INDEX('Watershed plans'!$K$12:$K$15,MATCH(34,'Watershed plans'!$S$12:$S$15,0)),"")</f>
        <v/>
      </c>
      <c r="F39" s="25">
        <f>IFERROR(INDEX('Watershed plans'!$I$12:$I$15,MATCH(34,'Watershed plans'!$S$12:$S$15,0)),"")</f>
        <v/>
      </c>
      <c r="G39" s="26">
        <f>IFERROR(INDEX('Watershed plans'!$Y$12:$Y$15,MATCH(34,'Watershed plans'!$S$12:$S$15,0)),"")</f>
        <v/>
      </c>
      <c r="H39" s="26">
        <f>IFERROR(INDEX('Watershed plans'!$X$12:$X$15,MATCH(34,'Watershed plans'!$S$12:$S$15,0)),"")</f>
        <v/>
      </c>
    </row>
    <row r="40">
      <c r="A40" s="4" t="n">
        <v>35</v>
      </c>
      <c r="B40" s="6">
        <f>IFERROR(INDEX('Watershed plans'!$F$12:$F$15,MATCH(35,'Watershed plans'!$S$12:$S$15,0)),"")</f>
        <v/>
      </c>
      <c r="C40" s="10">
        <f>IFERROR(INDEX('Watershed plans'!$B$12:$B$15,MATCH(35,'Watershed plans'!$S$12:$S$15,0)),"")</f>
        <v/>
      </c>
      <c r="D40" s="20">
        <f>IFERROR(INDEX('Watershed plans'!$J$12:$J$15,MATCH(35,'Watershed plans'!$S$12:$S$15,0)),"")</f>
        <v/>
      </c>
      <c r="E40" s="26">
        <f>IFERROR(INDEX('Watershed plans'!$K$12:$K$15,MATCH(35,'Watershed plans'!$S$12:$S$15,0)),"")</f>
        <v/>
      </c>
      <c r="F40" s="25">
        <f>IFERROR(INDEX('Watershed plans'!$I$12:$I$15,MATCH(35,'Watershed plans'!$S$12:$S$15,0)),"")</f>
        <v/>
      </c>
      <c r="G40" s="26">
        <f>IFERROR(INDEX('Watershed plans'!$Y$12:$Y$15,MATCH(35,'Watershed plans'!$S$12:$S$15,0)),"")</f>
        <v/>
      </c>
      <c r="H40" s="26">
        <f>IFERROR(INDEX('Watershed plans'!$X$12:$X$15,MATCH(35,'Watershed plans'!$S$12:$S$15,0)),"")</f>
        <v/>
      </c>
    </row>
    <row r="41">
      <c r="A41" s="4" t="n">
        <v>36</v>
      </c>
      <c r="B41" s="6">
        <f>IFERROR(INDEX('Watershed plans'!$F$12:$F$15,MATCH(36,'Watershed plans'!$S$12:$S$15,0)),"")</f>
        <v/>
      </c>
      <c r="C41" s="10">
        <f>IFERROR(INDEX('Watershed plans'!$B$12:$B$15,MATCH(36,'Watershed plans'!$S$12:$S$15,0)),"")</f>
        <v/>
      </c>
      <c r="D41" s="20">
        <f>IFERROR(INDEX('Watershed plans'!$J$12:$J$15,MATCH(36,'Watershed plans'!$S$12:$S$15,0)),"")</f>
        <v/>
      </c>
      <c r="E41" s="26">
        <f>IFERROR(INDEX('Watershed plans'!$K$12:$K$15,MATCH(36,'Watershed plans'!$S$12:$S$15,0)),"")</f>
        <v/>
      </c>
      <c r="F41" s="25">
        <f>IFERROR(INDEX('Watershed plans'!$I$12:$I$15,MATCH(36,'Watershed plans'!$S$12:$S$15,0)),"")</f>
        <v/>
      </c>
      <c r="G41" s="26">
        <f>IFERROR(INDEX('Watershed plans'!$Y$12:$Y$15,MATCH(36,'Watershed plans'!$S$12:$S$15,0)),"")</f>
        <v/>
      </c>
      <c r="H41" s="26">
        <f>IFERROR(INDEX('Watershed plans'!$X$12:$X$15,MATCH(36,'Watershed plans'!$S$12:$S$15,0)),"")</f>
        <v/>
      </c>
    </row>
    <row r="42">
      <c r="A42" s="4" t="n">
        <v>37</v>
      </c>
      <c r="B42" s="6">
        <f>IFERROR(INDEX('Watershed plans'!$F$12:$F$15,MATCH(37,'Watershed plans'!$S$12:$S$15,0)),"")</f>
        <v/>
      </c>
      <c r="C42" s="10">
        <f>IFERROR(INDEX('Watershed plans'!$B$12:$B$15,MATCH(37,'Watershed plans'!$S$12:$S$15,0)),"")</f>
        <v/>
      </c>
      <c r="D42" s="20">
        <f>IFERROR(INDEX('Watershed plans'!$J$12:$J$15,MATCH(37,'Watershed plans'!$S$12:$S$15,0)),"")</f>
        <v/>
      </c>
      <c r="E42" s="26">
        <f>IFERROR(INDEX('Watershed plans'!$K$12:$K$15,MATCH(37,'Watershed plans'!$S$12:$S$15,0)),"")</f>
        <v/>
      </c>
      <c r="F42" s="25">
        <f>IFERROR(INDEX('Watershed plans'!$I$12:$I$15,MATCH(37,'Watershed plans'!$S$12:$S$15,0)),"")</f>
        <v/>
      </c>
      <c r="G42" s="26">
        <f>IFERROR(INDEX('Watershed plans'!$Y$12:$Y$15,MATCH(37,'Watershed plans'!$S$12:$S$15,0)),"")</f>
        <v/>
      </c>
      <c r="H42" s="26">
        <f>IFERROR(INDEX('Watershed plans'!$X$12:$X$15,MATCH(37,'Watershed plans'!$S$12:$S$15,0)),"")</f>
        <v/>
      </c>
    </row>
    <row r="43">
      <c r="A43" s="4" t="n">
        <v>38</v>
      </c>
      <c r="B43" s="6">
        <f>IFERROR(INDEX('Watershed plans'!$F$12:$F$15,MATCH(38,'Watershed plans'!$S$12:$S$15,0)),"")</f>
        <v/>
      </c>
      <c r="C43" s="10">
        <f>IFERROR(INDEX('Watershed plans'!$B$12:$B$15,MATCH(38,'Watershed plans'!$S$12:$S$15,0)),"")</f>
        <v/>
      </c>
      <c r="D43" s="20">
        <f>IFERROR(INDEX('Watershed plans'!$J$12:$J$15,MATCH(38,'Watershed plans'!$S$12:$S$15,0)),"")</f>
        <v/>
      </c>
      <c r="E43" s="26">
        <f>IFERROR(INDEX('Watershed plans'!$K$12:$K$15,MATCH(38,'Watershed plans'!$S$12:$S$15,0)),"")</f>
        <v/>
      </c>
      <c r="F43" s="25">
        <f>IFERROR(INDEX('Watershed plans'!$I$12:$I$15,MATCH(38,'Watershed plans'!$S$12:$S$15,0)),"")</f>
        <v/>
      </c>
      <c r="G43" s="26">
        <f>IFERROR(INDEX('Watershed plans'!$Y$12:$Y$15,MATCH(38,'Watershed plans'!$S$12:$S$15,0)),"")</f>
        <v/>
      </c>
      <c r="H43" s="26">
        <f>IFERROR(INDEX('Watershed plans'!$X$12:$X$15,MATCH(38,'Watershed plans'!$S$12:$S$15,0)),"")</f>
        <v/>
      </c>
    </row>
    <row r="44">
      <c r="A44" s="4" t="n">
        <v>39</v>
      </c>
      <c r="B44" s="6">
        <f>IFERROR(INDEX('Watershed plans'!$F$12:$F$15,MATCH(39,'Watershed plans'!$S$12:$S$15,0)),"")</f>
        <v/>
      </c>
      <c r="C44" s="10">
        <f>IFERROR(INDEX('Watershed plans'!$B$12:$B$15,MATCH(39,'Watershed plans'!$S$12:$S$15,0)),"")</f>
        <v/>
      </c>
      <c r="D44" s="20">
        <f>IFERROR(INDEX('Watershed plans'!$J$12:$J$15,MATCH(39,'Watershed plans'!$S$12:$S$15,0)),"")</f>
        <v/>
      </c>
      <c r="E44" s="26">
        <f>IFERROR(INDEX('Watershed plans'!$K$12:$K$15,MATCH(39,'Watershed plans'!$S$12:$S$15,0)),"")</f>
        <v/>
      </c>
      <c r="F44" s="25">
        <f>IFERROR(INDEX('Watershed plans'!$I$12:$I$15,MATCH(39,'Watershed plans'!$S$12:$S$15,0)),"")</f>
        <v/>
      </c>
      <c r="G44" s="26">
        <f>IFERROR(INDEX('Watershed plans'!$Y$12:$Y$15,MATCH(39,'Watershed plans'!$S$12:$S$15,0)),"")</f>
        <v/>
      </c>
      <c r="H44" s="26">
        <f>IFERROR(INDEX('Watershed plans'!$X$12:$X$15,MATCH(39,'Watershed plans'!$S$12:$S$15,0)),"")</f>
        <v/>
      </c>
    </row>
    <row r="45">
      <c r="A45" s="4" t="n">
        <v>40</v>
      </c>
      <c r="B45" s="6">
        <f>IFERROR(INDEX('Watershed plans'!$F$12:$F$15,MATCH(40,'Watershed plans'!$S$12:$S$15,0)),"")</f>
        <v/>
      </c>
      <c r="C45" s="10">
        <f>IFERROR(INDEX('Watershed plans'!$B$12:$B$15,MATCH(40,'Watershed plans'!$S$12:$S$15,0)),"")</f>
        <v/>
      </c>
      <c r="D45" s="20">
        <f>IFERROR(INDEX('Watershed plans'!$J$12:$J$15,MATCH(40,'Watershed plans'!$S$12:$S$15,0)),"")</f>
        <v/>
      </c>
      <c r="E45" s="26">
        <f>IFERROR(INDEX('Watershed plans'!$K$12:$K$15,MATCH(40,'Watershed plans'!$S$12:$S$15,0)),"")</f>
        <v/>
      </c>
      <c r="F45" s="25">
        <f>IFERROR(INDEX('Watershed plans'!$I$12:$I$15,MATCH(40,'Watershed plans'!$S$12:$S$15,0)),"")</f>
        <v/>
      </c>
      <c r="G45" s="26">
        <f>IFERROR(INDEX('Watershed plans'!$Y$12:$Y$15,MATCH(40,'Watershed plans'!$S$12:$S$15,0)),"")</f>
        <v/>
      </c>
      <c r="H45" s="26">
        <f>IFERROR(INDEX('Watershed plans'!$X$12:$X$15,MATCH(40,'Watershed plans'!$S$12:$S$15,0)),"")</f>
        <v/>
      </c>
    </row>
    <row r="48">
      <c r="A48" s="7" t="inlineStr">
        <is>
          <t>Final array (in order of output) and 'Is it worth it?'</t>
        </is>
      </c>
    </row>
    <row r="49">
      <c r="A49" s="12" t="inlineStr">
        <is>
          <t>Order</t>
        </is>
      </c>
      <c r="B49" s="12" t="inlineStr">
        <is>
          <t>Plan number</t>
        </is>
      </c>
      <c r="C49" s="12" t="inlineStr">
        <is>
          <t>Plan</t>
        </is>
      </c>
      <c r="D49" s="12" t="inlineStr">
        <is>
          <t>Lift (AAHU)</t>
        </is>
      </c>
      <c r="E49" s="12" t="inlineStr">
        <is>
          <t>Average annual cost</t>
        </is>
      </c>
      <c r="F49" s="12" t="inlineStr">
        <is>
          <t>Construction cost</t>
        </is>
      </c>
      <c r="G49" s="12" t="inlineStr">
        <is>
          <t>Unit cost</t>
        </is>
      </c>
      <c r="H49" s="12" t="inlineStr">
        <is>
          <t>Added output</t>
        </is>
      </c>
      <c r="I49" s="12" t="inlineStr">
        <is>
          <t>Added cost</t>
        </is>
      </c>
      <c r="J49" s="12" t="inlineStr">
        <is>
          <t>Added cost per unit</t>
        </is>
      </c>
      <c r="K49" s="12" t="inlineStr">
        <is>
          <t>Worth it?</t>
        </is>
      </c>
      <c r="L49" s="12" t="inlineStr">
        <is>
          <t>Why</t>
        </is>
      </c>
    </row>
    <row r="50">
      <c r="A50" s="4" t="n">
        <v>1</v>
      </c>
      <c r="B50" s="6">
        <f>IFERROR(INDEX('Watershed plans'!$F$12:$F$15,MATCH(1,'Watershed plans'!$AA$12:$AA$15,0)),"")</f>
        <v/>
      </c>
      <c r="C50" s="10">
        <f>IFERROR(INDEX('Watershed plans'!$B$12:$B$15,MATCH(1,'Watershed plans'!$AA$12:$AA$15,0)),"")</f>
        <v/>
      </c>
      <c r="D50" s="20">
        <f>IFERROR(INDEX('Watershed plans'!$J$12:$J$15,MATCH(1,'Watershed plans'!$AA$12:$AA$15,0)),"")</f>
        <v/>
      </c>
      <c r="E50" s="26">
        <f>IFERROR(INDEX('Watershed plans'!$K$12:$K$15,MATCH(1,'Watershed plans'!$AA$12:$AA$15,0)),"")</f>
        <v/>
      </c>
      <c r="F50" s="25">
        <f>IFERROR(INDEX('Watershed plans'!$I$12:$I$15,MATCH(1,'Watershed plans'!$AA$12:$AA$15,0)),"")</f>
        <v/>
      </c>
      <c r="G50" s="26">
        <f>IFERROR(INDEX('Watershed plans'!$Y$12:$Y$15,MATCH(1,'Watershed plans'!$AA$12:$AA$15,0)),"")</f>
        <v/>
      </c>
      <c r="H50" s="10" t="inlineStr"/>
      <c r="I50" s="10" t="inlineStr"/>
      <c r="J50" s="10" t="inlineStr"/>
      <c r="K50" s="15" t="inlineStr"/>
      <c r="L50" s="29" t="inlineStr"/>
    </row>
    <row r="51">
      <c r="A51" s="4" t="n">
        <v>2</v>
      </c>
      <c r="B51" s="6">
        <f>IFERROR(INDEX('Watershed plans'!$F$12:$F$15,MATCH(2,'Watershed plans'!$AA$12:$AA$15,0)),"")</f>
        <v/>
      </c>
      <c r="C51" s="10">
        <f>IFERROR(INDEX('Watershed plans'!$B$12:$B$15,MATCH(2,'Watershed plans'!$AA$12:$AA$15,0)),"")</f>
        <v/>
      </c>
      <c r="D51" s="20">
        <f>IFERROR(INDEX('Watershed plans'!$J$12:$J$15,MATCH(2,'Watershed plans'!$AA$12:$AA$15,0)),"")</f>
        <v/>
      </c>
      <c r="E51" s="26">
        <f>IFERROR(INDEX('Watershed plans'!$K$12:$K$15,MATCH(2,'Watershed plans'!$AA$12:$AA$15,0)),"")</f>
        <v/>
      </c>
      <c r="F51" s="25">
        <f>IFERROR(INDEX('Watershed plans'!$I$12:$I$15,MATCH(2,'Watershed plans'!$AA$12:$AA$15,0)),"")</f>
        <v/>
      </c>
      <c r="G51" s="26">
        <f>IFERROR(INDEX('Watershed plans'!$Y$12:$Y$15,MATCH(2,'Watershed plans'!$AA$12:$AA$15,0)),"")</f>
        <v/>
      </c>
      <c r="H51" s="20">
        <f>IF(ISNUMBER(D51),D51-D50,"")</f>
        <v/>
      </c>
      <c r="I51" s="26">
        <f>IF(ISNUMBER(E51),E51-E50,"")</f>
        <v/>
      </c>
      <c r="J51" s="26">
        <f>IF(AND(ISNUMBER(H51),H51&lt;&gt;0),I51/H51,"")</f>
        <v/>
      </c>
      <c r="K51" s="15" t="inlineStr"/>
      <c r="L51" s="29" t="inlineStr"/>
    </row>
    <row r="52">
      <c r="A52" s="4" t="n">
        <v>3</v>
      </c>
      <c r="B52" s="6">
        <f>IFERROR(INDEX('Watershed plans'!$F$12:$F$15,MATCH(3,'Watershed plans'!$AA$12:$AA$15,0)),"")</f>
        <v/>
      </c>
      <c r="C52" s="10">
        <f>IFERROR(INDEX('Watershed plans'!$B$12:$B$15,MATCH(3,'Watershed plans'!$AA$12:$AA$15,0)),"")</f>
        <v/>
      </c>
      <c r="D52" s="20">
        <f>IFERROR(INDEX('Watershed plans'!$J$12:$J$15,MATCH(3,'Watershed plans'!$AA$12:$AA$15,0)),"")</f>
        <v/>
      </c>
      <c r="E52" s="26">
        <f>IFERROR(INDEX('Watershed plans'!$K$12:$K$15,MATCH(3,'Watershed plans'!$AA$12:$AA$15,0)),"")</f>
        <v/>
      </c>
      <c r="F52" s="25">
        <f>IFERROR(INDEX('Watershed plans'!$I$12:$I$15,MATCH(3,'Watershed plans'!$AA$12:$AA$15,0)),"")</f>
        <v/>
      </c>
      <c r="G52" s="26">
        <f>IFERROR(INDEX('Watershed plans'!$Y$12:$Y$15,MATCH(3,'Watershed plans'!$AA$12:$AA$15,0)),"")</f>
        <v/>
      </c>
      <c r="H52" s="20">
        <f>IF(ISNUMBER(D52),D52-D51,"")</f>
        <v/>
      </c>
      <c r="I52" s="26">
        <f>IF(ISNUMBER(E52),E52-E51,"")</f>
        <v/>
      </c>
      <c r="J52" s="26">
        <f>IF(AND(ISNUMBER(H52),H52&lt;&gt;0),I52/H52,"")</f>
        <v/>
      </c>
      <c r="K52" s="15" t="inlineStr"/>
      <c r="L52" s="29" t="inlineStr"/>
    </row>
    <row r="53">
      <c r="A53" s="4" t="n">
        <v>4</v>
      </c>
      <c r="B53" s="6">
        <f>IFERROR(INDEX('Watershed plans'!$F$12:$F$15,MATCH(4,'Watershed plans'!$AA$12:$AA$15,0)),"")</f>
        <v/>
      </c>
      <c r="C53" s="10">
        <f>IFERROR(INDEX('Watershed plans'!$B$12:$B$15,MATCH(4,'Watershed plans'!$AA$12:$AA$15,0)),"")</f>
        <v/>
      </c>
      <c r="D53" s="20">
        <f>IFERROR(INDEX('Watershed plans'!$J$12:$J$15,MATCH(4,'Watershed plans'!$AA$12:$AA$15,0)),"")</f>
        <v/>
      </c>
      <c r="E53" s="26">
        <f>IFERROR(INDEX('Watershed plans'!$K$12:$K$15,MATCH(4,'Watershed plans'!$AA$12:$AA$15,0)),"")</f>
        <v/>
      </c>
      <c r="F53" s="25">
        <f>IFERROR(INDEX('Watershed plans'!$I$12:$I$15,MATCH(4,'Watershed plans'!$AA$12:$AA$15,0)),"")</f>
        <v/>
      </c>
      <c r="G53" s="26">
        <f>IFERROR(INDEX('Watershed plans'!$Y$12:$Y$15,MATCH(4,'Watershed plans'!$AA$12:$AA$15,0)),"")</f>
        <v/>
      </c>
      <c r="H53" s="20">
        <f>IF(ISNUMBER(D53),D53-D52,"")</f>
        <v/>
      </c>
      <c r="I53" s="26">
        <f>IF(ISNUMBER(E53),E53-E52,"")</f>
        <v/>
      </c>
      <c r="J53" s="26">
        <f>IF(AND(ISNUMBER(H53),H53&lt;&gt;0),I53/H53,"")</f>
        <v/>
      </c>
      <c r="K53" s="15" t="inlineStr"/>
      <c r="L53" s="29" t="inlineStr"/>
    </row>
    <row r="54">
      <c r="A54" s="4" t="n">
        <v>5</v>
      </c>
      <c r="B54" s="6">
        <f>IFERROR(INDEX('Watershed plans'!$F$12:$F$15,MATCH(5,'Watershed plans'!$AA$12:$AA$15,0)),"")</f>
        <v/>
      </c>
      <c r="C54" s="10">
        <f>IFERROR(INDEX('Watershed plans'!$B$12:$B$15,MATCH(5,'Watershed plans'!$AA$12:$AA$15,0)),"")</f>
        <v/>
      </c>
      <c r="D54" s="20">
        <f>IFERROR(INDEX('Watershed plans'!$J$12:$J$15,MATCH(5,'Watershed plans'!$AA$12:$AA$15,0)),"")</f>
        <v/>
      </c>
      <c r="E54" s="26">
        <f>IFERROR(INDEX('Watershed plans'!$K$12:$K$15,MATCH(5,'Watershed plans'!$AA$12:$AA$15,0)),"")</f>
        <v/>
      </c>
      <c r="F54" s="25">
        <f>IFERROR(INDEX('Watershed plans'!$I$12:$I$15,MATCH(5,'Watershed plans'!$AA$12:$AA$15,0)),"")</f>
        <v/>
      </c>
      <c r="G54" s="26">
        <f>IFERROR(INDEX('Watershed plans'!$Y$12:$Y$15,MATCH(5,'Watershed plans'!$AA$12:$AA$15,0)),"")</f>
        <v/>
      </c>
      <c r="H54" s="20">
        <f>IF(ISNUMBER(D54),D54-D53,"")</f>
        <v/>
      </c>
      <c r="I54" s="26">
        <f>IF(ISNUMBER(E54),E54-E53,"")</f>
        <v/>
      </c>
      <c r="J54" s="26">
        <f>IF(AND(ISNUMBER(H54),H54&lt;&gt;0),I54/H54,"")</f>
        <v/>
      </c>
      <c r="K54" s="15" t="inlineStr"/>
      <c r="L54" s="29" t="inlineStr"/>
    </row>
    <row r="55">
      <c r="A55" s="4" t="n">
        <v>6</v>
      </c>
      <c r="B55" s="6">
        <f>IFERROR(INDEX('Watershed plans'!$F$12:$F$15,MATCH(6,'Watershed plans'!$AA$12:$AA$15,0)),"")</f>
        <v/>
      </c>
      <c r="C55" s="10">
        <f>IFERROR(INDEX('Watershed plans'!$B$12:$B$15,MATCH(6,'Watershed plans'!$AA$12:$AA$15,0)),"")</f>
        <v/>
      </c>
      <c r="D55" s="20">
        <f>IFERROR(INDEX('Watershed plans'!$J$12:$J$15,MATCH(6,'Watershed plans'!$AA$12:$AA$15,0)),"")</f>
        <v/>
      </c>
      <c r="E55" s="26">
        <f>IFERROR(INDEX('Watershed plans'!$K$12:$K$15,MATCH(6,'Watershed plans'!$AA$12:$AA$15,0)),"")</f>
        <v/>
      </c>
      <c r="F55" s="25">
        <f>IFERROR(INDEX('Watershed plans'!$I$12:$I$15,MATCH(6,'Watershed plans'!$AA$12:$AA$15,0)),"")</f>
        <v/>
      </c>
      <c r="G55" s="26">
        <f>IFERROR(INDEX('Watershed plans'!$Y$12:$Y$15,MATCH(6,'Watershed plans'!$AA$12:$AA$15,0)),"")</f>
        <v/>
      </c>
      <c r="H55" s="20">
        <f>IF(ISNUMBER(D55),D55-D54,"")</f>
        <v/>
      </c>
      <c r="I55" s="26">
        <f>IF(ISNUMBER(E55),E55-E54,"")</f>
        <v/>
      </c>
      <c r="J55" s="26">
        <f>IF(AND(ISNUMBER(H55),H55&lt;&gt;0),I55/H55,"")</f>
        <v/>
      </c>
      <c r="K55" s="15" t="inlineStr"/>
      <c r="L55" s="29" t="inlineStr"/>
    </row>
    <row r="56">
      <c r="A56" s="4" t="n">
        <v>7</v>
      </c>
      <c r="B56" s="6">
        <f>IFERROR(INDEX('Watershed plans'!$F$12:$F$15,MATCH(7,'Watershed plans'!$AA$12:$AA$15,0)),"")</f>
        <v/>
      </c>
      <c r="C56" s="10">
        <f>IFERROR(INDEX('Watershed plans'!$B$12:$B$15,MATCH(7,'Watershed plans'!$AA$12:$AA$15,0)),"")</f>
        <v/>
      </c>
      <c r="D56" s="20">
        <f>IFERROR(INDEX('Watershed plans'!$J$12:$J$15,MATCH(7,'Watershed plans'!$AA$12:$AA$15,0)),"")</f>
        <v/>
      </c>
      <c r="E56" s="26">
        <f>IFERROR(INDEX('Watershed plans'!$K$12:$K$15,MATCH(7,'Watershed plans'!$AA$12:$AA$15,0)),"")</f>
        <v/>
      </c>
      <c r="F56" s="25">
        <f>IFERROR(INDEX('Watershed plans'!$I$12:$I$15,MATCH(7,'Watershed plans'!$AA$12:$AA$15,0)),"")</f>
        <v/>
      </c>
      <c r="G56" s="26">
        <f>IFERROR(INDEX('Watershed plans'!$Y$12:$Y$15,MATCH(7,'Watershed plans'!$AA$12:$AA$15,0)),"")</f>
        <v/>
      </c>
      <c r="H56" s="20">
        <f>IF(ISNUMBER(D56),D56-D55,"")</f>
        <v/>
      </c>
      <c r="I56" s="26">
        <f>IF(ISNUMBER(E56),E56-E55,"")</f>
        <v/>
      </c>
      <c r="J56" s="26">
        <f>IF(AND(ISNUMBER(H56),H56&lt;&gt;0),I56/H56,"")</f>
        <v/>
      </c>
      <c r="K56" s="15" t="inlineStr"/>
      <c r="L56" s="29" t="inlineStr"/>
    </row>
    <row r="57">
      <c r="A57" s="4" t="n">
        <v>8</v>
      </c>
      <c r="B57" s="6">
        <f>IFERROR(INDEX('Watershed plans'!$F$12:$F$15,MATCH(8,'Watershed plans'!$AA$12:$AA$15,0)),"")</f>
        <v/>
      </c>
      <c r="C57" s="10">
        <f>IFERROR(INDEX('Watershed plans'!$B$12:$B$15,MATCH(8,'Watershed plans'!$AA$12:$AA$15,0)),"")</f>
        <v/>
      </c>
      <c r="D57" s="20">
        <f>IFERROR(INDEX('Watershed plans'!$J$12:$J$15,MATCH(8,'Watershed plans'!$AA$12:$AA$15,0)),"")</f>
        <v/>
      </c>
      <c r="E57" s="26">
        <f>IFERROR(INDEX('Watershed plans'!$K$12:$K$15,MATCH(8,'Watershed plans'!$AA$12:$AA$15,0)),"")</f>
        <v/>
      </c>
      <c r="F57" s="25">
        <f>IFERROR(INDEX('Watershed plans'!$I$12:$I$15,MATCH(8,'Watershed plans'!$AA$12:$AA$15,0)),"")</f>
        <v/>
      </c>
      <c r="G57" s="26">
        <f>IFERROR(INDEX('Watershed plans'!$Y$12:$Y$15,MATCH(8,'Watershed plans'!$AA$12:$AA$15,0)),"")</f>
        <v/>
      </c>
      <c r="H57" s="20">
        <f>IF(ISNUMBER(D57),D57-D56,"")</f>
        <v/>
      </c>
      <c r="I57" s="26">
        <f>IF(ISNUMBER(E57),E57-E56,"")</f>
        <v/>
      </c>
      <c r="J57" s="26">
        <f>IF(AND(ISNUMBER(H57),H57&lt;&gt;0),I57/H57,"")</f>
        <v/>
      </c>
      <c r="K57" s="15" t="inlineStr"/>
      <c r="L57" s="29" t="inlineStr"/>
    </row>
    <row r="58">
      <c r="A58" s="4" t="n">
        <v>9</v>
      </c>
      <c r="B58" s="6">
        <f>IFERROR(INDEX('Watershed plans'!$F$12:$F$15,MATCH(9,'Watershed plans'!$AA$12:$AA$15,0)),"")</f>
        <v/>
      </c>
      <c r="C58" s="10">
        <f>IFERROR(INDEX('Watershed plans'!$B$12:$B$15,MATCH(9,'Watershed plans'!$AA$12:$AA$15,0)),"")</f>
        <v/>
      </c>
      <c r="D58" s="20">
        <f>IFERROR(INDEX('Watershed plans'!$J$12:$J$15,MATCH(9,'Watershed plans'!$AA$12:$AA$15,0)),"")</f>
        <v/>
      </c>
      <c r="E58" s="26">
        <f>IFERROR(INDEX('Watershed plans'!$K$12:$K$15,MATCH(9,'Watershed plans'!$AA$12:$AA$15,0)),"")</f>
        <v/>
      </c>
      <c r="F58" s="25">
        <f>IFERROR(INDEX('Watershed plans'!$I$12:$I$15,MATCH(9,'Watershed plans'!$AA$12:$AA$15,0)),"")</f>
        <v/>
      </c>
      <c r="G58" s="26">
        <f>IFERROR(INDEX('Watershed plans'!$Y$12:$Y$15,MATCH(9,'Watershed plans'!$AA$12:$AA$15,0)),"")</f>
        <v/>
      </c>
      <c r="H58" s="20">
        <f>IF(ISNUMBER(D58),D58-D57,"")</f>
        <v/>
      </c>
      <c r="I58" s="26">
        <f>IF(ISNUMBER(E58),E58-E57,"")</f>
        <v/>
      </c>
      <c r="J58" s="26">
        <f>IF(AND(ISNUMBER(H58),H58&lt;&gt;0),I58/H58,"")</f>
        <v/>
      </c>
      <c r="K58" s="15" t="inlineStr"/>
      <c r="L58" s="29" t="inlineStr"/>
    </row>
    <row r="59">
      <c r="A59" s="4" t="n">
        <v>10</v>
      </c>
      <c r="B59" s="6">
        <f>IFERROR(INDEX('Watershed plans'!$F$12:$F$15,MATCH(10,'Watershed plans'!$AA$12:$AA$15,0)),"")</f>
        <v/>
      </c>
      <c r="C59" s="10">
        <f>IFERROR(INDEX('Watershed plans'!$B$12:$B$15,MATCH(10,'Watershed plans'!$AA$12:$AA$15,0)),"")</f>
        <v/>
      </c>
      <c r="D59" s="20">
        <f>IFERROR(INDEX('Watershed plans'!$J$12:$J$15,MATCH(10,'Watershed plans'!$AA$12:$AA$15,0)),"")</f>
        <v/>
      </c>
      <c r="E59" s="26">
        <f>IFERROR(INDEX('Watershed plans'!$K$12:$K$15,MATCH(10,'Watershed plans'!$AA$12:$AA$15,0)),"")</f>
        <v/>
      </c>
      <c r="F59" s="25">
        <f>IFERROR(INDEX('Watershed plans'!$I$12:$I$15,MATCH(10,'Watershed plans'!$AA$12:$AA$15,0)),"")</f>
        <v/>
      </c>
      <c r="G59" s="26">
        <f>IFERROR(INDEX('Watershed plans'!$Y$12:$Y$15,MATCH(10,'Watershed plans'!$AA$12:$AA$15,0)),"")</f>
        <v/>
      </c>
      <c r="H59" s="20">
        <f>IF(ISNUMBER(D59),D59-D58,"")</f>
        <v/>
      </c>
      <c r="I59" s="26">
        <f>IF(ISNUMBER(E59),E59-E58,"")</f>
        <v/>
      </c>
      <c r="J59" s="26">
        <f>IF(AND(ISNUMBER(H59),H59&lt;&gt;0),I59/H59,"")</f>
        <v/>
      </c>
      <c r="K59" s="15" t="inlineStr"/>
      <c r="L59" s="29" t="inlineStr"/>
    </row>
    <row r="60">
      <c r="A60" s="4" t="n">
        <v>11</v>
      </c>
      <c r="B60" s="6">
        <f>IFERROR(INDEX('Watershed plans'!$F$12:$F$15,MATCH(11,'Watershed plans'!$AA$12:$AA$15,0)),"")</f>
        <v/>
      </c>
      <c r="C60" s="10">
        <f>IFERROR(INDEX('Watershed plans'!$B$12:$B$15,MATCH(11,'Watershed plans'!$AA$12:$AA$15,0)),"")</f>
        <v/>
      </c>
      <c r="D60" s="20">
        <f>IFERROR(INDEX('Watershed plans'!$J$12:$J$15,MATCH(11,'Watershed plans'!$AA$12:$AA$15,0)),"")</f>
        <v/>
      </c>
      <c r="E60" s="26">
        <f>IFERROR(INDEX('Watershed plans'!$K$12:$K$15,MATCH(11,'Watershed plans'!$AA$12:$AA$15,0)),"")</f>
        <v/>
      </c>
      <c r="F60" s="25">
        <f>IFERROR(INDEX('Watershed plans'!$I$12:$I$15,MATCH(11,'Watershed plans'!$AA$12:$AA$15,0)),"")</f>
        <v/>
      </c>
      <c r="G60" s="26">
        <f>IFERROR(INDEX('Watershed plans'!$Y$12:$Y$15,MATCH(11,'Watershed plans'!$AA$12:$AA$15,0)),"")</f>
        <v/>
      </c>
      <c r="H60" s="20">
        <f>IF(ISNUMBER(D60),D60-D59,"")</f>
        <v/>
      </c>
      <c r="I60" s="26">
        <f>IF(ISNUMBER(E60),E60-E59,"")</f>
        <v/>
      </c>
      <c r="J60" s="26">
        <f>IF(AND(ISNUMBER(H60),H60&lt;&gt;0),I60/H60,"")</f>
        <v/>
      </c>
      <c r="K60" s="15" t="inlineStr"/>
      <c r="L60" s="29" t="inlineStr"/>
    </row>
    <row r="61">
      <c r="A61" s="4" t="n">
        <v>12</v>
      </c>
      <c r="B61" s="6">
        <f>IFERROR(INDEX('Watershed plans'!$F$12:$F$15,MATCH(12,'Watershed plans'!$AA$12:$AA$15,0)),"")</f>
        <v/>
      </c>
      <c r="C61" s="10">
        <f>IFERROR(INDEX('Watershed plans'!$B$12:$B$15,MATCH(12,'Watershed plans'!$AA$12:$AA$15,0)),"")</f>
        <v/>
      </c>
      <c r="D61" s="20">
        <f>IFERROR(INDEX('Watershed plans'!$J$12:$J$15,MATCH(12,'Watershed plans'!$AA$12:$AA$15,0)),"")</f>
        <v/>
      </c>
      <c r="E61" s="26">
        <f>IFERROR(INDEX('Watershed plans'!$K$12:$K$15,MATCH(12,'Watershed plans'!$AA$12:$AA$15,0)),"")</f>
        <v/>
      </c>
      <c r="F61" s="25">
        <f>IFERROR(INDEX('Watershed plans'!$I$12:$I$15,MATCH(12,'Watershed plans'!$AA$12:$AA$15,0)),"")</f>
        <v/>
      </c>
      <c r="G61" s="26">
        <f>IFERROR(INDEX('Watershed plans'!$Y$12:$Y$15,MATCH(12,'Watershed plans'!$AA$12:$AA$15,0)),"")</f>
        <v/>
      </c>
      <c r="H61" s="20">
        <f>IF(ISNUMBER(D61),D61-D60,"")</f>
        <v/>
      </c>
      <c r="I61" s="26">
        <f>IF(ISNUMBER(E61),E61-E60,"")</f>
        <v/>
      </c>
      <c r="J61" s="26">
        <f>IF(AND(ISNUMBER(H61),H61&lt;&gt;0),I61/H61,"")</f>
        <v/>
      </c>
      <c r="K61" s="15" t="inlineStr"/>
      <c r="L61" s="29" t="inlineStr"/>
    </row>
    <row r="62">
      <c r="A62" s="4" t="n">
        <v>13</v>
      </c>
      <c r="B62" s="6">
        <f>IFERROR(INDEX('Watershed plans'!$F$12:$F$15,MATCH(13,'Watershed plans'!$AA$12:$AA$15,0)),"")</f>
        <v/>
      </c>
      <c r="C62" s="10">
        <f>IFERROR(INDEX('Watershed plans'!$B$12:$B$15,MATCH(13,'Watershed plans'!$AA$12:$AA$15,0)),"")</f>
        <v/>
      </c>
      <c r="D62" s="20">
        <f>IFERROR(INDEX('Watershed plans'!$J$12:$J$15,MATCH(13,'Watershed plans'!$AA$12:$AA$15,0)),"")</f>
        <v/>
      </c>
      <c r="E62" s="26">
        <f>IFERROR(INDEX('Watershed plans'!$K$12:$K$15,MATCH(13,'Watershed plans'!$AA$12:$AA$15,0)),"")</f>
        <v/>
      </c>
      <c r="F62" s="25">
        <f>IFERROR(INDEX('Watershed plans'!$I$12:$I$15,MATCH(13,'Watershed plans'!$AA$12:$AA$15,0)),"")</f>
        <v/>
      </c>
      <c r="G62" s="26">
        <f>IFERROR(INDEX('Watershed plans'!$Y$12:$Y$15,MATCH(13,'Watershed plans'!$AA$12:$AA$15,0)),"")</f>
        <v/>
      </c>
      <c r="H62" s="20">
        <f>IF(ISNUMBER(D62),D62-D61,"")</f>
        <v/>
      </c>
      <c r="I62" s="26">
        <f>IF(ISNUMBER(E62),E62-E61,"")</f>
        <v/>
      </c>
      <c r="J62" s="26">
        <f>IF(AND(ISNUMBER(H62),H62&lt;&gt;0),I62/H62,"")</f>
        <v/>
      </c>
      <c r="K62" s="15" t="inlineStr"/>
      <c r="L62" s="29" t="inlineStr"/>
    </row>
    <row r="63">
      <c r="A63" s="4" t="n">
        <v>14</v>
      </c>
      <c r="B63" s="6">
        <f>IFERROR(INDEX('Watershed plans'!$F$12:$F$15,MATCH(14,'Watershed plans'!$AA$12:$AA$15,0)),"")</f>
        <v/>
      </c>
      <c r="C63" s="10">
        <f>IFERROR(INDEX('Watershed plans'!$B$12:$B$15,MATCH(14,'Watershed plans'!$AA$12:$AA$15,0)),"")</f>
        <v/>
      </c>
      <c r="D63" s="20">
        <f>IFERROR(INDEX('Watershed plans'!$J$12:$J$15,MATCH(14,'Watershed plans'!$AA$12:$AA$15,0)),"")</f>
        <v/>
      </c>
      <c r="E63" s="26">
        <f>IFERROR(INDEX('Watershed plans'!$K$12:$K$15,MATCH(14,'Watershed plans'!$AA$12:$AA$15,0)),"")</f>
        <v/>
      </c>
      <c r="F63" s="25">
        <f>IFERROR(INDEX('Watershed plans'!$I$12:$I$15,MATCH(14,'Watershed plans'!$AA$12:$AA$15,0)),"")</f>
        <v/>
      </c>
      <c r="G63" s="26">
        <f>IFERROR(INDEX('Watershed plans'!$Y$12:$Y$15,MATCH(14,'Watershed plans'!$AA$12:$AA$15,0)),"")</f>
        <v/>
      </c>
      <c r="H63" s="20">
        <f>IF(ISNUMBER(D63),D63-D62,"")</f>
        <v/>
      </c>
      <c r="I63" s="26">
        <f>IF(ISNUMBER(E63),E63-E62,"")</f>
        <v/>
      </c>
      <c r="J63" s="26">
        <f>IF(AND(ISNUMBER(H63),H63&lt;&gt;0),I63/H63,"")</f>
        <v/>
      </c>
      <c r="K63" s="15" t="inlineStr"/>
      <c r="L63" s="29" t="inlineStr"/>
    </row>
    <row r="64">
      <c r="A64" s="4" t="n">
        <v>15</v>
      </c>
      <c r="B64" s="6">
        <f>IFERROR(INDEX('Watershed plans'!$F$12:$F$15,MATCH(15,'Watershed plans'!$AA$12:$AA$15,0)),"")</f>
        <v/>
      </c>
      <c r="C64" s="10">
        <f>IFERROR(INDEX('Watershed plans'!$B$12:$B$15,MATCH(15,'Watershed plans'!$AA$12:$AA$15,0)),"")</f>
        <v/>
      </c>
      <c r="D64" s="20">
        <f>IFERROR(INDEX('Watershed plans'!$J$12:$J$15,MATCH(15,'Watershed plans'!$AA$12:$AA$15,0)),"")</f>
        <v/>
      </c>
      <c r="E64" s="26">
        <f>IFERROR(INDEX('Watershed plans'!$K$12:$K$15,MATCH(15,'Watershed plans'!$AA$12:$AA$15,0)),"")</f>
        <v/>
      </c>
      <c r="F64" s="25">
        <f>IFERROR(INDEX('Watershed plans'!$I$12:$I$15,MATCH(15,'Watershed plans'!$AA$12:$AA$15,0)),"")</f>
        <v/>
      </c>
      <c r="G64" s="26">
        <f>IFERROR(INDEX('Watershed plans'!$Y$12:$Y$15,MATCH(15,'Watershed plans'!$AA$12:$AA$15,0)),"")</f>
        <v/>
      </c>
      <c r="H64" s="20">
        <f>IF(ISNUMBER(D64),D64-D63,"")</f>
        <v/>
      </c>
      <c r="I64" s="26">
        <f>IF(ISNUMBER(E64),E64-E63,"")</f>
        <v/>
      </c>
      <c r="J64" s="26">
        <f>IF(AND(ISNUMBER(H64),H64&lt;&gt;0),I64/H64,"")</f>
        <v/>
      </c>
      <c r="K64" s="15" t="inlineStr"/>
      <c r="L64" s="29" t="inlineStr"/>
    </row>
    <row r="65">
      <c r="A65" s="4" t="n">
        <v>16</v>
      </c>
      <c r="B65" s="6">
        <f>IFERROR(INDEX('Watershed plans'!$F$12:$F$15,MATCH(16,'Watershed plans'!$AA$12:$AA$15,0)),"")</f>
        <v/>
      </c>
      <c r="C65" s="10">
        <f>IFERROR(INDEX('Watershed plans'!$B$12:$B$15,MATCH(16,'Watershed plans'!$AA$12:$AA$15,0)),"")</f>
        <v/>
      </c>
      <c r="D65" s="20">
        <f>IFERROR(INDEX('Watershed plans'!$J$12:$J$15,MATCH(16,'Watershed plans'!$AA$12:$AA$15,0)),"")</f>
        <v/>
      </c>
      <c r="E65" s="26">
        <f>IFERROR(INDEX('Watershed plans'!$K$12:$K$15,MATCH(16,'Watershed plans'!$AA$12:$AA$15,0)),"")</f>
        <v/>
      </c>
      <c r="F65" s="25">
        <f>IFERROR(INDEX('Watershed plans'!$I$12:$I$15,MATCH(16,'Watershed plans'!$AA$12:$AA$15,0)),"")</f>
        <v/>
      </c>
      <c r="G65" s="26">
        <f>IFERROR(INDEX('Watershed plans'!$Y$12:$Y$15,MATCH(16,'Watershed plans'!$AA$12:$AA$15,0)),"")</f>
        <v/>
      </c>
      <c r="H65" s="20">
        <f>IF(ISNUMBER(D65),D65-D64,"")</f>
        <v/>
      </c>
      <c r="I65" s="26">
        <f>IF(ISNUMBER(E65),E65-E64,"")</f>
        <v/>
      </c>
      <c r="J65" s="26">
        <f>IF(AND(ISNUMBER(H65),H65&lt;&gt;0),I65/H65,"")</f>
        <v/>
      </c>
      <c r="K65" s="15" t="inlineStr"/>
      <c r="L65" s="29" t="inlineStr"/>
    </row>
    <row r="66">
      <c r="A66" s="4" t="n">
        <v>17</v>
      </c>
      <c r="B66" s="6">
        <f>IFERROR(INDEX('Watershed plans'!$F$12:$F$15,MATCH(17,'Watershed plans'!$AA$12:$AA$15,0)),"")</f>
        <v/>
      </c>
      <c r="C66" s="10">
        <f>IFERROR(INDEX('Watershed plans'!$B$12:$B$15,MATCH(17,'Watershed plans'!$AA$12:$AA$15,0)),"")</f>
        <v/>
      </c>
      <c r="D66" s="20">
        <f>IFERROR(INDEX('Watershed plans'!$J$12:$J$15,MATCH(17,'Watershed plans'!$AA$12:$AA$15,0)),"")</f>
        <v/>
      </c>
      <c r="E66" s="26">
        <f>IFERROR(INDEX('Watershed plans'!$K$12:$K$15,MATCH(17,'Watershed plans'!$AA$12:$AA$15,0)),"")</f>
        <v/>
      </c>
      <c r="F66" s="25">
        <f>IFERROR(INDEX('Watershed plans'!$I$12:$I$15,MATCH(17,'Watershed plans'!$AA$12:$AA$15,0)),"")</f>
        <v/>
      </c>
      <c r="G66" s="26">
        <f>IFERROR(INDEX('Watershed plans'!$Y$12:$Y$15,MATCH(17,'Watershed plans'!$AA$12:$AA$15,0)),"")</f>
        <v/>
      </c>
      <c r="H66" s="20">
        <f>IF(ISNUMBER(D66),D66-D65,"")</f>
        <v/>
      </c>
      <c r="I66" s="26">
        <f>IF(ISNUMBER(E66),E66-E65,"")</f>
        <v/>
      </c>
      <c r="J66" s="26">
        <f>IF(AND(ISNUMBER(H66),H66&lt;&gt;0),I66/H66,"")</f>
        <v/>
      </c>
      <c r="K66" s="15" t="inlineStr"/>
      <c r="L66" s="29" t="inlineStr"/>
    </row>
    <row r="67">
      <c r="A67" s="4" t="n">
        <v>18</v>
      </c>
      <c r="B67" s="6">
        <f>IFERROR(INDEX('Watershed plans'!$F$12:$F$15,MATCH(18,'Watershed plans'!$AA$12:$AA$15,0)),"")</f>
        <v/>
      </c>
      <c r="C67" s="10">
        <f>IFERROR(INDEX('Watershed plans'!$B$12:$B$15,MATCH(18,'Watershed plans'!$AA$12:$AA$15,0)),"")</f>
        <v/>
      </c>
      <c r="D67" s="20">
        <f>IFERROR(INDEX('Watershed plans'!$J$12:$J$15,MATCH(18,'Watershed plans'!$AA$12:$AA$15,0)),"")</f>
        <v/>
      </c>
      <c r="E67" s="26">
        <f>IFERROR(INDEX('Watershed plans'!$K$12:$K$15,MATCH(18,'Watershed plans'!$AA$12:$AA$15,0)),"")</f>
        <v/>
      </c>
      <c r="F67" s="25">
        <f>IFERROR(INDEX('Watershed plans'!$I$12:$I$15,MATCH(18,'Watershed plans'!$AA$12:$AA$15,0)),"")</f>
        <v/>
      </c>
      <c r="G67" s="26">
        <f>IFERROR(INDEX('Watershed plans'!$Y$12:$Y$15,MATCH(18,'Watershed plans'!$AA$12:$AA$15,0)),"")</f>
        <v/>
      </c>
      <c r="H67" s="20">
        <f>IF(ISNUMBER(D67),D67-D66,"")</f>
        <v/>
      </c>
      <c r="I67" s="26">
        <f>IF(ISNUMBER(E67),E67-E66,"")</f>
        <v/>
      </c>
      <c r="J67" s="26">
        <f>IF(AND(ISNUMBER(H67),H67&lt;&gt;0),I67/H67,"")</f>
        <v/>
      </c>
      <c r="K67" s="15" t="inlineStr"/>
      <c r="L67" s="29" t="inlineStr"/>
    </row>
    <row r="68">
      <c r="A68" s="4" t="n">
        <v>19</v>
      </c>
      <c r="B68" s="6">
        <f>IFERROR(INDEX('Watershed plans'!$F$12:$F$15,MATCH(19,'Watershed plans'!$AA$12:$AA$15,0)),"")</f>
        <v/>
      </c>
      <c r="C68" s="10">
        <f>IFERROR(INDEX('Watershed plans'!$B$12:$B$15,MATCH(19,'Watershed plans'!$AA$12:$AA$15,0)),"")</f>
        <v/>
      </c>
      <c r="D68" s="20">
        <f>IFERROR(INDEX('Watershed plans'!$J$12:$J$15,MATCH(19,'Watershed plans'!$AA$12:$AA$15,0)),"")</f>
        <v/>
      </c>
      <c r="E68" s="26">
        <f>IFERROR(INDEX('Watershed plans'!$K$12:$K$15,MATCH(19,'Watershed plans'!$AA$12:$AA$15,0)),"")</f>
        <v/>
      </c>
      <c r="F68" s="25">
        <f>IFERROR(INDEX('Watershed plans'!$I$12:$I$15,MATCH(19,'Watershed plans'!$AA$12:$AA$15,0)),"")</f>
        <v/>
      </c>
      <c r="G68" s="26">
        <f>IFERROR(INDEX('Watershed plans'!$Y$12:$Y$15,MATCH(19,'Watershed plans'!$AA$12:$AA$15,0)),"")</f>
        <v/>
      </c>
      <c r="H68" s="20">
        <f>IF(ISNUMBER(D68),D68-D67,"")</f>
        <v/>
      </c>
      <c r="I68" s="26">
        <f>IF(ISNUMBER(E68),E68-E67,"")</f>
        <v/>
      </c>
      <c r="J68" s="26">
        <f>IF(AND(ISNUMBER(H68),H68&lt;&gt;0),I68/H68,"")</f>
        <v/>
      </c>
      <c r="K68" s="15" t="inlineStr"/>
      <c r="L68" s="29" t="inlineStr"/>
    </row>
    <row r="69">
      <c r="A69" s="4" t="n">
        <v>20</v>
      </c>
      <c r="B69" s="6">
        <f>IFERROR(INDEX('Watershed plans'!$F$12:$F$15,MATCH(20,'Watershed plans'!$AA$12:$AA$15,0)),"")</f>
        <v/>
      </c>
      <c r="C69" s="10">
        <f>IFERROR(INDEX('Watershed plans'!$B$12:$B$15,MATCH(20,'Watershed plans'!$AA$12:$AA$15,0)),"")</f>
        <v/>
      </c>
      <c r="D69" s="20">
        <f>IFERROR(INDEX('Watershed plans'!$J$12:$J$15,MATCH(20,'Watershed plans'!$AA$12:$AA$15,0)),"")</f>
        <v/>
      </c>
      <c r="E69" s="26">
        <f>IFERROR(INDEX('Watershed plans'!$K$12:$K$15,MATCH(20,'Watershed plans'!$AA$12:$AA$15,0)),"")</f>
        <v/>
      </c>
      <c r="F69" s="25">
        <f>IFERROR(INDEX('Watershed plans'!$I$12:$I$15,MATCH(20,'Watershed plans'!$AA$12:$AA$15,0)),"")</f>
        <v/>
      </c>
      <c r="G69" s="26">
        <f>IFERROR(INDEX('Watershed plans'!$Y$12:$Y$15,MATCH(20,'Watershed plans'!$AA$12:$AA$15,0)),"")</f>
        <v/>
      </c>
      <c r="H69" s="20">
        <f>IF(ISNUMBER(D69),D69-D68,"")</f>
        <v/>
      </c>
      <c r="I69" s="26">
        <f>IF(ISNUMBER(E69),E69-E68,"")</f>
        <v/>
      </c>
      <c r="J69" s="26">
        <f>IF(AND(ISNUMBER(H69),H69&lt;&gt;0),I69/H69,"")</f>
        <v/>
      </c>
      <c r="K69" s="15" t="inlineStr"/>
      <c r="L69" s="29" t="inlineStr"/>
    </row>
    <row r="70">
      <c r="A70" s="4" t="n">
        <v>21</v>
      </c>
      <c r="B70" s="6">
        <f>IFERROR(INDEX('Watershed plans'!$F$12:$F$15,MATCH(21,'Watershed plans'!$AA$12:$AA$15,0)),"")</f>
        <v/>
      </c>
      <c r="C70" s="10">
        <f>IFERROR(INDEX('Watershed plans'!$B$12:$B$15,MATCH(21,'Watershed plans'!$AA$12:$AA$15,0)),"")</f>
        <v/>
      </c>
      <c r="D70" s="20">
        <f>IFERROR(INDEX('Watershed plans'!$J$12:$J$15,MATCH(21,'Watershed plans'!$AA$12:$AA$15,0)),"")</f>
        <v/>
      </c>
      <c r="E70" s="26">
        <f>IFERROR(INDEX('Watershed plans'!$K$12:$K$15,MATCH(21,'Watershed plans'!$AA$12:$AA$15,0)),"")</f>
        <v/>
      </c>
      <c r="F70" s="25">
        <f>IFERROR(INDEX('Watershed plans'!$I$12:$I$15,MATCH(21,'Watershed plans'!$AA$12:$AA$15,0)),"")</f>
        <v/>
      </c>
      <c r="G70" s="26">
        <f>IFERROR(INDEX('Watershed plans'!$Y$12:$Y$15,MATCH(21,'Watershed plans'!$AA$12:$AA$15,0)),"")</f>
        <v/>
      </c>
      <c r="H70" s="20">
        <f>IF(ISNUMBER(D70),D70-D69,"")</f>
        <v/>
      </c>
      <c r="I70" s="26">
        <f>IF(ISNUMBER(E70),E70-E69,"")</f>
        <v/>
      </c>
      <c r="J70" s="26">
        <f>IF(AND(ISNUMBER(H70),H70&lt;&gt;0),I70/H70,"")</f>
        <v/>
      </c>
      <c r="K70" s="15" t="inlineStr"/>
      <c r="L70" s="29" t="inlineStr"/>
    </row>
    <row r="71">
      <c r="A71" s="4" t="n">
        <v>22</v>
      </c>
      <c r="B71" s="6">
        <f>IFERROR(INDEX('Watershed plans'!$F$12:$F$15,MATCH(22,'Watershed plans'!$AA$12:$AA$15,0)),"")</f>
        <v/>
      </c>
      <c r="C71" s="10">
        <f>IFERROR(INDEX('Watershed plans'!$B$12:$B$15,MATCH(22,'Watershed plans'!$AA$12:$AA$15,0)),"")</f>
        <v/>
      </c>
      <c r="D71" s="20">
        <f>IFERROR(INDEX('Watershed plans'!$J$12:$J$15,MATCH(22,'Watershed plans'!$AA$12:$AA$15,0)),"")</f>
        <v/>
      </c>
      <c r="E71" s="26">
        <f>IFERROR(INDEX('Watershed plans'!$K$12:$K$15,MATCH(22,'Watershed plans'!$AA$12:$AA$15,0)),"")</f>
        <v/>
      </c>
      <c r="F71" s="25">
        <f>IFERROR(INDEX('Watershed plans'!$I$12:$I$15,MATCH(22,'Watershed plans'!$AA$12:$AA$15,0)),"")</f>
        <v/>
      </c>
      <c r="G71" s="26">
        <f>IFERROR(INDEX('Watershed plans'!$Y$12:$Y$15,MATCH(22,'Watershed plans'!$AA$12:$AA$15,0)),"")</f>
        <v/>
      </c>
      <c r="H71" s="20">
        <f>IF(ISNUMBER(D71),D71-D70,"")</f>
        <v/>
      </c>
      <c r="I71" s="26">
        <f>IF(ISNUMBER(E71),E71-E70,"")</f>
        <v/>
      </c>
      <c r="J71" s="26">
        <f>IF(AND(ISNUMBER(H71),H71&lt;&gt;0),I71/H71,"")</f>
        <v/>
      </c>
      <c r="K71" s="15" t="inlineStr"/>
      <c r="L71" s="29" t="inlineStr"/>
    </row>
    <row r="72">
      <c r="A72" s="4" t="n">
        <v>23</v>
      </c>
      <c r="B72" s="6">
        <f>IFERROR(INDEX('Watershed plans'!$F$12:$F$15,MATCH(23,'Watershed plans'!$AA$12:$AA$15,0)),"")</f>
        <v/>
      </c>
      <c r="C72" s="10">
        <f>IFERROR(INDEX('Watershed plans'!$B$12:$B$15,MATCH(23,'Watershed plans'!$AA$12:$AA$15,0)),"")</f>
        <v/>
      </c>
      <c r="D72" s="20">
        <f>IFERROR(INDEX('Watershed plans'!$J$12:$J$15,MATCH(23,'Watershed plans'!$AA$12:$AA$15,0)),"")</f>
        <v/>
      </c>
      <c r="E72" s="26">
        <f>IFERROR(INDEX('Watershed plans'!$K$12:$K$15,MATCH(23,'Watershed plans'!$AA$12:$AA$15,0)),"")</f>
        <v/>
      </c>
      <c r="F72" s="25">
        <f>IFERROR(INDEX('Watershed plans'!$I$12:$I$15,MATCH(23,'Watershed plans'!$AA$12:$AA$15,0)),"")</f>
        <v/>
      </c>
      <c r="G72" s="26">
        <f>IFERROR(INDEX('Watershed plans'!$Y$12:$Y$15,MATCH(23,'Watershed plans'!$AA$12:$AA$15,0)),"")</f>
        <v/>
      </c>
      <c r="H72" s="20">
        <f>IF(ISNUMBER(D72),D72-D71,"")</f>
        <v/>
      </c>
      <c r="I72" s="26">
        <f>IF(ISNUMBER(E72),E72-E71,"")</f>
        <v/>
      </c>
      <c r="J72" s="26">
        <f>IF(AND(ISNUMBER(H72),H72&lt;&gt;0),I72/H72,"")</f>
        <v/>
      </c>
      <c r="K72" s="15" t="inlineStr"/>
      <c r="L72" s="29" t="inlineStr"/>
    </row>
    <row r="73">
      <c r="A73" s="4" t="n">
        <v>24</v>
      </c>
      <c r="B73" s="6">
        <f>IFERROR(INDEX('Watershed plans'!$F$12:$F$15,MATCH(24,'Watershed plans'!$AA$12:$AA$15,0)),"")</f>
        <v/>
      </c>
      <c r="C73" s="10">
        <f>IFERROR(INDEX('Watershed plans'!$B$12:$B$15,MATCH(24,'Watershed plans'!$AA$12:$AA$15,0)),"")</f>
        <v/>
      </c>
      <c r="D73" s="20">
        <f>IFERROR(INDEX('Watershed plans'!$J$12:$J$15,MATCH(24,'Watershed plans'!$AA$12:$AA$15,0)),"")</f>
        <v/>
      </c>
      <c r="E73" s="26">
        <f>IFERROR(INDEX('Watershed plans'!$K$12:$K$15,MATCH(24,'Watershed plans'!$AA$12:$AA$15,0)),"")</f>
        <v/>
      </c>
      <c r="F73" s="25">
        <f>IFERROR(INDEX('Watershed plans'!$I$12:$I$15,MATCH(24,'Watershed plans'!$AA$12:$AA$15,0)),"")</f>
        <v/>
      </c>
      <c r="G73" s="26">
        <f>IFERROR(INDEX('Watershed plans'!$Y$12:$Y$15,MATCH(24,'Watershed plans'!$AA$12:$AA$15,0)),"")</f>
        <v/>
      </c>
      <c r="H73" s="20">
        <f>IF(ISNUMBER(D73),D73-D72,"")</f>
        <v/>
      </c>
      <c r="I73" s="26">
        <f>IF(ISNUMBER(E73),E73-E72,"")</f>
        <v/>
      </c>
      <c r="J73" s="26">
        <f>IF(AND(ISNUMBER(H73),H73&lt;&gt;0),I73/H73,"")</f>
        <v/>
      </c>
      <c r="K73" s="15" t="inlineStr"/>
      <c r="L73" s="29" t="inlineStr"/>
    </row>
    <row r="74">
      <c r="A74" s="4" t="n">
        <v>25</v>
      </c>
      <c r="B74" s="6">
        <f>IFERROR(INDEX('Watershed plans'!$F$12:$F$15,MATCH(25,'Watershed plans'!$AA$12:$AA$15,0)),"")</f>
        <v/>
      </c>
      <c r="C74" s="10">
        <f>IFERROR(INDEX('Watershed plans'!$B$12:$B$15,MATCH(25,'Watershed plans'!$AA$12:$AA$15,0)),"")</f>
        <v/>
      </c>
      <c r="D74" s="20">
        <f>IFERROR(INDEX('Watershed plans'!$J$12:$J$15,MATCH(25,'Watershed plans'!$AA$12:$AA$15,0)),"")</f>
        <v/>
      </c>
      <c r="E74" s="26">
        <f>IFERROR(INDEX('Watershed plans'!$K$12:$K$15,MATCH(25,'Watershed plans'!$AA$12:$AA$15,0)),"")</f>
        <v/>
      </c>
      <c r="F74" s="25">
        <f>IFERROR(INDEX('Watershed plans'!$I$12:$I$15,MATCH(25,'Watershed plans'!$AA$12:$AA$15,0)),"")</f>
        <v/>
      </c>
      <c r="G74" s="26">
        <f>IFERROR(INDEX('Watershed plans'!$Y$12:$Y$15,MATCH(25,'Watershed plans'!$AA$12:$AA$15,0)),"")</f>
        <v/>
      </c>
      <c r="H74" s="20">
        <f>IF(ISNUMBER(D74),D74-D73,"")</f>
        <v/>
      </c>
      <c r="I74" s="26">
        <f>IF(ISNUMBER(E74),E74-E73,"")</f>
        <v/>
      </c>
      <c r="J74" s="26">
        <f>IF(AND(ISNUMBER(H74),H74&lt;&gt;0),I74/H74,"")</f>
        <v/>
      </c>
      <c r="K74" s="15" t="inlineStr"/>
      <c r="L74" s="29" t="inlineStr"/>
    </row>
    <row r="75">
      <c r="A75" s="4" t="n">
        <v>26</v>
      </c>
      <c r="B75" s="6">
        <f>IFERROR(INDEX('Watershed plans'!$F$12:$F$15,MATCH(26,'Watershed plans'!$AA$12:$AA$15,0)),"")</f>
        <v/>
      </c>
      <c r="C75" s="10">
        <f>IFERROR(INDEX('Watershed plans'!$B$12:$B$15,MATCH(26,'Watershed plans'!$AA$12:$AA$15,0)),"")</f>
        <v/>
      </c>
      <c r="D75" s="20">
        <f>IFERROR(INDEX('Watershed plans'!$J$12:$J$15,MATCH(26,'Watershed plans'!$AA$12:$AA$15,0)),"")</f>
        <v/>
      </c>
      <c r="E75" s="26">
        <f>IFERROR(INDEX('Watershed plans'!$K$12:$K$15,MATCH(26,'Watershed plans'!$AA$12:$AA$15,0)),"")</f>
        <v/>
      </c>
      <c r="F75" s="25">
        <f>IFERROR(INDEX('Watershed plans'!$I$12:$I$15,MATCH(26,'Watershed plans'!$AA$12:$AA$15,0)),"")</f>
        <v/>
      </c>
      <c r="G75" s="26">
        <f>IFERROR(INDEX('Watershed plans'!$Y$12:$Y$15,MATCH(26,'Watershed plans'!$AA$12:$AA$15,0)),"")</f>
        <v/>
      </c>
      <c r="H75" s="20">
        <f>IF(ISNUMBER(D75),D75-D74,"")</f>
        <v/>
      </c>
      <c r="I75" s="26">
        <f>IF(ISNUMBER(E75),E75-E74,"")</f>
        <v/>
      </c>
      <c r="J75" s="26">
        <f>IF(AND(ISNUMBER(H75),H75&lt;&gt;0),I75/H75,"")</f>
        <v/>
      </c>
      <c r="K75" s="15" t="inlineStr"/>
      <c r="L75" s="29" t="inlineStr"/>
    </row>
    <row r="76">
      <c r="A76" s="4" t="n">
        <v>27</v>
      </c>
      <c r="B76" s="6">
        <f>IFERROR(INDEX('Watershed plans'!$F$12:$F$15,MATCH(27,'Watershed plans'!$AA$12:$AA$15,0)),"")</f>
        <v/>
      </c>
      <c r="C76" s="10">
        <f>IFERROR(INDEX('Watershed plans'!$B$12:$B$15,MATCH(27,'Watershed plans'!$AA$12:$AA$15,0)),"")</f>
        <v/>
      </c>
      <c r="D76" s="20">
        <f>IFERROR(INDEX('Watershed plans'!$J$12:$J$15,MATCH(27,'Watershed plans'!$AA$12:$AA$15,0)),"")</f>
        <v/>
      </c>
      <c r="E76" s="26">
        <f>IFERROR(INDEX('Watershed plans'!$K$12:$K$15,MATCH(27,'Watershed plans'!$AA$12:$AA$15,0)),"")</f>
        <v/>
      </c>
      <c r="F76" s="25">
        <f>IFERROR(INDEX('Watershed plans'!$I$12:$I$15,MATCH(27,'Watershed plans'!$AA$12:$AA$15,0)),"")</f>
        <v/>
      </c>
      <c r="G76" s="26">
        <f>IFERROR(INDEX('Watershed plans'!$Y$12:$Y$15,MATCH(27,'Watershed plans'!$AA$12:$AA$15,0)),"")</f>
        <v/>
      </c>
      <c r="H76" s="20">
        <f>IF(ISNUMBER(D76),D76-D75,"")</f>
        <v/>
      </c>
      <c r="I76" s="26">
        <f>IF(ISNUMBER(E76),E76-E75,"")</f>
        <v/>
      </c>
      <c r="J76" s="26">
        <f>IF(AND(ISNUMBER(H76),H76&lt;&gt;0),I76/H76,"")</f>
        <v/>
      </c>
      <c r="K76" s="15" t="inlineStr"/>
      <c r="L76" s="29" t="inlineStr"/>
    </row>
    <row r="77">
      <c r="A77" s="4" t="n">
        <v>28</v>
      </c>
      <c r="B77" s="6">
        <f>IFERROR(INDEX('Watershed plans'!$F$12:$F$15,MATCH(28,'Watershed plans'!$AA$12:$AA$15,0)),"")</f>
        <v/>
      </c>
      <c r="C77" s="10">
        <f>IFERROR(INDEX('Watershed plans'!$B$12:$B$15,MATCH(28,'Watershed plans'!$AA$12:$AA$15,0)),"")</f>
        <v/>
      </c>
      <c r="D77" s="20">
        <f>IFERROR(INDEX('Watershed plans'!$J$12:$J$15,MATCH(28,'Watershed plans'!$AA$12:$AA$15,0)),"")</f>
        <v/>
      </c>
      <c r="E77" s="26">
        <f>IFERROR(INDEX('Watershed plans'!$K$12:$K$15,MATCH(28,'Watershed plans'!$AA$12:$AA$15,0)),"")</f>
        <v/>
      </c>
      <c r="F77" s="25">
        <f>IFERROR(INDEX('Watershed plans'!$I$12:$I$15,MATCH(28,'Watershed plans'!$AA$12:$AA$15,0)),"")</f>
        <v/>
      </c>
      <c r="G77" s="26">
        <f>IFERROR(INDEX('Watershed plans'!$Y$12:$Y$15,MATCH(28,'Watershed plans'!$AA$12:$AA$15,0)),"")</f>
        <v/>
      </c>
      <c r="H77" s="20">
        <f>IF(ISNUMBER(D77),D77-D76,"")</f>
        <v/>
      </c>
      <c r="I77" s="26">
        <f>IF(ISNUMBER(E77),E77-E76,"")</f>
        <v/>
      </c>
      <c r="J77" s="26">
        <f>IF(AND(ISNUMBER(H77),H77&lt;&gt;0),I77/H77,"")</f>
        <v/>
      </c>
      <c r="K77" s="15" t="inlineStr"/>
      <c r="L77" s="29" t="inlineStr"/>
    </row>
    <row r="78">
      <c r="A78" s="4" t="n">
        <v>29</v>
      </c>
      <c r="B78" s="6">
        <f>IFERROR(INDEX('Watershed plans'!$F$12:$F$15,MATCH(29,'Watershed plans'!$AA$12:$AA$15,0)),"")</f>
        <v/>
      </c>
      <c r="C78" s="10">
        <f>IFERROR(INDEX('Watershed plans'!$B$12:$B$15,MATCH(29,'Watershed plans'!$AA$12:$AA$15,0)),"")</f>
        <v/>
      </c>
      <c r="D78" s="20">
        <f>IFERROR(INDEX('Watershed plans'!$J$12:$J$15,MATCH(29,'Watershed plans'!$AA$12:$AA$15,0)),"")</f>
        <v/>
      </c>
      <c r="E78" s="26">
        <f>IFERROR(INDEX('Watershed plans'!$K$12:$K$15,MATCH(29,'Watershed plans'!$AA$12:$AA$15,0)),"")</f>
        <v/>
      </c>
      <c r="F78" s="25">
        <f>IFERROR(INDEX('Watershed plans'!$I$12:$I$15,MATCH(29,'Watershed plans'!$AA$12:$AA$15,0)),"")</f>
        <v/>
      </c>
      <c r="G78" s="26">
        <f>IFERROR(INDEX('Watershed plans'!$Y$12:$Y$15,MATCH(29,'Watershed plans'!$AA$12:$AA$15,0)),"")</f>
        <v/>
      </c>
      <c r="H78" s="20">
        <f>IF(ISNUMBER(D78),D78-D77,"")</f>
        <v/>
      </c>
      <c r="I78" s="26">
        <f>IF(ISNUMBER(E78),E78-E77,"")</f>
        <v/>
      </c>
      <c r="J78" s="26">
        <f>IF(AND(ISNUMBER(H78),H78&lt;&gt;0),I78/H78,"")</f>
        <v/>
      </c>
      <c r="K78" s="15" t="inlineStr"/>
      <c r="L78" s="29" t="inlineStr"/>
    </row>
    <row r="79">
      <c r="A79" s="4" t="n">
        <v>30</v>
      </c>
      <c r="B79" s="6">
        <f>IFERROR(INDEX('Watershed plans'!$F$12:$F$15,MATCH(30,'Watershed plans'!$AA$12:$AA$15,0)),"")</f>
        <v/>
      </c>
      <c r="C79" s="10">
        <f>IFERROR(INDEX('Watershed plans'!$B$12:$B$15,MATCH(30,'Watershed plans'!$AA$12:$AA$15,0)),"")</f>
        <v/>
      </c>
      <c r="D79" s="20">
        <f>IFERROR(INDEX('Watershed plans'!$J$12:$J$15,MATCH(30,'Watershed plans'!$AA$12:$AA$15,0)),"")</f>
        <v/>
      </c>
      <c r="E79" s="26">
        <f>IFERROR(INDEX('Watershed plans'!$K$12:$K$15,MATCH(30,'Watershed plans'!$AA$12:$AA$15,0)),"")</f>
        <v/>
      </c>
      <c r="F79" s="25">
        <f>IFERROR(INDEX('Watershed plans'!$I$12:$I$15,MATCH(30,'Watershed plans'!$AA$12:$AA$15,0)),"")</f>
        <v/>
      </c>
      <c r="G79" s="26">
        <f>IFERROR(INDEX('Watershed plans'!$Y$12:$Y$15,MATCH(30,'Watershed plans'!$AA$12:$AA$15,0)),"")</f>
        <v/>
      </c>
      <c r="H79" s="20">
        <f>IF(ISNUMBER(D79),D79-D78,"")</f>
        <v/>
      </c>
      <c r="I79" s="26">
        <f>IF(ISNUMBER(E79),E79-E78,"")</f>
        <v/>
      </c>
      <c r="J79" s="26">
        <f>IF(AND(ISNUMBER(H79),H79&lt;&gt;0),I79/H79,"")</f>
        <v/>
      </c>
      <c r="K79" s="15" t="inlineStr"/>
      <c r="L79" s="29" t="inlineStr"/>
    </row>
    <row r="80">
      <c r="A80" s="4" t="n">
        <v>31</v>
      </c>
      <c r="B80" s="6">
        <f>IFERROR(INDEX('Watershed plans'!$F$12:$F$15,MATCH(31,'Watershed plans'!$AA$12:$AA$15,0)),"")</f>
        <v/>
      </c>
      <c r="C80" s="10">
        <f>IFERROR(INDEX('Watershed plans'!$B$12:$B$15,MATCH(31,'Watershed plans'!$AA$12:$AA$15,0)),"")</f>
        <v/>
      </c>
      <c r="D80" s="20">
        <f>IFERROR(INDEX('Watershed plans'!$J$12:$J$15,MATCH(31,'Watershed plans'!$AA$12:$AA$15,0)),"")</f>
        <v/>
      </c>
      <c r="E80" s="26">
        <f>IFERROR(INDEX('Watershed plans'!$K$12:$K$15,MATCH(31,'Watershed plans'!$AA$12:$AA$15,0)),"")</f>
        <v/>
      </c>
      <c r="F80" s="25">
        <f>IFERROR(INDEX('Watershed plans'!$I$12:$I$15,MATCH(31,'Watershed plans'!$AA$12:$AA$15,0)),"")</f>
        <v/>
      </c>
      <c r="G80" s="26">
        <f>IFERROR(INDEX('Watershed plans'!$Y$12:$Y$15,MATCH(31,'Watershed plans'!$AA$12:$AA$15,0)),"")</f>
        <v/>
      </c>
      <c r="H80" s="20">
        <f>IF(ISNUMBER(D80),D80-D79,"")</f>
        <v/>
      </c>
      <c r="I80" s="26">
        <f>IF(ISNUMBER(E80),E80-E79,"")</f>
        <v/>
      </c>
      <c r="J80" s="26">
        <f>IF(AND(ISNUMBER(H80),H80&lt;&gt;0),I80/H80,"")</f>
        <v/>
      </c>
      <c r="K80" s="15" t="inlineStr"/>
      <c r="L80" s="29" t="inlineStr"/>
    </row>
    <row r="81">
      <c r="A81" s="4" t="n">
        <v>32</v>
      </c>
      <c r="B81" s="6">
        <f>IFERROR(INDEX('Watershed plans'!$F$12:$F$15,MATCH(32,'Watershed plans'!$AA$12:$AA$15,0)),"")</f>
        <v/>
      </c>
      <c r="C81" s="10">
        <f>IFERROR(INDEX('Watershed plans'!$B$12:$B$15,MATCH(32,'Watershed plans'!$AA$12:$AA$15,0)),"")</f>
        <v/>
      </c>
      <c r="D81" s="20">
        <f>IFERROR(INDEX('Watershed plans'!$J$12:$J$15,MATCH(32,'Watershed plans'!$AA$12:$AA$15,0)),"")</f>
        <v/>
      </c>
      <c r="E81" s="26">
        <f>IFERROR(INDEX('Watershed plans'!$K$12:$K$15,MATCH(32,'Watershed plans'!$AA$12:$AA$15,0)),"")</f>
        <v/>
      </c>
      <c r="F81" s="25">
        <f>IFERROR(INDEX('Watershed plans'!$I$12:$I$15,MATCH(32,'Watershed plans'!$AA$12:$AA$15,0)),"")</f>
        <v/>
      </c>
      <c r="G81" s="26">
        <f>IFERROR(INDEX('Watershed plans'!$Y$12:$Y$15,MATCH(32,'Watershed plans'!$AA$12:$AA$15,0)),"")</f>
        <v/>
      </c>
      <c r="H81" s="20">
        <f>IF(ISNUMBER(D81),D81-D80,"")</f>
        <v/>
      </c>
      <c r="I81" s="26">
        <f>IF(ISNUMBER(E81),E81-E80,"")</f>
        <v/>
      </c>
      <c r="J81" s="26">
        <f>IF(AND(ISNUMBER(H81),H81&lt;&gt;0),I81/H81,"")</f>
        <v/>
      </c>
      <c r="K81" s="15" t="inlineStr"/>
      <c r="L81" s="29" t="inlineStr"/>
    </row>
    <row r="82">
      <c r="A82" s="4" t="n">
        <v>33</v>
      </c>
      <c r="B82" s="6">
        <f>IFERROR(INDEX('Watershed plans'!$F$12:$F$15,MATCH(33,'Watershed plans'!$AA$12:$AA$15,0)),"")</f>
        <v/>
      </c>
      <c r="C82" s="10">
        <f>IFERROR(INDEX('Watershed plans'!$B$12:$B$15,MATCH(33,'Watershed plans'!$AA$12:$AA$15,0)),"")</f>
        <v/>
      </c>
      <c r="D82" s="20">
        <f>IFERROR(INDEX('Watershed plans'!$J$12:$J$15,MATCH(33,'Watershed plans'!$AA$12:$AA$15,0)),"")</f>
        <v/>
      </c>
      <c r="E82" s="26">
        <f>IFERROR(INDEX('Watershed plans'!$K$12:$K$15,MATCH(33,'Watershed plans'!$AA$12:$AA$15,0)),"")</f>
        <v/>
      </c>
      <c r="F82" s="25">
        <f>IFERROR(INDEX('Watershed plans'!$I$12:$I$15,MATCH(33,'Watershed plans'!$AA$12:$AA$15,0)),"")</f>
        <v/>
      </c>
      <c r="G82" s="26">
        <f>IFERROR(INDEX('Watershed plans'!$Y$12:$Y$15,MATCH(33,'Watershed plans'!$AA$12:$AA$15,0)),"")</f>
        <v/>
      </c>
      <c r="H82" s="20">
        <f>IF(ISNUMBER(D82),D82-D81,"")</f>
        <v/>
      </c>
      <c r="I82" s="26">
        <f>IF(ISNUMBER(E82),E82-E81,"")</f>
        <v/>
      </c>
      <c r="J82" s="26">
        <f>IF(AND(ISNUMBER(H82),H82&lt;&gt;0),I82/H82,"")</f>
        <v/>
      </c>
      <c r="K82" s="15" t="inlineStr"/>
      <c r="L82" s="29" t="inlineStr"/>
    </row>
    <row r="83">
      <c r="A83" s="4" t="n">
        <v>34</v>
      </c>
      <c r="B83" s="6">
        <f>IFERROR(INDEX('Watershed plans'!$F$12:$F$15,MATCH(34,'Watershed plans'!$AA$12:$AA$15,0)),"")</f>
        <v/>
      </c>
      <c r="C83" s="10">
        <f>IFERROR(INDEX('Watershed plans'!$B$12:$B$15,MATCH(34,'Watershed plans'!$AA$12:$AA$15,0)),"")</f>
        <v/>
      </c>
      <c r="D83" s="20">
        <f>IFERROR(INDEX('Watershed plans'!$J$12:$J$15,MATCH(34,'Watershed plans'!$AA$12:$AA$15,0)),"")</f>
        <v/>
      </c>
      <c r="E83" s="26">
        <f>IFERROR(INDEX('Watershed plans'!$K$12:$K$15,MATCH(34,'Watershed plans'!$AA$12:$AA$15,0)),"")</f>
        <v/>
      </c>
      <c r="F83" s="25">
        <f>IFERROR(INDEX('Watershed plans'!$I$12:$I$15,MATCH(34,'Watershed plans'!$AA$12:$AA$15,0)),"")</f>
        <v/>
      </c>
      <c r="G83" s="26">
        <f>IFERROR(INDEX('Watershed plans'!$Y$12:$Y$15,MATCH(34,'Watershed plans'!$AA$12:$AA$15,0)),"")</f>
        <v/>
      </c>
      <c r="H83" s="20">
        <f>IF(ISNUMBER(D83),D83-D82,"")</f>
        <v/>
      </c>
      <c r="I83" s="26">
        <f>IF(ISNUMBER(E83),E83-E82,"")</f>
        <v/>
      </c>
      <c r="J83" s="26">
        <f>IF(AND(ISNUMBER(H83),H83&lt;&gt;0),I83/H83,"")</f>
        <v/>
      </c>
      <c r="K83" s="15" t="inlineStr"/>
      <c r="L83" s="29" t="inlineStr"/>
    </row>
    <row r="84">
      <c r="A84" s="4" t="n">
        <v>35</v>
      </c>
      <c r="B84" s="6">
        <f>IFERROR(INDEX('Watershed plans'!$F$12:$F$15,MATCH(35,'Watershed plans'!$AA$12:$AA$15,0)),"")</f>
        <v/>
      </c>
      <c r="C84" s="10">
        <f>IFERROR(INDEX('Watershed plans'!$B$12:$B$15,MATCH(35,'Watershed plans'!$AA$12:$AA$15,0)),"")</f>
        <v/>
      </c>
      <c r="D84" s="20">
        <f>IFERROR(INDEX('Watershed plans'!$J$12:$J$15,MATCH(35,'Watershed plans'!$AA$12:$AA$15,0)),"")</f>
        <v/>
      </c>
      <c r="E84" s="26">
        <f>IFERROR(INDEX('Watershed plans'!$K$12:$K$15,MATCH(35,'Watershed plans'!$AA$12:$AA$15,0)),"")</f>
        <v/>
      </c>
      <c r="F84" s="25">
        <f>IFERROR(INDEX('Watershed plans'!$I$12:$I$15,MATCH(35,'Watershed plans'!$AA$12:$AA$15,0)),"")</f>
        <v/>
      </c>
      <c r="G84" s="26">
        <f>IFERROR(INDEX('Watershed plans'!$Y$12:$Y$15,MATCH(35,'Watershed plans'!$AA$12:$AA$15,0)),"")</f>
        <v/>
      </c>
      <c r="H84" s="20">
        <f>IF(ISNUMBER(D84),D84-D83,"")</f>
        <v/>
      </c>
      <c r="I84" s="26">
        <f>IF(ISNUMBER(E84),E84-E83,"")</f>
        <v/>
      </c>
      <c r="J84" s="26">
        <f>IF(AND(ISNUMBER(H84),H84&lt;&gt;0),I84/H84,"")</f>
        <v/>
      </c>
      <c r="K84" s="15" t="inlineStr"/>
      <c r="L84" s="29" t="inlineStr"/>
    </row>
    <row r="85">
      <c r="A85" s="4" t="n">
        <v>36</v>
      </c>
      <c r="B85" s="6">
        <f>IFERROR(INDEX('Watershed plans'!$F$12:$F$15,MATCH(36,'Watershed plans'!$AA$12:$AA$15,0)),"")</f>
        <v/>
      </c>
      <c r="C85" s="10">
        <f>IFERROR(INDEX('Watershed plans'!$B$12:$B$15,MATCH(36,'Watershed plans'!$AA$12:$AA$15,0)),"")</f>
        <v/>
      </c>
      <c r="D85" s="20">
        <f>IFERROR(INDEX('Watershed plans'!$J$12:$J$15,MATCH(36,'Watershed plans'!$AA$12:$AA$15,0)),"")</f>
        <v/>
      </c>
      <c r="E85" s="26">
        <f>IFERROR(INDEX('Watershed plans'!$K$12:$K$15,MATCH(36,'Watershed plans'!$AA$12:$AA$15,0)),"")</f>
        <v/>
      </c>
      <c r="F85" s="25">
        <f>IFERROR(INDEX('Watershed plans'!$I$12:$I$15,MATCH(36,'Watershed plans'!$AA$12:$AA$15,0)),"")</f>
        <v/>
      </c>
      <c r="G85" s="26">
        <f>IFERROR(INDEX('Watershed plans'!$Y$12:$Y$15,MATCH(36,'Watershed plans'!$AA$12:$AA$15,0)),"")</f>
        <v/>
      </c>
      <c r="H85" s="20">
        <f>IF(ISNUMBER(D85),D85-D84,"")</f>
        <v/>
      </c>
      <c r="I85" s="26">
        <f>IF(ISNUMBER(E85),E85-E84,"")</f>
        <v/>
      </c>
      <c r="J85" s="26">
        <f>IF(AND(ISNUMBER(H85),H85&lt;&gt;0),I85/H85,"")</f>
        <v/>
      </c>
      <c r="K85" s="15" t="inlineStr"/>
      <c r="L85" s="29" t="inlineStr"/>
    </row>
    <row r="86">
      <c r="A86" s="4" t="n">
        <v>37</v>
      </c>
      <c r="B86" s="6">
        <f>IFERROR(INDEX('Watershed plans'!$F$12:$F$15,MATCH(37,'Watershed plans'!$AA$12:$AA$15,0)),"")</f>
        <v/>
      </c>
      <c r="C86" s="10">
        <f>IFERROR(INDEX('Watershed plans'!$B$12:$B$15,MATCH(37,'Watershed plans'!$AA$12:$AA$15,0)),"")</f>
        <v/>
      </c>
      <c r="D86" s="20">
        <f>IFERROR(INDEX('Watershed plans'!$J$12:$J$15,MATCH(37,'Watershed plans'!$AA$12:$AA$15,0)),"")</f>
        <v/>
      </c>
      <c r="E86" s="26">
        <f>IFERROR(INDEX('Watershed plans'!$K$12:$K$15,MATCH(37,'Watershed plans'!$AA$12:$AA$15,0)),"")</f>
        <v/>
      </c>
      <c r="F86" s="25">
        <f>IFERROR(INDEX('Watershed plans'!$I$12:$I$15,MATCH(37,'Watershed plans'!$AA$12:$AA$15,0)),"")</f>
        <v/>
      </c>
      <c r="G86" s="26">
        <f>IFERROR(INDEX('Watershed plans'!$Y$12:$Y$15,MATCH(37,'Watershed plans'!$AA$12:$AA$15,0)),"")</f>
        <v/>
      </c>
      <c r="H86" s="20">
        <f>IF(ISNUMBER(D86),D86-D85,"")</f>
        <v/>
      </c>
      <c r="I86" s="26">
        <f>IF(ISNUMBER(E86),E86-E85,"")</f>
        <v/>
      </c>
      <c r="J86" s="26">
        <f>IF(AND(ISNUMBER(H86),H86&lt;&gt;0),I86/H86,"")</f>
        <v/>
      </c>
      <c r="K86" s="15" t="inlineStr"/>
      <c r="L86" s="29" t="inlineStr"/>
    </row>
    <row r="87">
      <c r="A87" s="4" t="n">
        <v>38</v>
      </c>
      <c r="B87" s="6">
        <f>IFERROR(INDEX('Watershed plans'!$F$12:$F$15,MATCH(38,'Watershed plans'!$AA$12:$AA$15,0)),"")</f>
        <v/>
      </c>
      <c r="C87" s="10">
        <f>IFERROR(INDEX('Watershed plans'!$B$12:$B$15,MATCH(38,'Watershed plans'!$AA$12:$AA$15,0)),"")</f>
        <v/>
      </c>
      <c r="D87" s="20">
        <f>IFERROR(INDEX('Watershed plans'!$J$12:$J$15,MATCH(38,'Watershed plans'!$AA$12:$AA$15,0)),"")</f>
        <v/>
      </c>
      <c r="E87" s="26">
        <f>IFERROR(INDEX('Watershed plans'!$K$12:$K$15,MATCH(38,'Watershed plans'!$AA$12:$AA$15,0)),"")</f>
        <v/>
      </c>
      <c r="F87" s="25">
        <f>IFERROR(INDEX('Watershed plans'!$I$12:$I$15,MATCH(38,'Watershed plans'!$AA$12:$AA$15,0)),"")</f>
        <v/>
      </c>
      <c r="G87" s="26">
        <f>IFERROR(INDEX('Watershed plans'!$Y$12:$Y$15,MATCH(38,'Watershed plans'!$AA$12:$AA$15,0)),"")</f>
        <v/>
      </c>
      <c r="H87" s="20">
        <f>IF(ISNUMBER(D87),D87-D86,"")</f>
        <v/>
      </c>
      <c r="I87" s="26">
        <f>IF(ISNUMBER(E87),E87-E86,"")</f>
        <v/>
      </c>
      <c r="J87" s="26">
        <f>IF(AND(ISNUMBER(H87),H87&lt;&gt;0),I87/H87,"")</f>
        <v/>
      </c>
      <c r="K87" s="15" t="inlineStr"/>
      <c r="L87" s="29" t="inlineStr"/>
    </row>
    <row r="88">
      <c r="A88" s="4" t="n">
        <v>39</v>
      </c>
      <c r="B88" s="6">
        <f>IFERROR(INDEX('Watershed plans'!$F$12:$F$15,MATCH(39,'Watershed plans'!$AA$12:$AA$15,0)),"")</f>
        <v/>
      </c>
      <c r="C88" s="10">
        <f>IFERROR(INDEX('Watershed plans'!$B$12:$B$15,MATCH(39,'Watershed plans'!$AA$12:$AA$15,0)),"")</f>
        <v/>
      </c>
      <c r="D88" s="20">
        <f>IFERROR(INDEX('Watershed plans'!$J$12:$J$15,MATCH(39,'Watershed plans'!$AA$12:$AA$15,0)),"")</f>
        <v/>
      </c>
      <c r="E88" s="26">
        <f>IFERROR(INDEX('Watershed plans'!$K$12:$K$15,MATCH(39,'Watershed plans'!$AA$12:$AA$15,0)),"")</f>
        <v/>
      </c>
      <c r="F88" s="25">
        <f>IFERROR(INDEX('Watershed plans'!$I$12:$I$15,MATCH(39,'Watershed plans'!$AA$12:$AA$15,0)),"")</f>
        <v/>
      </c>
      <c r="G88" s="26">
        <f>IFERROR(INDEX('Watershed plans'!$Y$12:$Y$15,MATCH(39,'Watershed plans'!$AA$12:$AA$15,0)),"")</f>
        <v/>
      </c>
      <c r="H88" s="20">
        <f>IF(ISNUMBER(D88),D88-D87,"")</f>
        <v/>
      </c>
      <c r="I88" s="26">
        <f>IF(ISNUMBER(E88),E88-E87,"")</f>
        <v/>
      </c>
      <c r="J88" s="26">
        <f>IF(AND(ISNUMBER(H88),H88&lt;&gt;0),I88/H88,"")</f>
        <v/>
      </c>
      <c r="K88" s="15" t="inlineStr"/>
      <c r="L88" s="29" t="inlineStr"/>
    </row>
    <row r="89">
      <c r="A89" s="4" t="n">
        <v>40</v>
      </c>
      <c r="B89" s="6">
        <f>IFERROR(INDEX('Watershed plans'!$F$12:$F$15,MATCH(40,'Watershed plans'!$AA$12:$AA$15,0)),"")</f>
        <v/>
      </c>
      <c r="C89" s="10">
        <f>IFERROR(INDEX('Watershed plans'!$B$12:$B$15,MATCH(40,'Watershed plans'!$AA$12:$AA$15,0)),"")</f>
        <v/>
      </c>
      <c r="D89" s="20">
        <f>IFERROR(INDEX('Watershed plans'!$J$12:$J$15,MATCH(40,'Watershed plans'!$AA$12:$AA$15,0)),"")</f>
        <v/>
      </c>
      <c r="E89" s="26">
        <f>IFERROR(INDEX('Watershed plans'!$K$12:$K$15,MATCH(40,'Watershed plans'!$AA$12:$AA$15,0)),"")</f>
        <v/>
      </c>
      <c r="F89" s="25">
        <f>IFERROR(INDEX('Watershed plans'!$I$12:$I$15,MATCH(40,'Watershed plans'!$AA$12:$AA$15,0)),"")</f>
        <v/>
      </c>
      <c r="G89" s="26">
        <f>IFERROR(INDEX('Watershed plans'!$Y$12:$Y$15,MATCH(40,'Watershed plans'!$AA$12:$AA$15,0)),"")</f>
        <v/>
      </c>
      <c r="H89" s="20">
        <f>IF(ISNUMBER(D89),D89-D88,"")</f>
        <v/>
      </c>
      <c r="I89" s="26">
        <f>IF(ISNUMBER(E89),E89-E88,"")</f>
        <v/>
      </c>
      <c r="J89" s="26">
        <f>IF(AND(ISNUMBER(H89),H89&lt;&gt;0),I89/H89,"")</f>
        <v/>
      </c>
      <c r="K89" s="15" t="inlineStr"/>
      <c r="L89" s="29" t="inlineStr"/>
    </row>
    <row r="92">
      <c r="A92" s="7" t="inlineStr">
        <is>
          <t>Tentatively selected plan</t>
        </is>
      </c>
    </row>
    <row r="93">
      <c r="A93" s="4" t="inlineStr">
        <is>
          <t>Plan number</t>
        </is>
      </c>
      <c r="B93" s="14" t="n"/>
    </row>
    <row r="94">
      <c r="A94" s="4" t="inlineStr">
        <is>
          <t>Plan</t>
        </is>
      </c>
      <c r="B94" s="10">
        <f>IFERROR(INDEX('Watershed plans'!$B$12:$B$15,MATCH($B$93,'Watershed plans'!$F$12:$F$15,0)),"n/a")</f>
        <v/>
      </c>
    </row>
    <row r="95">
      <c r="A95" s="4" t="inlineStr">
        <is>
          <t>Lift (AAHU)</t>
        </is>
      </c>
      <c r="B95" s="20">
        <f>IFERROR(INDEX('Watershed plans'!$J$12:$J$15,MATCH($B$93,'Watershed plans'!$F$12:$F$15,0)),"n/a")</f>
        <v/>
      </c>
    </row>
    <row r="96">
      <c r="A96" s="4" t="inlineStr">
        <is>
          <t>Average annual cost</t>
        </is>
      </c>
      <c r="B96" s="26">
        <f>IFERROR(INDEX('Watershed plans'!$K$12:$K$15,MATCH($B$93,'Watershed plans'!$F$12:$F$15,0)),"n/a")</f>
        <v/>
      </c>
    </row>
    <row r="97">
      <c r="A97" s="4" t="inlineStr">
        <is>
          <t>Construction cost</t>
        </is>
      </c>
      <c r="B97" s="25">
        <f>IFERROR(INDEX('Watershed plans'!$I$12:$I$15,MATCH($B$93,'Watershed plans'!$F$12:$F$15,0)),"n/a")</f>
        <v/>
      </c>
    </row>
    <row r="98">
      <c r="A98" s="4" t="inlineStr">
        <is>
          <t>Unit cost</t>
        </is>
      </c>
      <c r="B98" s="26">
        <f>IFERROR(INDEX('Watershed plans'!$Y$12:$Y$15,MATCH($B$93,'Watershed plans'!$F$12:$F$15,0)),"n/a")</f>
        <v/>
      </c>
    </row>
    <row r="99">
      <c r="A99" s="4" t="inlineStr">
        <is>
          <t>In the final array</t>
        </is>
      </c>
      <c r="B99" s="10">
        <f>IFERROR(INDEX('Watershed plans'!$Z$12:$Z$15,MATCH($B$93,'Watershed plans'!$F$12:$F$15,0)),"n/a")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K50:L89">
    <cfRule type="expression" priority="1" dxfId="0" stopIfTrue="0">
      <formula>K50&lt;&gt;'snap Watershed summary'!K50</formula>
    </cfRule>
  </conditionalFormatting>
  <conditionalFormatting sqref="B93">
    <cfRule type="expression" priority="2" dxfId="0" stopIfTrue="0">
      <formula>B93&lt;&gt;'snap Watershed summary'!B93</formula>
    </cfRule>
  </conditionalFormatting>
  <dataValidations count="2">
    <dataValidation sqref="K51:K89" showDropDown="0" showInputMessage="0" showErrorMessage="0" allowBlank="1" type="list">
      <formula1>"Yes,No"</formula1>
    </dataValidation>
    <dataValidation sqref="B93" showDropDown="0" showInputMessage="0" showErrorMessage="0" allowBlank="1" type="list">
      <formula1>='Watershed summary'!$B$50:$B$89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  <row r="12">
      <c r="A12" s="7" t="inlineStr">
        <is>
          <t>Watershed planning set (valid plans)</t>
        </is>
      </c>
    </row>
    <row r="13">
      <c r="A13" s="12" t="inlineStr">
        <is>
          <t>Plan number</t>
        </is>
      </c>
      <c r="B13" s="12" t="inlineStr">
        <is>
          <t>Plan</t>
        </is>
      </c>
      <c r="C13" s="12" t="inlineStr">
        <is>
          <t>Output</t>
        </is>
      </c>
      <c r="D13" s="12" t="inlineStr">
        <is>
          <t>Cost</t>
        </is>
      </c>
    </row>
    <row r="14">
      <c r="A14" s="6">
        <f>'Watershed plans'!F12</f>
        <v/>
      </c>
      <c r="B14" s="10">
        <f>'Watershed plans'!B12</f>
        <v/>
      </c>
      <c r="C14" s="20">
        <f>IF('Watershed plans'!C12=1,'Watershed plans'!J12,"")</f>
        <v/>
      </c>
      <c r="D14" s="26">
        <f>IF('Watershed plans'!C12=1,'Watershed plans'!K12,"")</f>
        <v/>
      </c>
    </row>
    <row r="15">
      <c r="A15" s="6">
        <f>'Watershed plans'!F13</f>
        <v/>
      </c>
      <c r="B15" s="10">
        <f>'Watershed plans'!B13</f>
        <v/>
      </c>
      <c r="C15" s="20">
        <f>IF('Watershed plans'!C13=1,'Watershed plans'!J13,"")</f>
        <v/>
      </c>
      <c r="D15" s="26">
        <f>IF('Watershed plans'!C13=1,'Watershed plans'!K13,"")</f>
        <v/>
      </c>
    </row>
    <row r="16">
      <c r="A16" s="6">
        <f>'Watershed plans'!F14</f>
        <v/>
      </c>
      <c r="B16" s="10">
        <f>'Watershed plans'!B14</f>
        <v/>
      </c>
      <c r="C16" s="20">
        <f>IF('Watershed plans'!C14=1,'Watershed plans'!J14,"")</f>
        <v/>
      </c>
      <c r="D16" s="26">
        <f>IF('Watershed plans'!C14=1,'Watershed plans'!K14,"")</f>
        <v/>
      </c>
    </row>
    <row r="17">
      <c r="A17" s="6">
        <f>'Watershed plans'!F15</f>
        <v/>
      </c>
      <c r="B17" s="10">
        <f>'Watershed plans'!B15</f>
        <v/>
      </c>
      <c r="C17" s="20">
        <f>IF('Watershed plans'!C15=1,'Watershed plans'!J15,"")</f>
        <v/>
      </c>
      <c r="D17" s="26">
        <f>IF('Watershed plans'!C15=1,'Watershed plans'!K15,"")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style="8" min="1" max="1"/>
    <col width="13" customWidth="1" style="8" min="2" max="2"/>
    <col width="13" customWidth="1" style="8" min="3" max="3"/>
    <col width="13" customWidth="1" style="8" min="4" max="4"/>
    <col width="13" customWidth="1" style="8" min="5" max="5"/>
    <col width="13" customWidth="1" style="8" min="6" max="6"/>
    <col width="13" customWidth="1" style="8" min="7" max="7"/>
    <col width="13" customWidth="1" style="8" min="8" max="8"/>
    <col width="10" customWidth="1" style="8" min="11" max="11"/>
    <col width="13" customWidth="1" style="8" min="13" max="13"/>
    <col width="13" customWidth="1" style="8" min="14" max="14"/>
  </cols>
  <sheetData>
    <row r="1">
      <c r="A1" s="1" t="inlineStr">
        <is>
          <t>Charts: watershed cost-effectiveness and incremental cost</t>
        </is>
      </c>
    </row>
    <row r="2">
      <c r="A2" s="2" t="inlineStr">
        <is>
          <t>Built from the watershed plans sheet; they update with the inputs.</t>
        </is>
      </c>
    </row>
    <row r="30">
      <c r="A30" s="12" t="inlineStr">
        <is>
          <t>Other plans: lift</t>
        </is>
      </c>
      <c r="B30" s="12" t="inlineStr">
        <is>
          <t>Other plans: cost</t>
        </is>
      </c>
      <c r="C30" s="12" t="inlineStr">
        <is>
          <t>Frontier: lift</t>
        </is>
      </c>
      <c r="D30" s="12" t="inlineStr">
        <is>
          <t>Frontier: cost</t>
        </is>
      </c>
      <c r="E30" s="12" t="inlineStr">
        <is>
          <t>Best buys: lift</t>
        </is>
      </c>
      <c r="F30" s="12" t="inlineStr">
        <is>
          <t>Best buys: cost</t>
        </is>
      </c>
      <c r="G30" s="12" t="inlineStr">
        <is>
          <t>Step boxes: lift</t>
        </is>
      </c>
      <c r="H30" s="12" t="inlineStr">
        <is>
          <t>Step boxes: cost per unit</t>
        </is>
      </c>
      <c r="K30" s="12" t="inlineStr">
        <is>
          <t>(frontier order)</t>
        </is>
      </c>
      <c r="M30" s="12" t="inlineStr">
        <is>
          <t>TSP: lift</t>
        </is>
      </c>
      <c r="N30" s="12" t="inlineStr">
        <is>
          <t>TSP: cost</t>
        </is>
      </c>
    </row>
    <row r="31">
      <c r="A31" s="20">
        <f>IF(AND('Watershed plans'!C12=1,'Watershed plans'!N12&lt;&gt;1),'Watershed plans'!J12,NA())</f>
        <v/>
      </c>
      <c r="B31" s="25">
        <f>IF(AND('Watershed plans'!C12=1,'Watershed plans'!N12&lt;&gt;1),'Watershed plans'!K12,NA())</f>
        <v/>
      </c>
      <c r="C31" s="20">
        <f>IFERROR(INDEX('Watershed plans'!$J$12:$J$15,MATCH(1,$K$31:$K$34,0)),NA())</f>
        <v/>
      </c>
      <c r="D31" s="25">
        <f>IFERROR(INDEX('Watershed plans'!$K$12:$K$15,MATCH(1,$K$31:$K$34,0)),NA())</f>
        <v/>
      </c>
      <c r="E31" s="20">
        <f>IFERROR(INDEX('Watershed plans'!$J$12:$J$15,MATCH(1,'Watershed plans'!$S$12:$S$15,0)),NA())</f>
        <v/>
      </c>
      <c r="F31" s="25">
        <f>IFERROR(INDEX('Watershed plans'!$K$12:$K$15,MATCH(1,'Watershed plans'!$S$12:$S$15,0)),NA())</f>
        <v/>
      </c>
      <c r="G31" s="20">
        <f>E31</f>
        <v/>
      </c>
      <c r="H31" s="25">
        <f>IF(ISNUMBER(H32),0,NA())</f>
        <v/>
      </c>
      <c r="K31" s="10">
        <f>IF('Watershed plans'!N12=1,1+SUMPRODUCT('Watershed plans'!$N$12:$N$15*(('Watershed plans'!$G$12:$G$15&lt;'Watershed plans'!G12)+('Watershed plans'!$G$12:$G$15='Watershed plans'!G12)*('Watershed plans'!$A$12:$A$15&lt;'Watershed plans'!A12))),0)</f>
        <v/>
      </c>
      <c r="M31" s="20">
        <f>IFERROR(INDEX('Watershed plans'!$J$12:$J$15,MATCH('Watershed summary'!$B$93,'Watershed plans'!$F$12:$F$15,0)),NA())</f>
        <v/>
      </c>
      <c r="N31" s="25">
        <f>IFERROR(INDEX('Watershed plans'!$K$12:$K$15,MATCH('Watershed summary'!$B$93,'Watershed plans'!$F$12:$F$15,0)),NA())</f>
        <v/>
      </c>
    </row>
    <row r="32">
      <c r="A32" s="20">
        <f>IF(AND('Watershed plans'!C13=1,'Watershed plans'!N13&lt;&gt;1),'Watershed plans'!J13,NA())</f>
        <v/>
      </c>
      <c r="B32" s="25">
        <f>IF(AND('Watershed plans'!C13=1,'Watershed plans'!N13&lt;&gt;1),'Watershed plans'!K13,NA())</f>
        <v/>
      </c>
      <c r="C32" s="20">
        <f>IFERROR(INDEX('Watershed plans'!$J$12:$J$15,MATCH(2,$K$31:$K$34,0)),NA())</f>
        <v/>
      </c>
      <c r="D32" s="25">
        <f>IFERROR(INDEX('Watershed plans'!$K$12:$K$15,MATCH(2,$K$31:$K$34,0)),NA())</f>
        <v/>
      </c>
      <c r="E32" s="20">
        <f>IFERROR(INDEX('Watershed plans'!$J$12:$J$15,MATCH(2,'Watershed plans'!$S$12:$S$15,0)),NA())</f>
        <v/>
      </c>
      <c r="F32" s="25">
        <f>IFERROR(INDEX('Watershed plans'!$K$12:$K$15,MATCH(2,'Watershed plans'!$S$12:$S$15,0)),NA())</f>
        <v/>
      </c>
      <c r="G32" s="20">
        <f>E31</f>
        <v/>
      </c>
      <c r="H32" s="25">
        <f>IFERROR(INDEX('Watershed plans'!$X$12:$X$15,MATCH(2,'Watershed plans'!$S$12:$S$15,0)),NA())</f>
        <v/>
      </c>
      <c r="K32" s="10">
        <f>IF('Watershed plans'!N13=1,1+SUMPRODUCT('Watershed plans'!$N$12:$N$15*(('Watershed plans'!$G$12:$G$15&lt;'Watershed plans'!G13)+('Watershed plans'!$G$12:$G$15='Watershed plans'!G13)*('Watershed plans'!$A$12:$A$15&lt;'Watershed plans'!A13))),0)</f>
        <v/>
      </c>
    </row>
    <row r="33">
      <c r="A33" s="20">
        <f>IF(AND('Watershed plans'!C14=1,'Watershed plans'!N14&lt;&gt;1),'Watershed plans'!J14,NA())</f>
        <v/>
      </c>
      <c r="B33" s="25">
        <f>IF(AND('Watershed plans'!C14=1,'Watershed plans'!N14&lt;&gt;1),'Watershed plans'!K14,NA())</f>
        <v/>
      </c>
      <c r="C33" s="20">
        <f>IFERROR(INDEX('Watershed plans'!$J$12:$J$15,MATCH(3,$K$31:$K$34,0)),NA())</f>
        <v/>
      </c>
      <c r="D33" s="25">
        <f>IFERROR(INDEX('Watershed plans'!$K$12:$K$15,MATCH(3,$K$31:$K$34,0)),NA())</f>
        <v/>
      </c>
      <c r="E33" s="20">
        <f>IFERROR(INDEX('Watershed plans'!$J$12:$J$15,MATCH(3,'Watershed plans'!$S$12:$S$15,0)),NA())</f>
        <v/>
      </c>
      <c r="F33" s="25">
        <f>IFERROR(INDEX('Watershed plans'!$K$12:$K$15,MATCH(3,'Watershed plans'!$S$12:$S$15,0)),NA())</f>
        <v/>
      </c>
      <c r="G33" s="20">
        <f>E32</f>
        <v/>
      </c>
      <c r="H33" s="25">
        <f>H32</f>
        <v/>
      </c>
      <c r="K33" s="10">
        <f>IF('Watershed plans'!N14=1,1+SUMPRODUCT('Watershed plans'!$N$12:$N$15*(('Watershed plans'!$G$12:$G$15&lt;'Watershed plans'!G14)+('Watershed plans'!$G$12:$G$15='Watershed plans'!G14)*('Watershed plans'!$A$12:$A$15&lt;'Watershed plans'!A14))),0)</f>
        <v/>
      </c>
    </row>
    <row r="34">
      <c r="A34" s="20">
        <f>IF(AND('Watershed plans'!C15=1,'Watershed plans'!N15&lt;&gt;1),'Watershed plans'!J15,NA())</f>
        <v/>
      </c>
      <c r="B34" s="25">
        <f>IF(AND('Watershed plans'!C15=1,'Watershed plans'!N15&lt;&gt;1),'Watershed plans'!K15,NA())</f>
        <v/>
      </c>
      <c r="C34" s="20">
        <f>IFERROR(INDEX('Watershed plans'!$J$12:$J$15,MATCH(4,$K$31:$K$34,0)),NA())</f>
        <v/>
      </c>
      <c r="D34" s="25">
        <f>IFERROR(INDEX('Watershed plans'!$K$12:$K$15,MATCH(4,$K$31:$K$34,0)),NA())</f>
        <v/>
      </c>
      <c r="E34" s="20">
        <f>IFERROR(INDEX('Watershed plans'!$J$12:$J$15,MATCH(4,'Watershed plans'!$S$12:$S$15,0)),NA())</f>
        <v/>
      </c>
      <c r="F34" s="25">
        <f>IFERROR(INDEX('Watershed plans'!$K$12:$K$15,MATCH(4,'Watershed plans'!$S$12:$S$15,0)),NA())</f>
        <v/>
      </c>
      <c r="G34" s="20">
        <f>E32</f>
        <v/>
      </c>
      <c r="H34" s="25">
        <f>IF(ISNUMBER(H32),0,NA())</f>
        <v/>
      </c>
      <c r="K34" s="10">
        <f>IF('Watershed plans'!N15=1,1+SUMPRODUCT('Watershed plans'!$N$12:$N$15*(('Watershed plans'!$G$12:$G$15&lt;'Watershed plans'!G15)+('Watershed plans'!$G$12:$G$15='Watershed plans'!G15)*('Watershed plans'!$A$12:$A$15&lt;'Watershed plans'!A15))),0)</f>
        <v/>
      </c>
    </row>
    <row r="35">
      <c r="G35" s="20">
        <f>E32</f>
        <v/>
      </c>
      <c r="H35" s="25">
        <f>IF(ISNUMBER(H36),0,NA())</f>
        <v/>
      </c>
    </row>
    <row r="36">
      <c r="G36" s="20">
        <f>E32</f>
        <v/>
      </c>
      <c r="H36" s="25">
        <f>IFERROR(INDEX('Watershed plans'!$X$12:$X$15,MATCH(3,'Watershed plans'!$S$12:$S$15,0)),NA())</f>
        <v/>
      </c>
    </row>
    <row r="37">
      <c r="G37" s="20">
        <f>E33</f>
        <v/>
      </c>
      <c r="H37" s="25">
        <f>H36</f>
        <v/>
      </c>
    </row>
    <row r="38">
      <c r="G38" s="20">
        <f>E33</f>
        <v/>
      </c>
      <c r="H38" s="25">
        <f>IF(ISNUMBER(H36),0,NA())</f>
        <v/>
      </c>
    </row>
    <row r="39">
      <c r="G39" s="20">
        <f>E33</f>
        <v/>
      </c>
      <c r="H39" s="25">
        <f>IF(ISNUMBER(H40),0,NA())</f>
        <v/>
      </c>
    </row>
    <row r="40">
      <c r="G40" s="20">
        <f>E33</f>
        <v/>
      </c>
      <c r="H40" s="25">
        <f>IFERROR(INDEX('Watershed plans'!$X$12:$X$15,MATCH(4,'Watershed plans'!$S$12:$S$15,0)),NA())</f>
        <v/>
      </c>
    </row>
    <row r="41">
      <c r="G41" s="20">
        <f>E34</f>
        <v/>
      </c>
      <c r="H41" s="25">
        <f>H40</f>
        <v/>
      </c>
    </row>
    <row r="42">
      <c r="G42" s="20">
        <f>E34</f>
        <v/>
      </c>
      <c r="H42" s="25">
        <f>IF(ISNUMBER(H40),0,NA())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A2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N12:Z15"/>
  <sheetViews>
    <sheetView workbookViewId="0">
      <selection activeCell="A1" sqref="A1"/>
    </sheetView>
  </sheetViews>
  <sheetFormatPr baseColWidth="8" defaultRowHeight="15"/>
  <sheetData>
    <row r="12">
      <c r="N12" t="n">
        <v>1</v>
      </c>
      <c r="R12" t="n">
        <v>1</v>
      </c>
      <c r="Z12" t="n">
        <v>1</v>
      </c>
    </row>
    <row r="13">
      <c r="N13" t="n">
        <v>1</v>
      </c>
      <c r="R13" t="n">
        <v>1</v>
      </c>
      <c r="Z13" t="n">
        <v>1</v>
      </c>
    </row>
    <row r="14">
      <c r="N14" t="n">
        <v>1</v>
      </c>
      <c r="R14" t="n">
        <v>0</v>
      </c>
      <c r="Z14" t="n">
        <v>0</v>
      </c>
    </row>
    <row r="15">
      <c r="N15" t="n">
        <v>1</v>
      </c>
      <c r="R15" t="n">
        <v>1</v>
      </c>
      <c r="Z15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K50:L89"/>
  <sheetViews>
    <sheetView workbookViewId="0">
      <selection activeCell="A1" sqref="A1"/>
    </sheetView>
  </sheetViews>
  <sheetFormatPr baseColWidth="8" defaultRowHeight="15"/>
  <sheetData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management"}],"decisions":{"sites":{"A":{"alt_notes":{},"basis":null,"rationale":"","recommended_alt_id":"A2"}},"watershed":{"basis":null,"final_array":{},"steps":{},"tsp":null,"tsp_plan_type":"National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mixed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},"mode":"RECOMMENDED","rules":[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2","kind":"rec","path":["decisions","sites","A","recommended_alt_id"],"sheet":"Sites"},{"cell":"C6","exported":"B1","kind":"rec","path":["decisions","sites","B","recommended_alt_id"],"sheet":"Sites"},{"cell":"Z12","kind":"final","path":["@final",12],"sheet":"Watershed plans"},{"cell":"Z13","kind":"final","path":["@final",13],"sheet":"Watershed plans"},{"cell":"Z14","kind":"final","path":["@final",14],"sheet":"Watershed plans"},{"cell":"Z15","kind":"final","path":["@final",15],"sheet":"Watershed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summary"}],"liveWatershed":true,"planBits":[4,5],"planRowKeys":{"12":"","13":"B=B1","14":"A=A2","15":"A=A2;B=B1"},"planSites":["A","B"],"projectDigest":"1dfc6e2904e9","schemaVersion":3}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