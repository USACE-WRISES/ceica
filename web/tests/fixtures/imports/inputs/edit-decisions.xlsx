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Benefit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OMRR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Site CE-ICA" sheetId="7" state="visible" r:id="rId7"/>
    <sheet xmlns:r="http://schemas.openxmlformats.org/officeDocument/2006/relationships" name="Sites" sheetId="8" state="visible" r:id="rId8"/>
    <sheet xmlns:r="http://schemas.openxmlformats.org/officeDocument/2006/relationships" name="Watershed plans" sheetId="9" state="visible" r:id="rId9"/>
    <sheet xmlns:r="http://schemas.openxmlformats.org/officeDocument/2006/relationships" name="Watershed summary" sheetId="10" state="visible" r:id="rId10"/>
    <sheet xmlns:r="http://schemas.openxmlformats.org/officeDocument/2006/relationships" name="IWR input" sheetId="11" state="visible" r:id="rId11"/>
    <sheet xmlns:r="http://schemas.openxmlformats.org/officeDocument/2006/relationships" name="Charts" sheetId="12" state="visible" r:id="rId12"/>
    <sheet xmlns:r="http://schemas.openxmlformats.org/officeDocument/2006/relationships" name="snap Parameters" sheetId="13" state="veryHidden" r:id="rId13"/>
    <sheet xmlns:r="http://schemas.openxmlformats.org/officeDocument/2006/relationships" name="snap Benefits" sheetId="14" state="veryHidden" r:id="rId14"/>
    <sheet xmlns:r="http://schemas.openxmlformats.org/officeDocument/2006/relationships" name="snap Costs" sheetId="15" state="veryHidden" r:id="rId15"/>
    <sheet xmlns:r="http://schemas.openxmlformats.org/officeDocument/2006/relationships" name="snap OMRRR" sheetId="16" state="veryHidden" r:id="rId16"/>
    <sheet xmlns:r="http://schemas.openxmlformats.org/officeDocument/2006/relationships" name="snap Sites" sheetId="17" state="veryHidden" r:id="rId17"/>
    <sheet xmlns:r="http://schemas.openxmlformats.org/officeDocument/2006/relationships" name="snap Watershed plans" sheetId="18" state="veryHidden" r:id="rId18"/>
    <sheet xmlns:r="http://schemas.openxmlformats.org/officeDocument/2006/relationships" name="snap Watershed summary" sheetId="19" state="veryHidden" r:id="rId19"/>
    <sheet xmlns:r="http://schemas.openxmlformats.org/officeDocument/2006/relationships" name="snap Summary" sheetId="20" state="veryHidden" r:id="rId20"/>
    <sheet xmlns:r="http://schemas.openxmlformats.org/officeDocument/2006/relationships" name="snap Site CE-ICA" sheetId="21" state="veryHidden" r:id="rId21"/>
    <sheet xmlns:r="http://schemas.openxmlformats.org/officeDocument/2006/relationships" name="manifest" sheetId="22" state="veryHidden" r:id="rId22"/>
  </sheets>
  <definedNames>
    <definedName name="in_rate">Parameters!$B$4</definedName>
    <definedName name="in_poa">Parameters!$B$5</definedName>
    <definedName name="in_ppy">Parameters!$B$6</definedName>
    <definedName name="in_idc_method">Parameters!$B$7</definedName>
    <definedName name="in_timing">Parameters!$B$8</definedName>
    <definedName name="in_cost_dp">Parameters!$B$9</definedName>
    <definedName name="in_out_dp">Parameters!$B$10</definedName>
    <definedName name="calc_crf">Parameters!$B$11</definedName>
    <definedName name="out_status">'Read me'!$B$10</definedName>
    <definedName name="out_changed">'Read me'!$B$11</definedName>
    <definedName name="out_mismatch">'Read me'!$B$12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%"/>
    <numFmt numFmtId="165" formatCode="0.0000000000"/>
    <numFmt numFmtId="166" formatCode="0.##"/>
    <numFmt numFmtId="167" formatCode="0.0000"/>
    <numFmt numFmtId="168" formatCode="#,##0.000"/>
    <numFmt numFmtId="169" formatCode="&quot;$&quot;#,##0"/>
    <numFmt numFmtId="170" formatCode="&quot;$&quot;#,##0.00"/>
  </numFmts>
  <fonts count="5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  <fill>
      <patternFill patternType="solid">
        <fgColor rgb="00EDEDED"/>
        <bgColor rgb="00EDEDED"/>
      </patternFill>
    </fill>
    <fill>
      <patternFill patternType="solid">
        <fgColor rgb="00EEF3FB"/>
        <bgColor rgb="00EEF3FB"/>
      </patternFill>
    </fill>
    <fill>
      <patternFill patternType="solid">
        <fgColor rgb="00FFE08A"/>
        <bgColor rgb="00FFE08A"/>
      </patternFill>
    </fill>
  </fills>
  <borders count="6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  <border>
      <left/>
      <right/>
      <top style="thin">
        <color rgb="00B7C3D6"/>
      </top>
      <bottom/>
      <diagonal/>
    </border>
    <border>
      <left/>
      <right style="thin">
        <color rgb="00B7C3D6"/>
      </right>
      <top style="thin">
        <color rgb="00B7C3D6"/>
      </top>
      <bottom/>
      <diagonal/>
    </border>
    <border>
      <left/>
      <right/>
      <top style="thin">
        <color rgb="00B7C3D6"/>
      </top>
      <bottom style="thin">
        <color rgb="00B7C3D6"/>
      </bottom>
      <diagonal/>
    </border>
    <border>
      <left/>
      <right style="thin">
        <color rgb="00B7C3D6"/>
      </right>
      <top style="thin">
        <color rgb="00B7C3D6"/>
      </top>
      <bottom style="thin">
        <color rgb="00B7C3D6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3" fontId="0" fillId="4" borderId="1" pivotButton="0" quotePrefix="0" xfId="0"/>
    <xf numFmtId="0" fontId="4" fillId="0" borderId="0" pivotButton="0" quotePrefix="0" xfId="0"/>
    <xf numFmtId="0" fontId="0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applyProtection="1" pivotButton="0" quotePrefix="0" xfId="0">
      <protection locked="0" hidden="0"/>
    </xf>
    <xf numFmtId="3" fontId="0" fillId="3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165" fontId="4" fillId="4" borderId="1" pivotButton="0" quotePrefix="0" xfId="0"/>
    <xf numFmtId="166" fontId="0" fillId="3" borderId="1" applyProtection="1" pivotButton="0" quotePrefix="0" xfId="0">
      <protection locked="0" hidden="0"/>
    </xf>
    <xf numFmtId="166" fontId="4" fillId="5" borderId="1" applyAlignment="1" pivotButton="0" quotePrefix="0" xfId="0">
      <alignment horizontal="center" vertical="center" wrapText="1"/>
    </xf>
    <xf numFmtId="167" fontId="0" fillId="3" borderId="1" applyProtection="1" pivotButton="0" quotePrefix="0" xfId="0">
      <protection locked="0" hidden="0"/>
    </xf>
    <xf numFmtId="168" fontId="0" fillId="3" borderId="1" applyProtection="1" pivotButton="0" quotePrefix="0" xfId="0">
      <protection locked="0" hidden="0"/>
    </xf>
    <xf numFmtId="168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9" fontId="0" fillId="3" borderId="1" applyProtection="1" pivotButton="0" quotePrefix="0" xfId="0">
      <protection locked="0" hidden="0"/>
    </xf>
    <xf numFmtId="169" fontId="0" fillId="4" borderId="1" pivotButton="0" quotePrefix="0" xfId="0"/>
    <xf numFmtId="170" fontId="0" fillId="4" borderId="1" pivotButton="0" quotePrefix="0" xfId="0"/>
    <xf numFmtId="170" fontId="0" fillId="3" borderId="1" applyProtection="1" pivotButton="0" quotePrefix="0" xfId="0">
      <protection locked="0" hidden="0"/>
    </xf>
    <xf numFmtId="4" fontId="0" fillId="3" borderId="1" applyProtection="1" pivotButton="0" quotePrefix="0" xfId="0">
      <protection locked="0" hidden="0"/>
    </xf>
    <xf numFmtId="10" fontId="0" fillId="3" borderId="1" applyProtection="1" pivotButton="0" quotePrefix="0" xfId="0">
      <protection locked="0" hidden="0"/>
    </xf>
    <xf numFmtId="4" fontId="0" fillId="4" borderId="1" pivotButton="0" quotePrefix="0" xfId="0"/>
    <xf numFmtId="0" fontId="0" fillId="3" borderId="1" applyAlignment="1" applyProtection="1" pivotButton="0" quotePrefix="0" xfId="0">
      <alignment horizontal="left" vertical="top" wrapText="1"/>
      <protection locked="0" hidden="0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E08A"/>
          <bgColor rgb="00FFE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33415C"/>
                </a:solidFill>
              </a:defRPr>
            </a:pPr>
            <a:r>
              <a:rPr sz="1100" b="1">
                <a:solidFill>
                  <a:srgbClr val="33415C"/>
                </a:solidFill>
              </a:rPr>
              <a:t>Cost-effectiveness of watershed plans</a:t>
            </a:r>
          </a:p>
        </rich>
      </tx>
      <overlay val="0"/>
    </title>
    <plotArea>
      <scatterChart>
        <scatterStyle val="lineMarker"/>
        <varyColors val="0"/>
        <ser>
          <idx val="0"/>
          <order val="0"/>
          <tx>
            <v>Plan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7A8699"/>
                </a:solidFill>
                <a:prstDash val="solid"/>
              </a:ln>
            </spPr>
          </marker>
          <xVal>
            <numRef>
              <f>'Charts'!$A$31:$A$286</f>
            </numRef>
          </xVal>
          <yVal>
            <numRef>
              <f>'Charts'!$B$31:$B$286</f>
            </numRef>
          </yVal>
          <smooth val="0"/>
        </ser>
        <ser>
          <idx val="1"/>
          <order val="1"/>
          <tx>
            <v>Cost-effective frontier</v>
          </tx>
          <spPr>
            <a:ln xmlns:a="http://schemas.openxmlformats.org/drawingml/2006/main" w="25400">
              <a:solidFill>
                <a:srgbClr val="2F4B7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F4B7C"/>
              </a:solidFill>
              <a:ln xmlns:a="http://schemas.openxmlformats.org/drawingml/2006/main" w="9525">
                <a:solidFill>
                  <a:srgbClr val="2F4B7C"/>
                </a:solidFill>
                <a:prstDash val="solid"/>
              </a:ln>
            </spPr>
          </marker>
          <xVal>
            <numRef>
              <f>'Charts'!$C$31:$C$286</f>
            </numRef>
          </xVal>
          <yVal>
            <numRef>
              <f>'Charts'!$D$31:$D$286</f>
            </numRef>
          </yVal>
          <smooth val="0"/>
        </ser>
        <ser>
          <idx val="2"/>
          <order val="2"/>
          <tx>
            <v>Best buy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noFill xmlns:a="http://schemas.openxmlformats.org/drawingml/2006/main"/>
              <a:ln xmlns:a="http://schemas.openxmlformats.org/drawingml/2006/main" w="22225">
                <a:solidFill>
                  <a:srgbClr val="2F4B7C"/>
                </a:solidFill>
                <a:prstDash val="solid"/>
              </a:ln>
            </spPr>
          </marker>
          <xVal>
            <numRef>
              <f>'Charts'!$E$31:$E$286</f>
            </numRef>
          </xVal>
          <yVal>
            <numRef>
              <f>'Charts'!$F$31:$F$286</f>
            </numRef>
          </yVal>
          <smooth val="0"/>
        </ser>
        <ser>
          <idx val="3"/>
          <order val="3"/>
          <tx>
            <v>Tentatively selected plan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4"/>
            <spPr>
              <a:noFill xmlns:a="http://schemas.openxmlformats.org/drawingml/2006/main"/>
              <a:ln xmlns:a="http://schemas.openxmlformats.org/drawingml/2006/main" w="22225">
                <a:solidFill>
                  <a:srgbClr val="1A7F37"/>
                </a:solidFill>
                <a:prstDash val="solid"/>
              </a:ln>
            </spPr>
          </marker>
          <xVal>
            <numRef>
              <f>'Charts'!$M$31</f>
            </numRef>
          </xVal>
          <yVal>
            <numRef>
              <f>'Charts'!$N$31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Ecological lift (AAHU)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8EE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Average annual cost</a:t>
                </a:r>
              </a:p>
            </rich>
          </tx>
          <overlay val="0"/>
        </title>
        <numFmt formatCode="&quot;$&quot;#,##0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33415C"/>
              </a:solidFill>
            </a:defRPr>
          </a:pPr>
          <a:r>
            <a:t>None</a:t>
          </a:r>
          <a:endParaRPr sz="800" b="0">
            <a:solidFill>
              <a:srgbClr val="33415C"/>
            </a:solidFill>
          </a:endParaRPr>
        </a:p>
      </txPr>
    </legend>
    <plotVisOnly val="1"/>
    <dispBlanksAs val="gap"/>
  </chart>
  <spPr>
    <a:ln xmlns:a="http://schemas.openxmlformats.org/drawingml/2006/main" w="9525">
      <a:solidFill>
        <a:srgbClr val="E5E8EE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33415C"/>
                </a:solidFill>
              </a:defRPr>
            </a:pPr>
            <a:r>
              <a:rPr sz="1100" b="1">
                <a:solidFill>
                  <a:srgbClr val="33415C"/>
                </a:solidFill>
              </a:rPr>
              <a:t>Incremental cost of best-buy plans</a:t>
            </a:r>
          </a:p>
        </rich>
      </tx>
      <overlay val="0"/>
    </title>
    <plotArea>
      <scatterChart>
        <scatterStyle val="lineMarker"/>
        <varyColors val="0"/>
        <ser>
          <idx val="0"/>
          <order val="0"/>
          <tx>
            <v>Best-buy step</v>
          </tx>
          <spPr>
            <a:ln xmlns:a="http://schemas.openxmlformats.org/drawingml/2006/main" w="19050">
              <a:solidFill>
                <a:srgbClr val="2F4B7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'Charts'!$G$31:$G$191</f>
            </numRef>
          </xVal>
          <yVal>
            <numRef>
              <f>'Charts'!$H$31:$H$191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Ecological lift (AAHU)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8EE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Incremental cost per AAHU</a:t>
                </a:r>
              </a:p>
            </rich>
          </tx>
          <overlay val="0"/>
        </title>
        <numFmt formatCode="&quot;$&quot;#,##0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33415C"/>
              </a:solidFill>
            </a:defRPr>
          </a:pPr>
          <a:r>
            <a:t>None</a:t>
          </a:r>
          <a:endParaRPr sz="800" b="0">
            <a:solidFill>
              <a:srgbClr val="33415C"/>
            </a:solidFill>
          </a:endParaRPr>
        </a:p>
      </txPr>
    </legend>
    <plotVisOnly val="1"/>
    <dispBlanksAs val="gap"/>
  </chart>
  <spPr>
    <a:ln xmlns:a="http://schemas.openxmlformats.org/drawingml/2006/main" w="9525">
      <a:solidFill>
        <a:srgbClr val="E5E8EE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76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4" customWidth="1" style="8" min="1" max="1"/>
    <col width="70" customWidth="1" style="8" min="2" max="2"/>
  </cols>
  <sheetData>
    <row r="1">
      <c r="A1" s="1" t="inlineStr">
        <is>
          <t>Utoy Creek Section 206: CE/ICA calculator</t>
        </is>
      </c>
    </row>
    <row r="2">
      <c r="A2" s="2" t="inlineStr">
        <is>
          <t>Cost-effectiveness and incremental cost analysis, as live formulas.</t>
        </is>
      </c>
    </row>
    <row r="4">
      <c r="A4" s="3" t="inlineStr">
        <is>
          <t>Study</t>
        </is>
      </c>
      <c r="B4" s="4" t="inlineStr">
        <is>
          <t>Utoy Creek Section 206</t>
        </is>
      </c>
    </row>
    <row r="5">
      <c r="A5" s="3" t="inlineStr">
        <is>
          <t>Generated by</t>
        </is>
      </c>
      <c r="B5" s="4" t="inlineStr">
        <is>
          <t>CEICA 1.0.0 (engine 1)</t>
        </is>
      </c>
    </row>
    <row r="6">
      <c r="A6" s="3" t="inlineStr">
        <is>
          <t>Project digest</t>
        </is>
      </c>
      <c r="B6" s="4" t="inlineStr">
        <is>
          <t>082a32b302c7</t>
        </is>
      </c>
    </row>
    <row r="7">
      <c r="A7" s="3" t="inlineStr">
        <is>
          <t>Discount rate</t>
        </is>
      </c>
      <c r="B7" s="4" t="inlineStr">
        <is>
          <t>3 percent</t>
        </is>
      </c>
    </row>
    <row r="8">
      <c r="A8" s="3" t="inlineStr">
        <is>
          <t>Period of analysis</t>
        </is>
      </c>
      <c r="B8" s="4" t="inlineStr">
        <is>
          <t>50 years</t>
        </is>
      </c>
    </row>
    <row r="10">
      <c r="A10" s="3" t="inlineStr">
        <is>
          <t>Status</t>
        </is>
      </c>
      <c r="B10" s="5">
        <f>IF(B11=0,IF(B12=0,"Unchanged: matches the CEICA export","ERROR: results differ from the export although no input changed"),"Edited: "&amp;B11&amp;" input cells changed since the export")</f>
        <v/>
      </c>
    </row>
    <row r="11">
      <c r="A11" s="4" t="inlineStr">
        <is>
          <t>Inputs changed</t>
        </is>
      </c>
      <c r="B11" s="6">
        <f>(SUMPRODUCT(1*(Parameters!B4:B10&lt;&gt;'snap Parameters'!B4:B10))+SUMPRODUCT(1*(Parameters!B14:E14&lt;&gt;'snap Parameters'!B14:E14))+SUMPRODUCT(1*(Benefits!F6:M36&lt;&gt;'snap Benefits'!F6:M36))+SUMPRODUCT(1*(Benefits!F37:M67&lt;&gt;'snap Benefits'!F37:M67))+SUMPRODUCT(1*(Benefits!F68:M98&lt;&gt;'snap Benefits'!F68:M98))+SUMPRODUCT(1*(Costs!D6:G36&lt;&gt;'snap Costs'!D6:G36))+SUMPRODUCT(1*(Costs!L6:L36&lt;&gt;'snap Costs'!L6:L36))+SUMPRODUCT(1*(OMRRR!F5:M96&lt;&gt;'snap OMRRR'!F5:M96))+SUMPRODUCT(1*(Sites!C5:C12&lt;&gt;'snap Sites'!C5:C12))+SUMPRODUCT(1*('Watershed plans'!AF12:AF267&lt;&gt;'snap Watershed plans'!AF12:AF267))+SUMPRODUCT(1*('Watershed summary'!K50:L89&lt;&gt;'snap Watershed summary'!K50:L89))+SUMPRODUCT(1*('Watershed summary'!B93:B93&lt;&gt;'snap Watershed summary'!B93:B93)))</f>
        <v/>
      </c>
    </row>
    <row r="12">
      <c r="A12" s="4" t="inlineStr">
        <is>
          <t>Results that differ from the export</t>
        </is>
      </c>
      <c r="B12" s="6">
        <f>(SUMPRODUCT(1*(ABS(Summary!G5:G35-'snap Summary'!G5:G35)&gt;1e-06))+SUMPRODUCT(1*(ABS(Summary!L5:L35-'snap Summary'!L5:L35)&gt;0.0001))+SUMPRODUCT(1*('Site CE-ICA'!L6:L9&lt;&gt;'snap Site CE-ICA'!L6:L9))+SUMPRODUCT(1*('Site CE-ICA'!P6:P9&lt;&gt;'snap Site CE-ICA'!P6:P9))+SUMPRODUCT(1*('Site CE-ICA'!L12:L15&lt;&gt;'snap Site CE-ICA'!L12:L15))+SUMPRODUCT(1*('Site CE-ICA'!P12:P15&lt;&gt;'snap Site CE-ICA'!P12:P15))+SUMPRODUCT(1*('Site CE-ICA'!L18:L21&lt;&gt;'snap Site CE-ICA'!L18:L21))+SUMPRODUCT(1*('Site CE-ICA'!P18:P21&lt;&gt;'snap Site CE-ICA'!P18:P21))+SUMPRODUCT(1*('Site CE-ICA'!L24:L27&lt;&gt;'snap Site CE-ICA'!L24:L27))+SUMPRODUCT(1*('Site CE-ICA'!P24:P27&lt;&gt;'snap Site CE-ICA'!P24:P27))+SUMPRODUCT(1*('Site CE-ICA'!L30:L33&lt;&gt;'snap Site CE-ICA'!L30:L33))+SUMPRODUCT(1*('Site CE-ICA'!P30:P33&lt;&gt;'snap Site CE-ICA'!P30:P33))+SUMPRODUCT(1*('Site CE-ICA'!L36:L39&lt;&gt;'snap Site CE-ICA'!L36:L39))+SUMPRODUCT(1*('Site CE-ICA'!P36:P39&lt;&gt;'snap Site CE-ICA'!P36:P39))+SUMPRODUCT(1*('Site CE-ICA'!L42:L45&lt;&gt;'snap Site CE-ICA'!L42:L45))+SUMPRODUCT(1*('Site CE-ICA'!P42:P45&lt;&gt;'snap Site CE-ICA'!P42:P45))+SUMPRODUCT(1*('Site CE-ICA'!L48:L50&lt;&gt;'snap Site CE-ICA'!L48:L50))+SUMPRODUCT(1*('Site CE-ICA'!P48:P50&lt;&gt;'snap Site CE-ICA'!P48:P50))+SUMPRODUCT(1*('Watershed plans'!T12:T267&lt;&gt;'snap Watershed plans'!T12:T267))+SUMPRODUCT(1*('Watershed plans'!X12:X267&lt;&gt;'snap Watershed plans'!X12:X267)))</f>
        <v/>
      </c>
    </row>
    <row r="14">
      <c r="A14" s="7" t="inlineStr">
        <is>
          <t>How to use</t>
        </is>
      </c>
    </row>
    <row r="15">
      <c r="A15" t="inlineStr">
        <is>
          <t>- Orange cells are inputs; grey cells are formulas. Sheets are protected (password 'ceica') only to prevent accidental edits.</t>
        </is>
      </c>
    </row>
    <row r="16">
      <c r="A16" t="inlineStr">
        <is>
          <t>- Change any orange cell: annualization, site CE/ICA, the watershed plans and the summary update. Changed inputs turn yellow.</t>
        </is>
      </c>
    </row>
    <row r="17">
      <c r="A17" t="inlineStr">
        <is>
          <t>- To add sites, alternatives or years, make the change in CEICA and export again.</t>
        </is>
      </c>
    </row>
    <row r="18">
      <c r="A18" t="inlineStr">
        <is>
          <t>- Import this workbook in CEICA to bring your changes back into the project.</t>
        </is>
      </c>
    </row>
    <row r="20">
      <c r="A20" s="7" t="inlineStr">
        <is>
          <t>Legend</t>
        </is>
      </c>
    </row>
    <row r="21">
      <c r="A21" s="9" t="inlineStr">
        <is>
          <t>Input</t>
        </is>
      </c>
    </row>
    <row r="22">
      <c r="A22" s="10" t="inlineStr">
        <is>
          <t>Formula</t>
        </is>
      </c>
    </row>
    <row r="23">
      <c r="A23" s="11" t="inlineStr">
        <is>
          <t>Changed since export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62" customWidth="1" style="8" min="1" max="1"/>
    <col width="18" customWidth="1" style="8" min="2" max="2"/>
  </cols>
  <sheetData>
    <row r="1">
      <c r="A1" s="1" t="inlineStr">
        <is>
          <t>Parameters</t>
        </is>
      </c>
    </row>
    <row r="2">
      <c r="A2" s="2" t="inlineStr">
        <is>
          <t>Economics and conventions. Orange cells are inputs.</t>
        </is>
      </c>
    </row>
    <row r="3">
      <c r="A3" s="12" t="inlineStr">
        <is>
          <t>Parameter</t>
        </is>
      </c>
      <c r="B3" s="12" t="inlineStr">
        <is>
          <t>Value</t>
        </is>
      </c>
    </row>
    <row r="4">
      <c r="A4" s="4" t="inlineStr">
        <is>
          <t>Discount rate</t>
        </is>
      </c>
      <c r="B4" s="13" t="n">
        <v>0.03</v>
      </c>
    </row>
    <row r="5">
      <c r="A5" s="4" t="inlineStr">
        <is>
          <t>Period of analysis (years)</t>
        </is>
      </c>
      <c r="B5" s="14" t="n">
        <v>50</v>
      </c>
    </row>
    <row r="6">
      <c r="A6" s="4" t="inlineStr">
        <is>
          <t>Interest during construction: periods per year</t>
        </is>
      </c>
      <c r="B6" s="14" t="n">
        <v>12</v>
      </c>
    </row>
    <row r="7">
      <c r="A7" s="4" t="inlineStr">
        <is>
          <t>Interest during construction: spending in each period (END, MIDDLE or START)</t>
        </is>
      </c>
      <c r="B7" s="15" t="inlineStr">
        <is>
          <t>END</t>
        </is>
      </c>
    </row>
    <row r="8">
      <c r="A8" s="4" t="inlineStr">
        <is>
          <t>OMRRR discounting (END_OF_YEAR or MID_YEAR)</t>
        </is>
      </c>
      <c r="B8" s="15" t="inlineStr">
        <is>
          <t>END_OF_YEAR</t>
        </is>
      </c>
    </row>
    <row r="9">
      <c r="A9" s="4" t="inlineStr">
        <is>
          <t>Cost decimals kept for CE/ICA</t>
        </is>
      </c>
      <c r="B9" s="14" t="n">
        <v>4</v>
      </c>
    </row>
    <row r="10">
      <c r="A10" s="4" t="inlineStr">
        <is>
          <t>Output decimals kept for CE/ICA</t>
        </is>
      </c>
      <c r="B10" s="14" t="n">
        <v>6</v>
      </c>
    </row>
    <row r="11">
      <c r="A11" s="3" t="inlineStr">
        <is>
          <t>Capital recovery factor</t>
        </is>
      </c>
      <c r="B11" s="16">
        <f>IF(in_rate=0,1/in_poa,in_rate*(1+in_rate)^in_poa/((1+in_rate)^in_poa-1))</f>
        <v/>
      </c>
    </row>
    <row r="13">
      <c r="A13" s="12" t="inlineStr">
        <is>
          <t>Target years</t>
        </is>
      </c>
      <c r="B13" s="12" t="inlineStr">
        <is>
          <t>Year 1</t>
        </is>
      </c>
      <c r="C13" s="12" t="inlineStr">
        <is>
          <t>Year 2</t>
        </is>
      </c>
      <c r="D13" s="12" t="inlineStr">
        <is>
          <t>Year 3</t>
        </is>
      </c>
      <c r="E13" s="12" t="inlineStr">
        <is>
          <t>Year 4</t>
        </is>
      </c>
    </row>
    <row r="14">
      <c r="A14" s="4" t="inlineStr">
        <is>
          <t>Years (first to last)</t>
        </is>
      </c>
      <c r="B14" s="17" t="n">
        <v>0</v>
      </c>
      <c r="C14" s="17" t="n">
        <v>2</v>
      </c>
      <c r="D14" s="17" t="n">
        <v>10</v>
      </c>
      <c r="E14" s="17" t="n">
        <v>50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B4:B10">
    <cfRule type="expression" priority="1" dxfId="0" stopIfTrue="0">
      <formula>B4&lt;&gt;'snap Parameters'!B4</formula>
    </cfRule>
  </conditionalFormatting>
  <conditionalFormatting sqref="B14:E14">
    <cfRule type="expression" priority="2" dxfId="0" stopIfTrue="0">
      <formula>B14&lt;&gt;'snap Parameters'!B14</formula>
    </cfRule>
  </conditionalFormatting>
  <dataValidations count="2">
    <dataValidation sqref="B7" showDropDown="0" showInputMessage="0" showErrorMessage="0" allowBlank="0" type="list">
      <formula1>"END,MIDDLE,START"</formula1>
    </dataValidation>
    <dataValidation sqref="B8" showDropDown="0" showInputMessage="0" showErrorMessage="0" allowBlank="0" type="list">
      <formula1>"END_OF_YEAR,MID_YEAR"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8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2" customWidth="1" style="8" min="4" max="4"/>
    <col width="18" customWidth="1" style="8" min="5" max="5"/>
    <col width="11" customWidth="1" style="8" min="6" max="6"/>
    <col width="11" customWidth="1" style="8" min="7" max="7"/>
    <col width="11" customWidth="1" style="8" min="8" max="8"/>
    <col width="11" customWidth="1" style="8" min="9" max="9"/>
    <col width="11" customWidth="1" style="8" min="10" max="10"/>
    <col width="11" customWidth="1" style="8" min="11" max="11"/>
    <col width="11" customWidth="1" style="8" min="12" max="12"/>
    <col width="11" customWidth="1" style="8" min="13" max="13"/>
    <col width="11" customWidth="1" style="8" min="14" max="14"/>
    <col width="11" customWidth="1" style="8" min="15" max="15"/>
    <col width="11" customWidth="1" style="8" min="16" max="16"/>
    <col width="11" customWidth="1" style="8" min="17" max="17"/>
    <col width="14" customWidth="1" style="8" min="18" max="18"/>
  </cols>
  <sheetData>
    <row r="1">
      <c r="A1" s="1" t="inlineStr">
        <is>
          <t>Benefits: habitat units by module</t>
        </is>
      </c>
    </row>
    <row r="2">
      <c r="A2" s="2" t="inlineStr">
        <is>
          <t>One row per module, site and alternative; the Summary adds the modules' averages. Riparian, left bank: index x quantity at each target year; Riparian, right bank: index x quantity at each target year; Instream: index x quantity at each target year. Averages are the area under straight lines between target years.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Module</t>
        </is>
      </c>
      <c r="E4" s="12" t="inlineStr">
        <is>
          <t>Method</t>
        </is>
      </c>
      <c r="F4" s="12" t="inlineStr">
        <is>
          <t>Index (0 to 1)</t>
        </is>
      </c>
      <c r="G4" s="32" t="n"/>
      <c r="H4" s="32" t="n"/>
      <c r="I4" s="33" t="n"/>
      <c r="J4" s="12" t="inlineStr">
        <is>
          <t>Quantity</t>
        </is>
      </c>
      <c r="K4" s="32" t="n"/>
      <c r="L4" s="32" t="n"/>
      <c r="M4" s="33" t="n"/>
      <c r="N4" s="12" t="inlineStr">
        <is>
          <t>Habitat units (HU)</t>
        </is>
      </c>
      <c r="O4" s="32" t="n"/>
      <c r="P4" s="32" t="n"/>
      <c r="Q4" s="33" t="n"/>
      <c r="R4" s="12" t="inlineStr">
        <is>
          <t>Average (AAHU)</t>
        </is>
      </c>
    </row>
    <row r="5">
      <c r="A5" s="12" t="inlineStr"/>
      <c r="B5" s="12" t="inlineStr"/>
      <c r="C5" s="12" t="inlineStr"/>
      <c r="D5" s="12" t="inlineStr"/>
      <c r="E5" s="12" t="inlineStr"/>
      <c r="F5" s="18">
        <f>Parameters!$B$14</f>
        <v/>
      </c>
      <c r="G5" s="18">
        <f>Parameters!$C$14</f>
        <v/>
      </c>
      <c r="H5" s="18">
        <f>Parameters!$D$14</f>
        <v/>
      </c>
      <c r="I5" s="18">
        <f>Parameters!$E$14</f>
        <v/>
      </c>
      <c r="J5" s="18">
        <f>Parameters!$B$14</f>
        <v/>
      </c>
      <c r="K5" s="18">
        <f>Parameters!$C$14</f>
        <v/>
      </c>
      <c r="L5" s="18">
        <f>Parameters!$D$14</f>
        <v/>
      </c>
      <c r="M5" s="18">
        <f>Parameters!$E$14</f>
        <v/>
      </c>
      <c r="N5" s="18">
        <f>Parameters!$B$14</f>
        <v/>
      </c>
      <c r="O5" s="18">
        <f>Parameters!$C$14</f>
        <v/>
      </c>
      <c r="P5" s="18">
        <f>Parameters!$D$14</f>
        <v/>
      </c>
      <c r="Q5" s="18">
        <f>Parameters!$E$14</f>
        <v/>
      </c>
      <c r="R5" s="12" t="inlineStr"/>
    </row>
    <row r="6">
      <c r="A6" s="10">
        <f>B6&amp;"|"&amp;C6</f>
        <v/>
      </c>
      <c r="B6" s="4" t="inlineStr">
        <is>
          <t>17F2M</t>
        </is>
      </c>
      <c r="C6" s="4" t="inlineStr">
        <is>
          <t>FWOP</t>
        </is>
      </c>
      <c r="D6" s="4" t="inlineStr">
        <is>
          <t>Riparian, left bank</t>
        </is>
      </c>
      <c r="E6" s="4" t="inlineStr">
        <is>
          <t>Index x quantity</t>
        </is>
      </c>
      <c r="F6" s="19" t="n">
        <v>0.07111111111111111</v>
      </c>
      <c r="G6" s="19" t="n">
        <v>0.07111111111111111</v>
      </c>
      <c r="H6" s="19" t="n">
        <v>0.07111111111111111</v>
      </c>
      <c r="I6" s="19" t="n">
        <v>0.07111111111111111</v>
      </c>
      <c r="J6" s="20" t="n">
        <v>0</v>
      </c>
      <c r="K6" s="20" t="n">
        <v>0</v>
      </c>
      <c r="L6" s="20" t="n">
        <v>0</v>
      </c>
      <c r="M6" s="20" t="n">
        <v>0</v>
      </c>
      <c r="N6" s="21">
        <f>F6*J6</f>
        <v/>
      </c>
      <c r="O6" s="21">
        <f>G6*K6</f>
        <v/>
      </c>
      <c r="P6" s="21">
        <f>H6*L6</f>
        <v/>
      </c>
      <c r="Q6" s="21">
        <f>I6*M6</f>
        <v/>
      </c>
      <c r="R6" s="21">
        <f>SUMPRODUCT($O$5:$Q$5-$N$5:$P$5,(O6:Q6+N6:P6)/2)/($Q$5-$N$5)</f>
        <v/>
      </c>
    </row>
    <row r="7">
      <c r="A7" s="10">
        <f>B7&amp;"|"&amp;C7</f>
        <v/>
      </c>
      <c r="B7" s="4" t="inlineStr">
        <is>
          <t>17F2M</t>
        </is>
      </c>
      <c r="C7" s="4" t="inlineStr">
        <is>
          <t>Alternative1</t>
        </is>
      </c>
      <c r="D7" s="4" t="inlineStr">
        <is>
          <t>Riparian, left bank</t>
        </is>
      </c>
      <c r="E7" s="4" t="inlineStr">
        <is>
          <t>Index x quantity</t>
        </is>
      </c>
      <c r="F7" s="19" t="n">
        <v>0.07111111111111111</v>
      </c>
      <c r="G7" s="19" t="n">
        <v>0.7333333333333333</v>
      </c>
      <c r="H7" s="19" t="n">
        <v>0.7955555555555556</v>
      </c>
      <c r="I7" s="19" t="n">
        <v>0.8355555555555556</v>
      </c>
      <c r="J7" s="20" t="n">
        <v>0</v>
      </c>
      <c r="K7" s="20" t="n">
        <v>1.080693297</v>
      </c>
      <c r="L7" s="20" t="n">
        <v>1.080693297</v>
      </c>
      <c r="M7" s="20" t="n">
        <v>1.080693297</v>
      </c>
      <c r="N7" s="21">
        <f>F7*J7</f>
        <v/>
      </c>
      <c r="O7" s="21">
        <f>G7*K7</f>
        <v/>
      </c>
      <c r="P7" s="21">
        <f>H7*L7</f>
        <v/>
      </c>
      <c r="Q7" s="21">
        <f>I7*M7</f>
        <v/>
      </c>
      <c r="R7" s="21">
        <f>SUMPRODUCT($O$5:$Q$5-$N$5:$P$5,(O7:Q7+N7:P7)/2)/($Q$5-$N$5)</f>
        <v/>
      </c>
    </row>
    <row r="8">
      <c r="A8" s="10">
        <f>B8&amp;"|"&amp;C8</f>
        <v/>
      </c>
      <c r="B8" s="4" t="inlineStr">
        <is>
          <t>17F2M</t>
        </is>
      </c>
      <c r="C8" s="4" t="inlineStr">
        <is>
          <t>Alternative2</t>
        </is>
      </c>
      <c r="D8" s="4" t="inlineStr">
        <is>
          <t>Riparian, left bank</t>
        </is>
      </c>
      <c r="E8" s="4" t="inlineStr">
        <is>
          <t>Index x quantity</t>
        </is>
      </c>
      <c r="F8" s="19" t="n">
        <v>0.07111111111111111</v>
      </c>
      <c r="G8" s="19" t="n">
        <v>0.6666666666666666</v>
      </c>
      <c r="H8" s="19" t="n">
        <v>0.7777777777777778</v>
      </c>
      <c r="I8" s="19" t="n">
        <v>0.7777777777777778</v>
      </c>
      <c r="J8" s="20" t="n">
        <v>0</v>
      </c>
      <c r="K8" s="20" t="n">
        <v>0.389049587</v>
      </c>
      <c r="L8" s="20" t="n">
        <v>0.389049587</v>
      </c>
      <c r="M8" s="20" t="n">
        <v>0.389049587</v>
      </c>
      <c r="N8" s="21">
        <f>F8*J8</f>
        <v/>
      </c>
      <c r="O8" s="21">
        <f>G8*K8</f>
        <v/>
      </c>
      <c r="P8" s="21">
        <f>H8*L8</f>
        <v/>
      </c>
      <c r="Q8" s="21">
        <f>I8*M8</f>
        <v/>
      </c>
      <c r="R8" s="21">
        <f>SUMPRODUCT($O$5:$Q$5-$N$5:$P$5,(O8:Q8+N8:P8)/2)/($Q$5-$N$5)</f>
        <v/>
      </c>
    </row>
    <row r="9">
      <c r="A9" s="10">
        <f>B9&amp;"|"&amp;C9</f>
        <v/>
      </c>
      <c r="B9" s="4" t="inlineStr">
        <is>
          <t>17F2M</t>
        </is>
      </c>
      <c r="C9" s="4" t="inlineStr">
        <is>
          <t>Alternative3</t>
        </is>
      </c>
      <c r="D9" s="4" t="inlineStr">
        <is>
          <t>Riparian, left bank</t>
        </is>
      </c>
      <c r="E9" s="4" t="inlineStr">
        <is>
          <t>Index x quantity</t>
        </is>
      </c>
      <c r="F9" s="19" t="n">
        <v>0.07111111111111111</v>
      </c>
      <c r="G9" s="19" t="n">
        <v>0.7333333333333333</v>
      </c>
      <c r="H9" s="19" t="n">
        <v>0.7955555555555556</v>
      </c>
      <c r="I9" s="19" t="n">
        <v>0.8355555555555556</v>
      </c>
      <c r="J9" s="20" t="n">
        <v>0</v>
      </c>
      <c r="K9" s="20" t="n">
        <v>2.67231405</v>
      </c>
      <c r="L9" s="20" t="n">
        <v>2.67231405</v>
      </c>
      <c r="M9" s="20" t="n">
        <v>2.67231405</v>
      </c>
      <c r="N9" s="21">
        <f>F9*J9</f>
        <v/>
      </c>
      <c r="O9" s="21">
        <f>G9*K9</f>
        <v/>
      </c>
      <c r="P9" s="21">
        <f>H9*L9</f>
        <v/>
      </c>
      <c r="Q9" s="21">
        <f>I9*M9</f>
        <v/>
      </c>
      <c r="R9" s="21">
        <f>SUMPRODUCT($O$5:$Q$5-$N$5:$P$5,(O9:Q9+N9:P9)/2)/($Q$5-$N$5)</f>
        <v/>
      </c>
    </row>
    <row r="10">
      <c r="A10" s="10">
        <f>B10&amp;"|"&amp;C10</f>
        <v/>
      </c>
      <c r="B10" s="4" t="inlineStr">
        <is>
          <t>17D2E</t>
        </is>
      </c>
      <c r="C10" s="4" t="inlineStr">
        <is>
          <t>FWOP</t>
        </is>
      </c>
      <c r="D10" s="4" t="inlineStr">
        <is>
          <t>Riparian, left bank</t>
        </is>
      </c>
      <c r="E10" s="4" t="inlineStr">
        <is>
          <t>Index x quantity</t>
        </is>
      </c>
      <c r="F10" s="19" t="n">
        <v>0.3022222222222222</v>
      </c>
      <c r="G10" s="19" t="n">
        <v>0.3022222222222222</v>
      </c>
      <c r="H10" s="19" t="n">
        <v>0.3022222222222222</v>
      </c>
      <c r="I10" s="19" t="n">
        <v>0.3022222222222222</v>
      </c>
      <c r="J10" s="20" t="n">
        <v>6.633146182</v>
      </c>
      <c r="K10" s="20" t="n">
        <v>6.633146182</v>
      </c>
      <c r="L10" s="20" t="n">
        <v>6.633146182</v>
      </c>
      <c r="M10" s="20" t="n">
        <v>6.633146182</v>
      </c>
      <c r="N10" s="21">
        <f>F10*J10</f>
        <v/>
      </c>
      <c r="O10" s="21">
        <f>G10*K10</f>
        <v/>
      </c>
      <c r="P10" s="21">
        <f>H10*L10</f>
        <v/>
      </c>
      <c r="Q10" s="21">
        <f>I10*M10</f>
        <v/>
      </c>
      <c r="R10" s="21">
        <f>SUMPRODUCT($O$5:$Q$5-$N$5:$P$5,(O10:Q10+N10:P10)/2)/($Q$5-$N$5)</f>
        <v/>
      </c>
    </row>
    <row r="11">
      <c r="A11" s="10">
        <f>B11&amp;"|"&amp;C11</f>
        <v/>
      </c>
      <c r="B11" s="4" t="inlineStr">
        <is>
          <t>17D2E</t>
        </is>
      </c>
      <c r="C11" s="4" t="inlineStr">
        <is>
          <t>Alternative1</t>
        </is>
      </c>
      <c r="D11" s="4" t="inlineStr">
        <is>
          <t>Riparian, left bank</t>
        </is>
      </c>
      <c r="E11" s="4" t="inlineStr">
        <is>
          <t>Index x quantity</t>
        </is>
      </c>
      <c r="F11" s="19" t="n">
        <v>0.3022222222222222</v>
      </c>
      <c r="G11" s="19" t="n">
        <v>0.8088888888888889</v>
      </c>
      <c r="H11" s="19" t="n">
        <v>0.9066666666666666</v>
      </c>
      <c r="I11" s="19" t="n">
        <v>0.8800000000000002</v>
      </c>
      <c r="J11" s="20" t="n">
        <v>6.633146182</v>
      </c>
      <c r="K11" s="20" t="n">
        <v>10.87132341</v>
      </c>
      <c r="L11" s="20" t="n">
        <v>10.87132341</v>
      </c>
      <c r="M11" s="20" t="n">
        <v>10.87132341</v>
      </c>
      <c r="N11" s="21">
        <f>F11*J11</f>
        <v/>
      </c>
      <c r="O11" s="21">
        <f>G11*K11</f>
        <v/>
      </c>
      <c r="P11" s="21">
        <f>H11*L11</f>
        <v/>
      </c>
      <c r="Q11" s="21">
        <f>I11*M11</f>
        <v/>
      </c>
      <c r="R11" s="21">
        <f>SUMPRODUCT($O$5:$Q$5-$N$5:$P$5,(O11:Q11+N11:P11)/2)/($Q$5-$N$5)</f>
        <v/>
      </c>
    </row>
    <row r="12">
      <c r="A12" s="10">
        <f>B12&amp;"|"&amp;C12</f>
        <v/>
      </c>
      <c r="B12" s="4" t="inlineStr">
        <is>
          <t>17D2E</t>
        </is>
      </c>
      <c r="C12" s="4" t="inlineStr">
        <is>
          <t>Alternative2</t>
        </is>
      </c>
      <c r="D12" s="4" t="inlineStr">
        <is>
          <t>Riparian, left bank</t>
        </is>
      </c>
      <c r="E12" s="4" t="inlineStr">
        <is>
          <t>Index x quantity</t>
        </is>
      </c>
      <c r="F12" s="19" t="n">
        <v>0.3022222222222222</v>
      </c>
      <c r="G12" s="19" t="n">
        <v>0.7377777777777778</v>
      </c>
      <c r="H12" s="19" t="n">
        <v>0.8088888888888889</v>
      </c>
      <c r="I12" s="19" t="n">
        <v>0.831111111111111</v>
      </c>
      <c r="J12" s="20" t="n">
        <v>6.633146182</v>
      </c>
      <c r="K12" s="20" t="n">
        <v>8.240125062000001</v>
      </c>
      <c r="L12" s="20" t="n">
        <v>8.240125062000001</v>
      </c>
      <c r="M12" s="20" t="n">
        <v>8.240125062000001</v>
      </c>
      <c r="N12" s="21">
        <f>F12*J12</f>
        <v/>
      </c>
      <c r="O12" s="21">
        <f>G12*K12</f>
        <v/>
      </c>
      <c r="P12" s="21">
        <f>H12*L12</f>
        <v/>
      </c>
      <c r="Q12" s="21">
        <f>I12*M12</f>
        <v/>
      </c>
      <c r="R12" s="21">
        <f>SUMPRODUCT($O$5:$Q$5-$N$5:$P$5,(O12:Q12+N12:P12)/2)/($Q$5-$N$5)</f>
        <v/>
      </c>
    </row>
    <row r="13">
      <c r="A13" s="10">
        <f>B13&amp;"|"&amp;C13</f>
        <v/>
      </c>
      <c r="B13" s="4" t="inlineStr">
        <is>
          <t>17D2E</t>
        </is>
      </c>
      <c r="C13" s="4" t="inlineStr">
        <is>
          <t>Alternative3</t>
        </is>
      </c>
      <c r="D13" s="4" t="inlineStr">
        <is>
          <t>Riparian, left bank</t>
        </is>
      </c>
      <c r="E13" s="4" t="inlineStr">
        <is>
          <t>Index x quantity</t>
        </is>
      </c>
      <c r="F13" s="19" t="n">
        <v>0.3022222222222222</v>
      </c>
      <c r="G13" s="19" t="n">
        <v>0.611111111111111</v>
      </c>
      <c r="H13" s="19" t="n">
        <v>0.6911111111111111</v>
      </c>
      <c r="I13" s="19" t="n">
        <v>0.6955555555555556</v>
      </c>
      <c r="J13" s="20" t="n">
        <v>6.633146182</v>
      </c>
      <c r="K13" s="20" t="n">
        <v>6.633146182</v>
      </c>
      <c r="L13" s="20" t="n">
        <v>6.633146182</v>
      </c>
      <c r="M13" s="20" t="n">
        <v>6.633146182</v>
      </c>
      <c r="N13" s="21">
        <f>F13*J13</f>
        <v/>
      </c>
      <c r="O13" s="21">
        <f>G13*K13</f>
        <v/>
      </c>
      <c r="P13" s="21">
        <f>H13*L13</f>
        <v/>
      </c>
      <c r="Q13" s="21">
        <f>I13*M13</f>
        <v/>
      </c>
      <c r="R13" s="21">
        <f>SUMPRODUCT($O$5:$Q$5-$N$5:$P$5,(O13:Q13+N13:P13)/2)/($Q$5-$N$5)</f>
        <v/>
      </c>
    </row>
    <row r="14">
      <c r="A14" s="10">
        <f>B14&amp;"|"&amp;C14</f>
        <v/>
      </c>
      <c r="B14" s="4" t="inlineStr">
        <is>
          <t>17B</t>
        </is>
      </c>
      <c r="C14" s="4" t="inlineStr">
        <is>
          <t>FWOP</t>
        </is>
      </c>
      <c r="D14" s="4" t="inlineStr">
        <is>
          <t>Riparian, left bank</t>
        </is>
      </c>
      <c r="E14" s="4" t="inlineStr">
        <is>
          <t>Index x quantity</t>
        </is>
      </c>
      <c r="F14" s="19" t="n">
        <v>0.7200000000000001</v>
      </c>
      <c r="G14" s="19" t="n">
        <v>0.7200000000000001</v>
      </c>
      <c r="H14" s="19" t="n">
        <v>0.7200000000000001</v>
      </c>
      <c r="I14" s="19" t="n">
        <v>0.7200000000000001</v>
      </c>
      <c r="J14" s="20" t="n">
        <v>74.75713854999999</v>
      </c>
      <c r="K14" s="20" t="n">
        <v>74.75713854999999</v>
      </c>
      <c r="L14" s="20" t="n">
        <v>74.75713854999999</v>
      </c>
      <c r="M14" s="20" t="n">
        <v>74.75713854999999</v>
      </c>
      <c r="N14" s="21">
        <f>F14*J14</f>
        <v/>
      </c>
      <c r="O14" s="21">
        <f>G14*K14</f>
        <v/>
      </c>
      <c r="P14" s="21">
        <f>H14*L14</f>
        <v/>
      </c>
      <c r="Q14" s="21">
        <f>I14*M14</f>
        <v/>
      </c>
      <c r="R14" s="21">
        <f>SUMPRODUCT($O$5:$Q$5-$N$5:$P$5,(O14:Q14+N14:P14)/2)/($Q$5-$N$5)</f>
        <v/>
      </c>
    </row>
    <row r="15">
      <c r="A15" s="10">
        <f>B15&amp;"|"&amp;C15</f>
        <v/>
      </c>
      <c r="B15" s="4" t="inlineStr">
        <is>
          <t>17B</t>
        </is>
      </c>
      <c r="C15" s="4" t="inlineStr">
        <is>
          <t>Alternative1</t>
        </is>
      </c>
      <c r="D15" s="4" t="inlineStr">
        <is>
          <t>Riparian, left bank</t>
        </is>
      </c>
      <c r="E15" s="4" t="inlineStr">
        <is>
          <t>Index x quantity</t>
        </is>
      </c>
      <c r="F15" s="19" t="n">
        <v>0.7200000000000001</v>
      </c>
      <c r="G15" s="19" t="n">
        <v>0.8022222222222223</v>
      </c>
      <c r="H15" s="19" t="n">
        <v>0.8066666666666666</v>
      </c>
      <c r="I15" s="19" t="n">
        <v>0.8066666666666666</v>
      </c>
      <c r="J15" s="20" t="n">
        <v>74.75713854999999</v>
      </c>
      <c r="K15" s="20" t="n">
        <v>74.96187913999999</v>
      </c>
      <c r="L15" s="20" t="n">
        <v>74.96187913999999</v>
      </c>
      <c r="M15" s="20" t="n">
        <v>74.96187913999999</v>
      </c>
      <c r="N15" s="21">
        <f>F15*J15</f>
        <v/>
      </c>
      <c r="O15" s="21">
        <f>G15*K15</f>
        <v/>
      </c>
      <c r="P15" s="21">
        <f>H15*L15</f>
        <v/>
      </c>
      <c r="Q15" s="21">
        <f>I15*M15</f>
        <v/>
      </c>
      <c r="R15" s="21">
        <f>SUMPRODUCT($O$5:$Q$5-$N$5:$P$5,(O15:Q15+N15:P15)/2)/($Q$5-$N$5)</f>
        <v/>
      </c>
    </row>
    <row r="16">
      <c r="A16" s="10">
        <f>B16&amp;"|"&amp;C16</f>
        <v/>
      </c>
      <c r="B16" s="4" t="inlineStr">
        <is>
          <t>17B</t>
        </is>
      </c>
      <c r="C16" s="4" t="inlineStr">
        <is>
          <t>Alternative2</t>
        </is>
      </c>
      <c r="D16" s="4" t="inlineStr">
        <is>
          <t>Riparian, left bank</t>
        </is>
      </c>
      <c r="E16" s="4" t="inlineStr">
        <is>
          <t>Index x quantity</t>
        </is>
      </c>
      <c r="F16" s="19" t="n">
        <v>0.7200000000000001</v>
      </c>
      <c r="G16" s="19" t="n">
        <v>0.8022222222222223</v>
      </c>
      <c r="H16" s="19" t="n">
        <v>0.8266666666666668</v>
      </c>
      <c r="I16" s="19" t="n">
        <v>0.8266666666666668</v>
      </c>
      <c r="J16" s="20" t="n">
        <v>74.75713854999999</v>
      </c>
      <c r="K16" s="20" t="n">
        <v>74.96187913999999</v>
      </c>
      <c r="L16" s="20" t="n">
        <v>74.96187913999999</v>
      </c>
      <c r="M16" s="20" t="n">
        <v>74.96187913999999</v>
      </c>
      <c r="N16" s="21">
        <f>F16*J16</f>
        <v/>
      </c>
      <c r="O16" s="21">
        <f>G16*K16</f>
        <v/>
      </c>
      <c r="P16" s="21">
        <f>H16*L16</f>
        <v/>
      </c>
      <c r="Q16" s="21">
        <f>I16*M16</f>
        <v/>
      </c>
      <c r="R16" s="21">
        <f>SUMPRODUCT($O$5:$Q$5-$N$5:$P$5,(O16:Q16+N16:P16)/2)/($Q$5-$N$5)</f>
        <v/>
      </c>
    </row>
    <row r="17">
      <c r="A17" s="10">
        <f>B17&amp;"|"&amp;C17</f>
        <v/>
      </c>
      <c r="B17" s="4" t="inlineStr">
        <is>
          <t>17B</t>
        </is>
      </c>
      <c r="C17" s="4" t="inlineStr">
        <is>
          <t>Alternative3</t>
        </is>
      </c>
      <c r="D17" s="4" t="inlineStr">
        <is>
          <t>Riparian, left bank</t>
        </is>
      </c>
      <c r="E17" s="4" t="inlineStr">
        <is>
          <t>Index x quantity</t>
        </is>
      </c>
      <c r="F17" s="19" t="n">
        <v>0.7200000000000001</v>
      </c>
      <c r="G17" s="19" t="n">
        <v>0.7288888888888888</v>
      </c>
      <c r="H17" s="19" t="n">
        <v>0.7333333333333334</v>
      </c>
      <c r="I17" s="19" t="n">
        <v>0.7333333333333334</v>
      </c>
      <c r="J17" s="20" t="n">
        <v>74.75713854999999</v>
      </c>
      <c r="K17" s="20" t="n">
        <v>74.75713854999999</v>
      </c>
      <c r="L17" s="20" t="n">
        <v>74.75713854999999</v>
      </c>
      <c r="M17" s="20" t="n">
        <v>74.75713854999999</v>
      </c>
      <c r="N17" s="21">
        <f>F17*J17</f>
        <v/>
      </c>
      <c r="O17" s="21">
        <f>G17*K17</f>
        <v/>
      </c>
      <c r="P17" s="21">
        <f>H17*L17</f>
        <v/>
      </c>
      <c r="Q17" s="21">
        <f>I17*M17</f>
        <v/>
      </c>
      <c r="R17" s="21">
        <f>SUMPRODUCT($O$5:$Q$5-$N$5:$P$5,(O17:Q17+N17:P17)/2)/($Q$5-$N$5)</f>
        <v/>
      </c>
    </row>
    <row r="18">
      <c r="A18" s="10">
        <f>B18&amp;"|"&amp;C18</f>
        <v/>
      </c>
      <c r="B18" s="4" t="inlineStr">
        <is>
          <t>2A</t>
        </is>
      </c>
      <c r="C18" s="4" t="inlineStr">
        <is>
          <t>FWOP</t>
        </is>
      </c>
      <c r="D18" s="4" t="inlineStr">
        <is>
          <t>Riparian, left bank</t>
        </is>
      </c>
      <c r="E18" s="4" t="inlineStr">
        <is>
          <t>Index x quantity</t>
        </is>
      </c>
      <c r="F18" s="19" t="n">
        <v>0.3022222222222222</v>
      </c>
      <c r="G18" s="19" t="n">
        <v>0.3022222222222222</v>
      </c>
      <c r="H18" s="19" t="n">
        <v>0.3022222222222222</v>
      </c>
      <c r="I18" s="19" t="n">
        <v>0.3022222222222222</v>
      </c>
      <c r="J18" s="20" t="n">
        <v>29.20848246</v>
      </c>
      <c r="K18" s="20" t="n">
        <v>29.20848246</v>
      </c>
      <c r="L18" s="20" t="n">
        <v>29.20848246</v>
      </c>
      <c r="M18" s="20" t="n">
        <v>29.20848246</v>
      </c>
      <c r="N18" s="21">
        <f>F18*J18</f>
        <v/>
      </c>
      <c r="O18" s="21">
        <f>G18*K18</f>
        <v/>
      </c>
      <c r="P18" s="21">
        <f>H18*L18</f>
        <v/>
      </c>
      <c r="Q18" s="21">
        <f>I18*M18</f>
        <v/>
      </c>
      <c r="R18" s="21">
        <f>SUMPRODUCT($O$5:$Q$5-$N$5:$P$5,(O18:Q18+N18:P18)/2)/($Q$5-$N$5)</f>
        <v/>
      </c>
    </row>
    <row r="19">
      <c r="A19" s="10">
        <f>B19&amp;"|"&amp;C19</f>
        <v/>
      </c>
      <c r="B19" s="4" t="inlineStr">
        <is>
          <t>2A</t>
        </is>
      </c>
      <c r="C19" s="4" t="inlineStr">
        <is>
          <t>Alternative1</t>
        </is>
      </c>
      <c r="D19" s="4" t="inlineStr">
        <is>
          <t>Riparian, left bank</t>
        </is>
      </c>
      <c r="E19" s="4" t="inlineStr">
        <is>
          <t>Index x quantity</t>
        </is>
      </c>
      <c r="F19" s="19" t="n">
        <v>0.3022222222222222</v>
      </c>
      <c r="G19" s="19" t="n">
        <v>0.8266666666666665</v>
      </c>
      <c r="H19" s="19" t="n">
        <v>0.8777777777777778</v>
      </c>
      <c r="I19" s="19" t="n">
        <v>0.8866666666666667</v>
      </c>
      <c r="J19" s="20" t="n">
        <v>29.20848246</v>
      </c>
      <c r="K19" s="20" t="n">
        <v>30.00616382</v>
      </c>
      <c r="L19" s="20" t="n">
        <v>30.00616382</v>
      </c>
      <c r="M19" s="20" t="n">
        <v>30.00616382</v>
      </c>
      <c r="N19" s="21">
        <f>F19*J19</f>
        <v/>
      </c>
      <c r="O19" s="21">
        <f>G19*K19</f>
        <v/>
      </c>
      <c r="P19" s="21">
        <f>H19*L19</f>
        <v/>
      </c>
      <c r="Q19" s="21">
        <f>I19*M19</f>
        <v/>
      </c>
      <c r="R19" s="21">
        <f>SUMPRODUCT($O$5:$Q$5-$N$5:$P$5,(O19:Q19+N19:P19)/2)/($Q$5-$N$5)</f>
        <v/>
      </c>
    </row>
    <row r="20">
      <c r="A20" s="10">
        <f>B20&amp;"|"&amp;C20</f>
        <v/>
      </c>
      <c r="B20" s="4" t="inlineStr">
        <is>
          <t>2A</t>
        </is>
      </c>
      <c r="C20" s="4" t="inlineStr">
        <is>
          <t>Alternative2</t>
        </is>
      </c>
      <c r="D20" s="4" t="inlineStr">
        <is>
          <t>Riparian, left bank</t>
        </is>
      </c>
      <c r="E20" s="4" t="inlineStr">
        <is>
          <t>Index x quantity</t>
        </is>
      </c>
      <c r="F20" s="19" t="n">
        <v>0.3022222222222222</v>
      </c>
      <c r="G20" s="19" t="n">
        <v>0.7711111111111112</v>
      </c>
      <c r="H20" s="19" t="n">
        <v>0.8288888888888889</v>
      </c>
      <c r="I20" s="19" t="n">
        <v>0.8488888888888889</v>
      </c>
      <c r="J20" s="20" t="n">
        <v>29.20848246</v>
      </c>
      <c r="K20" s="20" t="n">
        <v>30.58180661</v>
      </c>
      <c r="L20" s="20" t="n">
        <v>30.58180661</v>
      </c>
      <c r="M20" s="20" t="n">
        <v>30.58180661</v>
      </c>
      <c r="N20" s="21">
        <f>F20*J20</f>
        <v/>
      </c>
      <c r="O20" s="21">
        <f>G20*K20</f>
        <v/>
      </c>
      <c r="P20" s="21">
        <f>H20*L20</f>
        <v/>
      </c>
      <c r="Q20" s="21">
        <f>I20*M20</f>
        <v/>
      </c>
      <c r="R20" s="21">
        <f>SUMPRODUCT($O$5:$Q$5-$N$5:$P$5,(O20:Q20+N20:P20)/2)/($Q$5-$N$5)</f>
        <v/>
      </c>
    </row>
    <row r="21">
      <c r="A21" s="10">
        <f>B21&amp;"|"&amp;C21</f>
        <v/>
      </c>
      <c r="B21" s="4" t="inlineStr">
        <is>
          <t>2A</t>
        </is>
      </c>
      <c r="C21" s="4" t="inlineStr">
        <is>
          <t>Alternative3</t>
        </is>
      </c>
      <c r="D21" s="4" t="inlineStr">
        <is>
          <t>Riparian, left bank</t>
        </is>
      </c>
      <c r="E21" s="4" t="inlineStr">
        <is>
          <t>Index x quantity</t>
        </is>
      </c>
      <c r="F21" s="19" t="n">
        <v>0.3022222222222222</v>
      </c>
      <c r="G21" s="19" t="n">
        <v>0.3977777777777778</v>
      </c>
      <c r="H21" s="19" t="n">
        <v>0.3977777777777778</v>
      </c>
      <c r="I21" s="19" t="n">
        <v>0.3977777777777778</v>
      </c>
      <c r="J21" s="20" t="n">
        <v>29.20848246</v>
      </c>
      <c r="K21" s="20" t="n">
        <v>29.20848246</v>
      </c>
      <c r="L21" s="20" t="n">
        <v>29.20848246</v>
      </c>
      <c r="M21" s="20" t="n">
        <v>29.20848246</v>
      </c>
      <c r="N21" s="21">
        <f>F21*J21</f>
        <v/>
      </c>
      <c r="O21" s="21">
        <f>G21*K21</f>
        <v/>
      </c>
      <c r="P21" s="21">
        <f>H21*L21</f>
        <v/>
      </c>
      <c r="Q21" s="21">
        <f>I21*M21</f>
        <v/>
      </c>
      <c r="R21" s="21">
        <f>SUMPRODUCT($O$5:$Q$5-$N$5:$P$5,(O21:Q21+N21:P21)/2)/($Q$5-$N$5)</f>
        <v/>
      </c>
    </row>
    <row r="22">
      <c r="A22" s="10">
        <f>B22&amp;"|"&amp;C22</f>
        <v/>
      </c>
      <c r="B22" s="4" t="inlineStr">
        <is>
          <t>2B</t>
        </is>
      </c>
      <c r="C22" s="4" t="inlineStr">
        <is>
          <t>FWOP</t>
        </is>
      </c>
      <c r="D22" s="4" t="inlineStr">
        <is>
          <t>Riparian, left bank</t>
        </is>
      </c>
      <c r="E22" s="4" t="inlineStr">
        <is>
          <t>Index x quantity</t>
        </is>
      </c>
      <c r="F22" s="19" t="n">
        <v>0.4999999999999999</v>
      </c>
      <c r="G22" s="19" t="n">
        <v>0.4999999999999999</v>
      </c>
      <c r="H22" s="19" t="n">
        <v>0.4999999999999999</v>
      </c>
      <c r="I22" s="19" t="n">
        <v>0.4999999999999999</v>
      </c>
      <c r="J22" s="20" t="n">
        <v>20.89978311</v>
      </c>
      <c r="K22" s="20" t="n">
        <v>20.89978311</v>
      </c>
      <c r="L22" s="20" t="n">
        <v>20.89978311</v>
      </c>
      <c r="M22" s="20" t="n">
        <v>20.89978311</v>
      </c>
      <c r="N22" s="21">
        <f>F22*J22</f>
        <v/>
      </c>
      <c r="O22" s="21">
        <f>G22*K22</f>
        <v/>
      </c>
      <c r="P22" s="21">
        <f>H22*L22</f>
        <v/>
      </c>
      <c r="Q22" s="21">
        <f>I22*M22</f>
        <v/>
      </c>
      <c r="R22" s="21">
        <f>SUMPRODUCT($O$5:$Q$5-$N$5:$P$5,(O22:Q22+N22:P22)/2)/($Q$5-$N$5)</f>
        <v/>
      </c>
    </row>
    <row r="23">
      <c r="A23" s="10">
        <f>B23&amp;"|"&amp;C23</f>
        <v/>
      </c>
      <c r="B23" s="4" t="inlineStr">
        <is>
          <t>2B</t>
        </is>
      </c>
      <c r="C23" s="4" t="inlineStr">
        <is>
          <t>Alternative1</t>
        </is>
      </c>
      <c r="D23" s="4" t="inlineStr">
        <is>
          <t>Riparian, left bank</t>
        </is>
      </c>
      <c r="E23" s="4" t="inlineStr">
        <is>
          <t>Index x quantity</t>
        </is>
      </c>
      <c r="F23" s="19" t="n">
        <v>0.4999999999999999</v>
      </c>
      <c r="G23" s="19" t="n">
        <v>0.8422222222222221</v>
      </c>
      <c r="H23" s="19" t="n">
        <v>0.9044444444444446</v>
      </c>
      <c r="I23" s="19" t="n">
        <v>0.908888888888889</v>
      </c>
      <c r="J23" s="20" t="n">
        <v>20.89978311</v>
      </c>
      <c r="K23" s="20" t="n">
        <v>22.2767574</v>
      </c>
      <c r="L23" s="20" t="n">
        <v>22.2767574</v>
      </c>
      <c r="M23" s="20" t="n">
        <v>22.2767574</v>
      </c>
      <c r="N23" s="21">
        <f>F23*J23</f>
        <v/>
      </c>
      <c r="O23" s="21">
        <f>G23*K23</f>
        <v/>
      </c>
      <c r="P23" s="21">
        <f>H23*L23</f>
        <v/>
      </c>
      <c r="Q23" s="21">
        <f>I23*M23</f>
        <v/>
      </c>
      <c r="R23" s="21">
        <f>SUMPRODUCT($O$5:$Q$5-$N$5:$P$5,(O23:Q23+N23:P23)/2)/($Q$5-$N$5)</f>
        <v/>
      </c>
    </row>
    <row r="24">
      <c r="A24" s="10">
        <f>B24&amp;"|"&amp;C24</f>
        <v/>
      </c>
      <c r="B24" s="4" t="inlineStr">
        <is>
          <t>2B</t>
        </is>
      </c>
      <c r="C24" s="4" t="inlineStr">
        <is>
          <t>Alternative2</t>
        </is>
      </c>
      <c r="D24" s="4" t="inlineStr">
        <is>
          <t>Riparian, left bank</t>
        </is>
      </c>
      <c r="E24" s="4" t="inlineStr">
        <is>
          <t>Index x quantity</t>
        </is>
      </c>
      <c r="F24" s="19" t="n">
        <v>0.4999999999999999</v>
      </c>
      <c r="G24" s="19" t="n">
        <v>0.7533333333333333</v>
      </c>
      <c r="H24" s="19" t="n">
        <v>0.7777777777777777</v>
      </c>
      <c r="I24" s="19" t="n">
        <v>0.7933333333333333</v>
      </c>
      <c r="J24" s="20" t="n">
        <v>20.89978311</v>
      </c>
      <c r="K24" s="20" t="n">
        <v>21.72112149</v>
      </c>
      <c r="L24" s="20" t="n">
        <v>21.72112149</v>
      </c>
      <c r="M24" s="20" t="n">
        <v>21.72112149</v>
      </c>
      <c r="N24" s="21">
        <f>F24*J24</f>
        <v/>
      </c>
      <c r="O24" s="21">
        <f>G24*K24</f>
        <v/>
      </c>
      <c r="P24" s="21">
        <f>H24*L24</f>
        <v/>
      </c>
      <c r="Q24" s="21">
        <f>I24*M24</f>
        <v/>
      </c>
      <c r="R24" s="21">
        <f>SUMPRODUCT($O$5:$Q$5-$N$5:$P$5,(O24:Q24+N24:P24)/2)/($Q$5-$N$5)</f>
        <v/>
      </c>
    </row>
    <row r="25">
      <c r="A25" s="10">
        <f>B25&amp;"|"&amp;C25</f>
        <v/>
      </c>
      <c r="B25" s="4" t="inlineStr">
        <is>
          <t>2B</t>
        </is>
      </c>
      <c r="C25" s="4" t="inlineStr">
        <is>
          <t>Alternative3</t>
        </is>
      </c>
      <c r="D25" s="4" t="inlineStr">
        <is>
          <t>Riparian, left bank</t>
        </is>
      </c>
      <c r="E25" s="4" t="inlineStr">
        <is>
          <t>Index x quantity</t>
        </is>
      </c>
      <c r="F25" s="19" t="n">
        <v>0.4999999999999999</v>
      </c>
      <c r="G25" s="19" t="n">
        <v>0.5644444444444444</v>
      </c>
      <c r="H25" s="19" t="n">
        <v>0.5644444444444444</v>
      </c>
      <c r="I25" s="19" t="n">
        <v>0.5644444444444444</v>
      </c>
      <c r="J25" s="20" t="n">
        <v>20.89978311</v>
      </c>
      <c r="K25" s="20" t="n">
        <v>20.89978311</v>
      </c>
      <c r="L25" s="20" t="n">
        <v>20.89978311</v>
      </c>
      <c r="M25" s="20" t="n">
        <v>20.89978311</v>
      </c>
      <c r="N25" s="21">
        <f>F25*J25</f>
        <v/>
      </c>
      <c r="O25" s="21">
        <f>G25*K25</f>
        <v/>
      </c>
      <c r="P25" s="21">
        <f>H25*L25</f>
        <v/>
      </c>
      <c r="Q25" s="21">
        <f>I25*M25</f>
        <v/>
      </c>
      <c r="R25" s="21">
        <f>SUMPRODUCT($O$5:$Q$5-$N$5:$P$5,(O25:Q25+N25:P25)/2)/($Q$5-$N$5)</f>
        <v/>
      </c>
    </row>
    <row r="26">
      <c r="A26" s="10">
        <f>B26&amp;"|"&amp;C26</f>
        <v/>
      </c>
      <c r="B26" s="4" t="inlineStr">
        <is>
          <t>3E</t>
        </is>
      </c>
      <c r="C26" s="4" t="inlineStr">
        <is>
          <t>FWOP</t>
        </is>
      </c>
      <c r="D26" s="4" t="inlineStr">
        <is>
          <t>Riparian, left bank</t>
        </is>
      </c>
      <c r="E26" s="4" t="inlineStr">
        <is>
          <t>Index x quantity</t>
        </is>
      </c>
      <c r="F26" s="19" t="n">
        <v>0.791111111111111</v>
      </c>
      <c r="G26" s="19" t="n">
        <v>0.791111111111111</v>
      </c>
      <c r="H26" s="19" t="n">
        <v>0.791111111111111</v>
      </c>
      <c r="I26" s="19" t="n">
        <v>0.791111111111111</v>
      </c>
      <c r="J26" s="20" t="n">
        <v>7.729478182</v>
      </c>
      <c r="K26" s="20" t="n">
        <v>7.729478182</v>
      </c>
      <c r="L26" s="20" t="n">
        <v>7.729478182</v>
      </c>
      <c r="M26" s="20" t="n">
        <v>7.729478182</v>
      </c>
      <c r="N26" s="21">
        <f>F26*J26</f>
        <v/>
      </c>
      <c r="O26" s="21">
        <f>G26*K26</f>
        <v/>
      </c>
      <c r="P26" s="21">
        <f>H26*L26</f>
        <v/>
      </c>
      <c r="Q26" s="21">
        <f>I26*M26</f>
        <v/>
      </c>
      <c r="R26" s="21">
        <f>SUMPRODUCT($O$5:$Q$5-$N$5:$P$5,(O26:Q26+N26:P26)/2)/($Q$5-$N$5)</f>
        <v/>
      </c>
    </row>
    <row r="27">
      <c r="A27" s="10">
        <f>B27&amp;"|"&amp;C27</f>
        <v/>
      </c>
      <c r="B27" s="4" t="inlineStr">
        <is>
          <t>3E</t>
        </is>
      </c>
      <c r="C27" s="4" t="inlineStr">
        <is>
          <t>Alternative1</t>
        </is>
      </c>
      <c r="D27" s="4" t="inlineStr">
        <is>
          <t>Riparian, left bank</t>
        </is>
      </c>
      <c r="E27" s="4" t="inlineStr">
        <is>
          <t>Index x quantity</t>
        </is>
      </c>
      <c r="F27" s="19" t="n">
        <v>0.791111111111111</v>
      </c>
      <c r="G27" s="19" t="n">
        <v>0.8911111111111111</v>
      </c>
      <c r="H27" s="19" t="n">
        <v>0.8955555555555555</v>
      </c>
      <c r="I27" s="19" t="n">
        <v>0.8955555555555555</v>
      </c>
      <c r="J27" s="20" t="n">
        <v>7.729478182</v>
      </c>
      <c r="K27" s="20" t="n">
        <v>7.729478182</v>
      </c>
      <c r="L27" s="20" t="n">
        <v>7.729478182</v>
      </c>
      <c r="M27" s="20" t="n">
        <v>7.729478182</v>
      </c>
      <c r="N27" s="21">
        <f>F27*J27</f>
        <v/>
      </c>
      <c r="O27" s="21">
        <f>G27*K27</f>
        <v/>
      </c>
      <c r="P27" s="21">
        <f>H27*L27</f>
        <v/>
      </c>
      <c r="Q27" s="21">
        <f>I27*M27</f>
        <v/>
      </c>
      <c r="R27" s="21">
        <f>SUMPRODUCT($O$5:$Q$5-$N$5:$P$5,(O27:Q27+N27:P27)/2)/($Q$5-$N$5)</f>
        <v/>
      </c>
    </row>
    <row r="28">
      <c r="A28" s="10">
        <f>B28&amp;"|"&amp;C28</f>
        <v/>
      </c>
      <c r="B28" s="4" t="inlineStr">
        <is>
          <t>3E</t>
        </is>
      </c>
      <c r="C28" s="4" t="inlineStr">
        <is>
          <t>Alternative2</t>
        </is>
      </c>
      <c r="D28" s="4" t="inlineStr">
        <is>
          <t>Riparian, left bank</t>
        </is>
      </c>
      <c r="E28" s="4" t="inlineStr">
        <is>
          <t>Index x quantity</t>
        </is>
      </c>
      <c r="F28" s="19" t="n">
        <v>0.791111111111111</v>
      </c>
      <c r="G28" s="19" t="n">
        <v>0.8733333333333334</v>
      </c>
      <c r="H28" s="19" t="n">
        <v>0.8733333333333334</v>
      </c>
      <c r="I28" s="19" t="n">
        <v>0.8777777777777778</v>
      </c>
      <c r="J28" s="20" t="n">
        <v>7.729478182</v>
      </c>
      <c r="K28" s="20" t="n">
        <v>7.729478182</v>
      </c>
      <c r="L28" s="20" t="n">
        <v>7.729478182</v>
      </c>
      <c r="M28" s="20" t="n">
        <v>7.729478182</v>
      </c>
      <c r="N28" s="21">
        <f>F28*J28</f>
        <v/>
      </c>
      <c r="O28" s="21">
        <f>G28*K28</f>
        <v/>
      </c>
      <c r="P28" s="21">
        <f>H28*L28</f>
        <v/>
      </c>
      <c r="Q28" s="21">
        <f>I28*M28</f>
        <v/>
      </c>
      <c r="R28" s="21">
        <f>SUMPRODUCT($O$5:$Q$5-$N$5:$P$5,(O28:Q28+N28:P28)/2)/($Q$5-$N$5)</f>
        <v/>
      </c>
    </row>
    <row r="29">
      <c r="A29" s="10">
        <f>B29&amp;"|"&amp;C29</f>
        <v/>
      </c>
      <c r="B29" s="4" t="inlineStr">
        <is>
          <t>3E</t>
        </is>
      </c>
      <c r="C29" s="4" t="inlineStr">
        <is>
          <t>Alternative3</t>
        </is>
      </c>
      <c r="D29" s="4" t="inlineStr">
        <is>
          <t>Riparian, left bank</t>
        </is>
      </c>
      <c r="E29" s="4" t="inlineStr">
        <is>
          <t>Index x quantity</t>
        </is>
      </c>
      <c r="F29" s="19" t="n">
        <v>0.791111111111111</v>
      </c>
      <c r="G29" s="19" t="n">
        <v>0.8288888888888889</v>
      </c>
      <c r="H29" s="19" t="n">
        <v>0.8422222222222223</v>
      </c>
      <c r="I29" s="19" t="n">
        <v>0.8422222222222223</v>
      </c>
      <c r="J29" s="20" t="n">
        <v>7.729478182</v>
      </c>
      <c r="K29" s="20" t="n">
        <v>7.729478182</v>
      </c>
      <c r="L29" s="20" t="n">
        <v>7.729478182</v>
      </c>
      <c r="M29" s="20" t="n">
        <v>7.729478182</v>
      </c>
      <c r="N29" s="21">
        <f>F29*J29</f>
        <v/>
      </c>
      <c r="O29" s="21">
        <f>G29*K29</f>
        <v/>
      </c>
      <c r="P29" s="21">
        <f>H29*L29</f>
        <v/>
      </c>
      <c r="Q29" s="21">
        <f>I29*M29</f>
        <v/>
      </c>
      <c r="R29" s="21">
        <f>SUMPRODUCT($O$5:$Q$5-$N$5:$P$5,(O29:Q29+N29:P29)/2)/($Q$5-$N$5)</f>
        <v/>
      </c>
    </row>
    <row r="30">
      <c r="A30" s="10">
        <f>B30&amp;"|"&amp;C30</f>
        <v/>
      </c>
      <c r="B30" s="4" t="inlineStr">
        <is>
          <t>3F</t>
        </is>
      </c>
      <c r="C30" s="4" t="inlineStr">
        <is>
          <t>FWOP</t>
        </is>
      </c>
      <c r="D30" s="4" t="inlineStr">
        <is>
          <t>Riparian, left bank</t>
        </is>
      </c>
      <c r="E30" s="4" t="inlineStr">
        <is>
          <t>Index x quantity</t>
        </is>
      </c>
      <c r="F30" s="19" t="n">
        <v>0.791111111111111</v>
      </c>
      <c r="G30" s="19" t="n">
        <v>0.791111111111111</v>
      </c>
      <c r="H30" s="19" t="n">
        <v>0.791111111111111</v>
      </c>
      <c r="I30" s="19" t="n">
        <v>0.791111111111111</v>
      </c>
      <c r="J30" s="20" t="n">
        <v>18.10577455</v>
      </c>
      <c r="K30" s="20" t="n">
        <v>18.10577455</v>
      </c>
      <c r="L30" s="20" t="n">
        <v>18.10577455</v>
      </c>
      <c r="M30" s="20" t="n">
        <v>18.10577455</v>
      </c>
      <c r="N30" s="21">
        <f>F30*J30</f>
        <v/>
      </c>
      <c r="O30" s="21">
        <f>G30*K30</f>
        <v/>
      </c>
      <c r="P30" s="21">
        <f>H30*L30</f>
        <v/>
      </c>
      <c r="Q30" s="21">
        <f>I30*M30</f>
        <v/>
      </c>
      <c r="R30" s="21">
        <f>SUMPRODUCT($O$5:$Q$5-$N$5:$P$5,(O30:Q30+N30:P30)/2)/($Q$5-$N$5)</f>
        <v/>
      </c>
    </row>
    <row r="31">
      <c r="A31" s="10">
        <f>B31&amp;"|"&amp;C31</f>
        <v/>
      </c>
      <c r="B31" s="4" t="inlineStr">
        <is>
          <t>3F</t>
        </is>
      </c>
      <c r="C31" s="4" t="inlineStr">
        <is>
          <t>Alternative1</t>
        </is>
      </c>
      <c r="D31" s="4" t="inlineStr">
        <is>
          <t>Riparian, left bank</t>
        </is>
      </c>
      <c r="E31" s="4" t="inlineStr">
        <is>
          <t>Index x quantity</t>
        </is>
      </c>
      <c r="F31" s="19" t="n">
        <v>0.791111111111111</v>
      </c>
      <c r="G31" s="19" t="n">
        <v>0.831111111111111</v>
      </c>
      <c r="H31" s="19" t="n">
        <v>0.8688888888888888</v>
      </c>
      <c r="I31" s="19" t="n">
        <v>0.8733333333333334</v>
      </c>
      <c r="J31" s="20" t="n">
        <v>18.10577455</v>
      </c>
      <c r="K31" s="20" t="n">
        <v>18.10577455</v>
      </c>
      <c r="L31" s="20" t="n">
        <v>18.10577455</v>
      </c>
      <c r="M31" s="20" t="n">
        <v>18.10577455</v>
      </c>
      <c r="N31" s="21">
        <f>F31*J31</f>
        <v/>
      </c>
      <c r="O31" s="21">
        <f>G31*K31</f>
        <v/>
      </c>
      <c r="P31" s="21">
        <f>H31*L31</f>
        <v/>
      </c>
      <c r="Q31" s="21">
        <f>I31*M31</f>
        <v/>
      </c>
      <c r="R31" s="21">
        <f>SUMPRODUCT($O$5:$Q$5-$N$5:$P$5,(O31:Q31+N31:P31)/2)/($Q$5-$N$5)</f>
        <v/>
      </c>
    </row>
    <row r="32">
      <c r="A32" s="10">
        <f>B32&amp;"|"&amp;C32</f>
        <v/>
      </c>
      <c r="B32" s="4" t="inlineStr">
        <is>
          <t>3F</t>
        </is>
      </c>
      <c r="C32" s="4" t="inlineStr">
        <is>
          <t>Alternative2</t>
        </is>
      </c>
      <c r="D32" s="4" t="inlineStr">
        <is>
          <t>Riparian, left bank</t>
        </is>
      </c>
      <c r="E32" s="4" t="inlineStr">
        <is>
          <t>Index x quantity</t>
        </is>
      </c>
      <c r="F32" s="19" t="n">
        <v>0.791111111111111</v>
      </c>
      <c r="G32" s="19" t="n">
        <v>0.8044444444444444</v>
      </c>
      <c r="H32" s="19" t="n">
        <v>0.8422222222222223</v>
      </c>
      <c r="I32" s="19" t="n">
        <v>0.8466666666666667</v>
      </c>
      <c r="J32" s="20" t="n">
        <v>18.10577455</v>
      </c>
      <c r="K32" s="20" t="n">
        <v>18.10577455</v>
      </c>
      <c r="L32" s="20" t="n">
        <v>18.10577455</v>
      </c>
      <c r="M32" s="20" t="n">
        <v>18.10577455</v>
      </c>
      <c r="N32" s="21">
        <f>F32*J32</f>
        <v/>
      </c>
      <c r="O32" s="21">
        <f>G32*K32</f>
        <v/>
      </c>
      <c r="P32" s="21">
        <f>H32*L32</f>
        <v/>
      </c>
      <c r="Q32" s="21">
        <f>I32*M32</f>
        <v/>
      </c>
      <c r="R32" s="21">
        <f>SUMPRODUCT($O$5:$Q$5-$N$5:$P$5,(O32:Q32+N32:P32)/2)/($Q$5-$N$5)</f>
        <v/>
      </c>
    </row>
    <row r="33">
      <c r="A33" s="10">
        <f>B33&amp;"|"&amp;C33</f>
        <v/>
      </c>
      <c r="B33" s="4" t="inlineStr">
        <is>
          <t>3F</t>
        </is>
      </c>
      <c r="C33" s="4" t="inlineStr">
        <is>
          <t>Alternative3</t>
        </is>
      </c>
      <c r="D33" s="4" t="inlineStr">
        <is>
          <t>Riparian, left bank</t>
        </is>
      </c>
      <c r="E33" s="4" t="inlineStr">
        <is>
          <t>Index x quantity</t>
        </is>
      </c>
      <c r="F33" s="19" t="n">
        <v>0.791111111111111</v>
      </c>
      <c r="G33" s="19" t="n">
        <v>0.8466666666666667</v>
      </c>
      <c r="H33" s="19" t="n">
        <v>0.8555555555555556</v>
      </c>
      <c r="I33" s="19" t="n">
        <v>0.8555555555555556</v>
      </c>
      <c r="J33" s="20" t="n">
        <v>18.10577455</v>
      </c>
      <c r="K33" s="20" t="n">
        <v>18.10577455</v>
      </c>
      <c r="L33" s="20" t="n">
        <v>18.10577455</v>
      </c>
      <c r="M33" s="20" t="n">
        <v>18.10577455</v>
      </c>
      <c r="N33" s="21">
        <f>F33*J33</f>
        <v/>
      </c>
      <c r="O33" s="21">
        <f>G33*K33</f>
        <v/>
      </c>
      <c r="P33" s="21">
        <f>H33*L33</f>
        <v/>
      </c>
      <c r="Q33" s="21">
        <f>I33*M33</f>
        <v/>
      </c>
      <c r="R33" s="21">
        <f>SUMPRODUCT($O$5:$Q$5-$N$5:$P$5,(O33:Q33+N33:P33)/2)/($Q$5-$N$5)</f>
        <v/>
      </c>
    </row>
    <row r="34">
      <c r="A34" s="10">
        <f>B34&amp;"|"&amp;C34</f>
        <v/>
      </c>
      <c r="B34" s="4" t="inlineStr">
        <is>
          <t>19A</t>
        </is>
      </c>
      <c r="C34" s="4" t="inlineStr">
        <is>
          <t>FWOP</t>
        </is>
      </c>
      <c r="D34" s="4" t="inlineStr">
        <is>
          <t>Riparian, left bank</t>
        </is>
      </c>
      <c r="E34" s="4" t="inlineStr">
        <is>
          <t>Index x quantity</t>
        </is>
      </c>
      <c r="F34" s="19" t="n">
        <v>0.6777777777777777</v>
      </c>
      <c r="G34" s="19" t="n">
        <v>0.6777777777777777</v>
      </c>
      <c r="H34" s="19" t="n">
        <v>0.6777777777777777</v>
      </c>
      <c r="I34" s="19" t="n">
        <v>0.6777777777777777</v>
      </c>
      <c r="J34" s="20" t="n">
        <v>7.962850909</v>
      </c>
      <c r="K34" s="20" t="n">
        <v>7.962850909</v>
      </c>
      <c r="L34" s="20" t="n">
        <v>7.962850909</v>
      </c>
      <c r="M34" s="20" t="n">
        <v>7.962850909</v>
      </c>
      <c r="N34" s="21">
        <f>F34*J34</f>
        <v/>
      </c>
      <c r="O34" s="21">
        <f>G34*K34</f>
        <v/>
      </c>
      <c r="P34" s="21">
        <f>H34*L34</f>
        <v/>
      </c>
      <c r="Q34" s="21">
        <f>I34*M34</f>
        <v/>
      </c>
      <c r="R34" s="21">
        <f>SUMPRODUCT($O$5:$Q$5-$N$5:$P$5,(O34:Q34+N34:P34)/2)/($Q$5-$N$5)</f>
        <v/>
      </c>
    </row>
    <row r="35">
      <c r="A35" s="10">
        <f>B35&amp;"|"&amp;C35</f>
        <v/>
      </c>
      <c r="B35" s="4" t="inlineStr">
        <is>
          <t>19A</t>
        </is>
      </c>
      <c r="C35" s="4" t="inlineStr">
        <is>
          <t>Alternative2</t>
        </is>
      </c>
      <c r="D35" s="4" t="inlineStr">
        <is>
          <t>Riparian, left bank</t>
        </is>
      </c>
      <c r="E35" s="4" t="inlineStr">
        <is>
          <t>Index x quantity</t>
        </is>
      </c>
      <c r="F35" s="19" t="n">
        <v>0.6777777777777777</v>
      </c>
      <c r="G35" s="19" t="n">
        <v>0.8133333333333334</v>
      </c>
      <c r="H35" s="19" t="n">
        <v>0.8377777777777777</v>
      </c>
      <c r="I35" s="19" t="n">
        <v>0.8488888888888889</v>
      </c>
      <c r="J35" s="20" t="n">
        <v>7.962850909</v>
      </c>
      <c r="K35" s="20" t="n">
        <v>13.00746753</v>
      </c>
      <c r="L35" s="20" t="n">
        <v>13.00746753</v>
      </c>
      <c r="M35" s="20" t="n">
        <v>13.00746753</v>
      </c>
      <c r="N35" s="21">
        <f>F35*J35</f>
        <v/>
      </c>
      <c r="O35" s="21">
        <f>G35*K35</f>
        <v/>
      </c>
      <c r="P35" s="21">
        <f>H35*L35</f>
        <v/>
      </c>
      <c r="Q35" s="21">
        <f>I35*M35</f>
        <v/>
      </c>
      <c r="R35" s="21">
        <f>SUMPRODUCT($O$5:$Q$5-$N$5:$P$5,(O35:Q35+N35:P35)/2)/($Q$5-$N$5)</f>
        <v/>
      </c>
    </row>
    <row r="36">
      <c r="A36" s="10">
        <f>B36&amp;"|"&amp;C36</f>
        <v/>
      </c>
      <c r="B36" s="4" t="inlineStr">
        <is>
          <t>19A</t>
        </is>
      </c>
      <c r="C36" s="4" t="inlineStr">
        <is>
          <t>Alternative3</t>
        </is>
      </c>
      <c r="D36" s="4" t="inlineStr">
        <is>
          <t>Riparian, left bank</t>
        </is>
      </c>
      <c r="E36" s="4" t="inlineStr">
        <is>
          <t>Index x quantity</t>
        </is>
      </c>
      <c r="F36" s="19" t="n">
        <v>0.6777777777777777</v>
      </c>
      <c r="G36" s="19" t="n">
        <v>0.7022222222222223</v>
      </c>
      <c r="H36" s="19" t="n">
        <v>0.7155555555555555</v>
      </c>
      <c r="I36" s="19" t="n">
        <v>0.7155555555555555</v>
      </c>
      <c r="J36" s="20" t="n">
        <v>7.962850909</v>
      </c>
      <c r="K36" s="20" t="n">
        <v>7.962850909</v>
      </c>
      <c r="L36" s="20" t="n">
        <v>7.962850909</v>
      </c>
      <c r="M36" s="20" t="n">
        <v>7.962850909</v>
      </c>
      <c r="N36" s="21">
        <f>F36*J36</f>
        <v/>
      </c>
      <c r="O36" s="21">
        <f>G36*K36</f>
        <v/>
      </c>
      <c r="P36" s="21">
        <f>H36*L36</f>
        <v/>
      </c>
      <c r="Q36" s="21">
        <f>I36*M36</f>
        <v/>
      </c>
      <c r="R36" s="21">
        <f>SUMPRODUCT($O$5:$Q$5-$N$5:$P$5,(O36:Q36+N36:P36)/2)/($Q$5-$N$5)</f>
        <v/>
      </c>
    </row>
    <row r="37">
      <c r="A37" s="10">
        <f>B37&amp;"|"&amp;C37</f>
        <v/>
      </c>
      <c r="B37" s="4" t="inlineStr">
        <is>
          <t>17F2M</t>
        </is>
      </c>
      <c r="C37" s="4" t="inlineStr">
        <is>
          <t>FWOP</t>
        </is>
      </c>
      <c r="D37" s="4" t="inlineStr">
        <is>
          <t>Riparian, right bank</t>
        </is>
      </c>
      <c r="E37" s="4" t="inlineStr">
        <is>
          <t>Index x quantity</t>
        </is>
      </c>
      <c r="F37" s="19" t="n">
        <v>0.06666666666666667</v>
      </c>
      <c r="G37" s="19" t="n">
        <v>0.06666666666666667</v>
      </c>
      <c r="H37" s="19" t="n">
        <v>0.06666666666666667</v>
      </c>
      <c r="I37" s="19" t="n">
        <v>0.06666666666666667</v>
      </c>
      <c r="J37" s="20" t="n">
        <v>0</v>
      </c>
      <c r="K37" s="20" t="n">
        <v>0</v>
      </c>
      <c r="L37" s="20" t="n">
        <v>0</v>
      </c>
      <c r="M37" s="20" t="n">
        <v>0</v>
      </c>
      <c r="N37" s="21">
        <f>F37*J37</f>
        <v/>
      </c>
      <c r="O37" s="21">
        <f>G37*K37</f>
        <v/>
      </c>
      <c r="P37" s="21">
        <f>H37*L37</f>
        <v/>
      </c>
      <c r="Q37" s="21">
        <f>I37*M37</f>
        <v/>
      </c>
      <c r="R37" s="21">
        <f>SUMPRODUCT($O$5:$Q$5-$N$5:$P$5,(O37:Q37+N37:P37)/2)/($Q$5-$N$5)</f>
        <v/>
      </c>
    </row>
    <row r="38">
      <c r="A38" s="10">
        <f>B38&amp;"|"&amp;C38</f>
        <v/>
      </c>
      <c r="B38" s="4" t="inlineStr">
        <is>
          <t>17F2M</t>
        </is>
      </c>
      <c r="C38" s="4" t="inlineStr">
        <is>
          <t>Alternative1</t>
        </is>
      </c>
      <c r="D38" s="4" t="inlineStr">
        <is>
          <t>Riparian, right bank</t>
        </is>
      </c>
      <c r="E38" s="4" t="inlineStr">
        <is>
          <t>Index x quantity</t>
        </is>
      </c>
      <c r="F38" s="19" t="n">
        <v>0.06666666666666667</v>
      </c>
      <c r="G38" s="19" t="n">
        <v>0.7333333333333333</v>
      </c>
      <c r="H38" s="19" t="n">
        <v>0.7955555555555556</v>
      </c>
      <c r="I38" s="19" t="n">
        <v>0.8355555555555556</v>
      </c>
      <c r="J38" s="20" t="n">
        <v>0</v>
      </c>
      <c r="K38" s="20" t="n">
        <v>1.080693297</v>
      </c>
      <c r="L38" s="20" t="n">
        <v>1.080693297</v>
      </c>
      <c r="M38" s="20" t="n">
        <v>1.080693297</v>
      </c>
      <c r="N38" s="21">
        <f>F38*J38</f>
        <v/>
      </c>
      <c r="O38" s="21">
        <f>G38*K38</f>
        <v/>
      </c>
      <c r="P38" s="21">
        <f>H38*L38</f>
        <v/>
      </c>
      <c r="Q38" s="21">
        <f>I38*M38</f>
        <v/>
      </c>
      <c r="R38" s="21">
        <f>SUMPRODUCT($O$5:$Q$5-$N$5:$P$5,(O38:Q38+N38:P38)/2)/($Q$5-$N$5)</f>
        <v/>
      </c>
    </row>
    <row r="39">
      <c r="A39" s="10">
        <f>B39&amp;"|"&amp;C39</f>
        <v/>
      </c>
      <c r="B39" s="4" t="inlineStr">
        <is>
          <t>17F2M</t>
        </is>
      </c>
      <c r="C39" s="4" t="inlineStr">
        <is>
          <t>Alternative2</t>
        </is>
      </c>
      <c r="D39" s="4" t="inlineStr">
        <is>
          <t>Riparian, right bank</t>
        </is>
      </c>
      <c r="E39" s="4" t="inlineStr">
        <is>
          <t>Index x quantity</t>
        </is>
      </c>
      <c r="F39" s="19" t="n">
        <v>0.06666666666666667</v>
      </c>
      <c r="G39" s="19" t="n">
        <v>0.6666666666666666</v>
      </c>
      <c r="H39" s="19" t="n">
        <v>0.7777777777777778</v>
      </c>
      <c r="I39" s="19" t="n">
        <v>0.7777777777777778</v>
      </c>
      <c r="J39" s="20" t="n">
        <v>0</v>
      </c>
      <c r="K39" s="20" t="n">
        <v>0.389049587</v>
      </c>
      <c r="L39" s="20" t="n">
        <v>0.389049587</v>
      </c>
      <c r="M39" s="20" t="n">
        <v>0.389049587</v>
      </c>
      <c r="N39" s="21">
        <f>F39*J39</f>
        <v/>
      </c>
      <c r="O39" s="21">
        <f>G39*K39</f>
        <v/>
      </c>
      <c r="P39" s="21">
        <f>H39*L39</f>
        <v/>
      </c>
      <c r="Q39" s="21">
        <f>I39*M39</f>
        <v/>
      </c>
      <c r="R39" s="21">
        <f>SUMPRODUCT($O$5:$Q$5-$N$5:$P$5,(O39:Q39+N39:P39)/2)/($Q$5-$N$5)</f>
        <v/>
      </c>
    </row>
    <row r="40">
      <c r="A40" s="10">
        <f>B40&amp;"|"&amp;C40</f>
        <v/>
      </c>
      <c r="B40" s="4" t="inlineStr">
        <is>
          <t>17F2M</t>
        </is>
      </c>
      <c r="C40" s="4" t="inlineStr">
        <is>
          <t>Alternative3</t>
        </is>
      </c>
      <c r="D40" s="4" t="inlineStr">
        <is>
          <t>Riparian, right bank</t>
        </is>
      </c>
      <c r="E40" s="4" t="inlineStr">
        <is>
          <t>Index x quantity</t>
        </is>
      </c>
      <c r="F40" s="19" t="n">
        <v>0.06666666666666667</v>
      </c>
      <c r="G40" s="19" t="n">
        <v>0.7333333333333333</v>
      </c>
      <c r="H40" s="19" t="n">
        <v>0.7955555555555556</v>
      </c>
      <c r="I40" s="19" t="n">
        <v>0.8355555555555556</v>
      </c>
      <c r="J40" s="20" t="n">
        <v>0</v>
      </c>
      <c r="K40" s="20" t="n">
        <v>2.67231405</v>
      </c>
      <c r="L40" s="20" t="n">
        <v>2.67231405</v>
      </c>
      <c r="M40" s="20" t="n">
        <v>2.67231405</v>
      </c>
      <c r="N40" s="21">
        <f>F40*J40</f>
        <v/>
      </c>
      <c r="O40" s="21">
        <f>G40*K40</f>
        <v/>
      </c>
      <c r="P40" s="21">
        <f>H40*L40</f>
        <v/>
      </c>
      <c r="Q40" s="21">
        <f>I40*M40</f>
        <v/>
      </c>
      <c r="R40" s="21">
        <f>SUMPRODUCT($O$5:$Q$5-$N$5:$P$5,(O40:Q40+N40:P40)/2)/($Q$5-$N$5)</f>
        <v/>
      </c>
    </row>
    <row r="41">
      <c r="A41" s="10">
        <f>B41&amp;"|"&amp;C41</f>
        <v/>
      </c>
      <c r="B41" s="4" t="inlineStr">
        <is>
          <t>17D2E</t>
        </is>
      </c>
      <c r="C41" s="4" t="inlineStr">
        <is>
          <t>FWOP</t>
        </is>
      </c>
      <c r="D41" s="4" t="inlineStr">
        <is>
          <t>Riparian, right bank</t>
        </is>
      </c>
      <c r="E41" s="4" t="inlineStr">
        <is>
          <t>Index x quantity</t>
        </is>
      </c>
      <c r="F41" s="19" t="n">
        <v>0.2777777777777778</v>
      </c>
      <c r="G41" s="19" t="n">
        <v>0.2777777777777778</v>
      </c>
      <c r="H41" s="19" t="n">
        <v>0.2777777777777778</v>
      </c>
      <c r="I41" s="19" t="n">
        <v>0.2777777777777778</v>
      </c>
      <c r="J41" s="20" t="n">
        <v>8.613189818</v>
      </c>
      <c r="K41" s="20" t="n">
        <v>8.613189818</v>
      </c>
      <c r="L41" s="20" t="n">
        <v>8.613189818</v>
      </c>
      <c r="M41" s="20" t="n">
        <v>8.613189818</v>
      </c>
      <c r="N41" s="21">
        <f>F41*J41</f>
        <v/>
      </c>
      <c r="O41" s="21">
        <f>G41*K41</f>
        <v/>
      </c>
      <c r="P41" s="21">
        <f>H41*L41</f>
        <v/>
      </c>
      <c r="Q41" s="21">
        <f>I41*M41</f>
        <v/>
      </c>
      <c r="R41" s="21">
        <f>SUMPRODUCT($O$5:$Q$5-$N$5:$P$5,(O41:Q41+N41:P41)/2)/($Q$5-$N$5)</f>
        <v/>
      </c>
    </row>
    <row r="42">
      <c r="A42" s="10">
        <f>B42&amp;"|"&amp;C42</f>
        <v/>
      </c>
      <c r="B42" s="4" t="inlineStr">
        <is>
          <t>17D2E</t>
        </is>
      </c>
      <c r="C42" s="4" t="inlineStr">
        <is>
          <t>Alternative1</t>
        </is>
      </c>
      <c r="D42" s="4" t="inlineStr">
        <is>
          <t>Riparian, right bank</t>
        </is>
      </c>
      <c r="E42" s="4" t="inlineStr">
        <is>
          <t>Index x quantity</t>
        </is>
      </c>
      <c r="F42" s="19" t="n">
        <v>0.2777777777777778</v>
      </c>
      <c r="G42" s="19" t="n">
        <v>0.58</v>
      </c>
      <c r="H42" s="19" t="n">
        <v>0.6377777777777778</v>
      </c>
      <c r="I42" s="19" t="n">
        <v>0.6955555555555555</v>
      </c>
      <c r="J42" s="20" t="n">
        <v>8.613189818</v>
      </c>
      <c r="K42" s="20" t="n">
        <v>10.17680322</v>
      </c>
      <c r="L42" s="20" t="n">
        <v>10.17680322</v>
      </c>
      <c r="M42" s="20" t="n">
        <v>10.17680322</v>
      </c>
      <c r="N42" s="21">
        <f>F42*J42</f>
        <v/>
      </c>
      <c r="O42" s="21">
        <f>G42*K42</f>
        <v/>
      </c>
      <c r="P42" s="21">
        <f>H42*L42</f>
        <v/>
      </c>
      <c r="Q42" s="21">
        <f>I42*M42</f>
        <v/>
      </c>
      <c r="R42" s="21">
        <f>SUMPRODUCT($O$5:$Q$5-$N$5:$P$5,(O42:Q42+N42:P42)/2)/($Q$5-$N$5)</f>
        <v/>
      </c>
    </row>
    <row r="43">
      <c r="A43" s="10">
        <f>B43&amp;"|"&amp;C43</f>
        <v/>
      </c>
      <c r="B43" s="4" t="inlineStr">
        <is>
          <t>17D2E</t>
        </is>
      </c>
      <c r="C43" s="4" t="inlineStr">
        <is>
          <t>Alternative2</t>
        </is>
      </c>
      <c r="D43" s="4" t="inlineStr">
        <is>
          <t>Riparian, right bank</t>
        </is>
      </c>
      <c r="E43" s="4" t="inlineStr">
        <is>
          <t>Index x quantity</t>
        </is>
      </c>
      <c r="F43" s="19" t="n">
        <v>0.2777777777777778</v>
      </c>
      <c r="G43" s="19" t="n">
        <v>0.58</v>
      </c>
      <c r="H43" s="19" t="n">
        <v>0.6377777777777778</v>
      </c>
      <c r="I43" s="19" t="n">
        <v>0.6955555555555555</v>
      </c>
      <c r="J43" s="20" t="n">
        <v>8.613189818</v>
      </c>
      <c r="K43" s="20" t="n">
        <v>10.2201687</v>
      </c>
      <c r="L43" s="20" t="n">
        <v>10.2201687</v>
      </c>
      <c r="M43" s="20" t="n">
        <v>10.2201687</v>
      </c>
      <c r="N43" s="21">
        <f>F43*J43</f>
        <v/>
      </c>
      <c r="O43" s="21">
        <f>G43*K43</f>
        <v/>
      </c>
      <c r="P43" s="21">
        <f>H43*L43</f>
        <v/>
      </c>
      <c r="Q43" s="21">
        <f>I43*M43</f>
        <v/>
      </c>
      <c r="R43" s="21">
        <f>SUMPRODUCT($O$5:$Q$5-$N$5:$P$5,(O43:Q43+N43:P43)/2)/($Q$5-$N$5)</f>
        <v/>
      </c>
    </row>
    <row r="44">
      <c r="A44" s="10">
        <f>B44&amp;"|"&amp;C44</f>
        <v/>
      </c>
      <c r="B44" s="4" t="inlineStr">
        <is>
          <t>17D2E</t>
        </is>
      </c>
      <c r="C44" s="4" t="inlineStr">
        <is>
          <t>Alternative3</t>
        </is>
      </c>
      <c r="D44" s="4" t="inlineStr">
        <is>
          <t>Riparian, right bank</t>
        </is>
      </c>
      <c r="E44" s="4" t="inlineStr">
        <is>
          <t>Index x quantity</t>
        </is>
      </c>
      <c r="F44" s="19" t="n">
        <v>0.2777777777777778</v>
      </c>
      <c r="G44" s="19" t="n">
        <v>0.5377777777777778</v>
      </c>
      <c r="H44" s="19" t="n">
        <v>0.5777777777777778</v>
      </c>
      <c r="I44" s="19" t="n">
        <v>0.5822222222222222</v>
      </c>
      <c r="J44" s="20" t="n">
        <v>8.613189818</v>
      </c>
      <c r="K44" s="20" t="n">
        <v>8.613189818</v>
      </c>
      <c r="L44" s="20" t="n">
        <v>8.613189818</v>
      </c>
      <c r="M44" s="20" t="n">
        <v>8.613189818</v>
      </c>
      <c r="N44" s="21">
        <f>F44*J44</f>
        <v/>
      </c>
      <c r="O44" s="21">
        <f>G44*K44</f>
        <v/>
      </c>
      <c r="P44" s="21">
        <f>H44*L44</f>
        <v/>
      </c>
      <c r="Q44" s="21">
        <f>I44*M44</f>
        <v/>
      </c>
      <c r="R44" s="21">
        <f>SUMPRODUCT($O$5:$Q$5-$N$5:$P$5,(O44:Q44+N44:P44)/2)/($Q$5-$N$5)</f>
        <v/>
      </c>
    </row>
    <row r="45">
      <c r="A45" s="10">
        <f>B45&amp;"|"&amp;C45</f>
        <v/>
      </c>
      <c r="B45" s="4" t="inlineStr">
        <is>
          <t>17B</t>
        </is>
      </c>
      <c r="C45" s="4" t="inlineStr">
        <is>
          <t>FWOP</t>
        </is>
      </c>
      <c r="D45" s="4" t="inlineStr">
        <is>
          <t>Riparian, right bank</t>
        </is>
      </c>
      <c r="E45" s="4" t="inlineStr">
        <is>
          <t>Index x quantity</t>
        </is>
      </c>
      <c r="F45" s="19" t="n">
        <v>0.8911111111111111</v>
      </c>
      <c r="G45" s="19" t="n">
        <v>0.8911111111111111</v>
      </c>
      <c r="H45" s="19" t="n">
        <v>0.8911111111111111</v>
      </c>
      <c r="I45" s="19" t="n">
        <v>0.8911111111111111</v>
      </c>
      <c r="J45" s="20" t="n">
        <v>25.39956615</v>
      </c>
      <c r="K45" s="20" t="n">
        <v>25.39956615</v>
      </c>
      <c r="L45" s="20" t="n">
        <v>25.39956615</v>
      </c>
      <c r="M45" s="20" t="n">
        <v>25.39956615</v>
      </c>
      <c r="N45" s="21">
        <f>F45*J45</f>
        <v/>
      </c>
      <c r="O45" s="21">
        <f>G45*K45</f>
        <v/>
      </c>
      <c r="P45" s="21">
        <f>H45*L45</f>
        <v/>
      </c>
      <c r="Q45" s="21">
        <f>I45*M45</f>
        <v/>
      </c>
      <c r="R45" s="21">
        <f>SUMPRODUCT($O$5:$Q$5-$N$5:$P$5,(O45:Q45+N45:P45)/2)/($Q$5-$N$5)</f>
        <v/>
      </c>
    </row>
    <row r="46">
      <c r="A46" s="10">
        <f>B46&amp;"|"&amp;C46</f>
        <v/>
      </c>
      <c r="B46" s="4" t="inlineStr">
        <is>
          <t>17B</t>
        </is>
      </c>
      <c r="C46" s="4" t="inlineStr">
        <is>
          <t>Alternative1</t>
        </is>
      </c>
      <c r="D46" s="4" t="inlineStr">
        <is>
          <t>Riparian, right bank</t>
        </is>
      </c>
      <c r="E46" s="4" t="inlineStr">
        <is>
          <t>Index x quantity</t>
        </is>
      </c>
      <c r="F46" s="19" t="n">
        <v>0.8911111111111111</v>
      </c>
      <c r="G46" s="19" t="n">
        <v>0.8999999999999999</v>
      </c>
      <c r="H46" s="19" t="n">
        <v>0.8999999999999999</v>
      </c>
      <c r="I46" s="19" t="n">
        <v>0.8999999999999999</v>
      </c>
      <c r="J46" s="20" t="n">
        <v>25.39956615</v>
      </c>
      <c r="K46" s="20" t="n">
        <v>25.60552345</v>
      </c>
      <c r="L46" s="20" t="n">
        <v>25.60552345</v>
      </c>
      <c r="M46" s="20" t="n">
        <v>25.60552345</v>
      </c>
      <c r="N46" s="21">
        <f>F46*J46</f>
        <v/>
      </c>
      <c r="O46" s="21">
        <f>G46*K46</f>
        <v/>
      </c>
      <c r="P46" s="21">
        <f>H46*L46</f>
        <v/>
      </c>
      <c r="Q46" s="21">
        <f>I46*M46</f>
        <v/>
      </c>
      <c r="R46" s="21">
        <f>SUMPRODUCT($O$5:$Q$5-$N$5:$P$5,(O46:Q46+N46:P46)/2)/($Q$5-$N$5)</f>
        <v/>
      </c>
    </row>
    <row r="47">
      <c r="A47" s="10">
        <f>B47&amp;"|"&amp;C47</f>
        <v/>
      </c>
      <c r="B47" s="4" t="inlineStr">
        <is>
          <t>17B</t>
        </is>
      </c>
      <c r="C47" s="4" t="inlineStr">
        <is>
          <t>Alternative2</t>
        </is>
      </c>
      <c r="D47" s="4" t="inlineStr">
        <is>
          <t>Riparian, right bank</t>
        </is>
      </c>
      <c r="E47" s="4" t="inlineStr">
        <is>
          <t>Index x quantity</t>
        </is>
      </c>
      <c r="F47" s="19" t="n">
        <v>0.8911111111111111</v>
      </c>
      <c r="G47" s="19" t="n">
        <v>0.8955555555555555</v>
      </c>
      <c r="H47" s="19" t="n">
        <v>0.9088888888888889</v>
      </c>
      <c r="I47" s="19" t="n">
        <v>0.9088888888888889</v>
      </c>
      <c r="J47" s="20" t="n">
        <v>25.39956615</v>
      </c>
      <c r="K47" s="20" t="n">
        <v>25.60552345</v>
      </c>
      <c r="L47" s="20" t="n">
        <v>25.60552345</v>
      </c>
      <c r="M47" s="20" t="n">
        <v>25.60552345</v>
      </c>
      <c r="N47" s="21">
        <f>F47*J47</f>
        <v/>
      </c>
      <c r="O47" s="21">
        <f>G47*K47</f>
        <v/>
      </c>
      <c r="P47" s="21">
        <f>H47*L47</f>
        <v/>
      </c>
      <c r="Q47" s="21">
        <f>I47*M47</f>
        <v/>
      </c>
      <c r="R47" s="21">
        <f>SUMPRODUCT($O$5:$Q$5-$N$5:$P$5,(O47:Q47+N47:P47)/2)/($Q$5-$N$5)</f>
        <v/>
      </c>
    </row>
    <row r="48">
      <c r="A48" s="10">
        <f>B48&amp;"|"&amp;C48</f>
        <v/>
      </c>
      <c r="B48" s="4" t="inlineStr">
        <is>
          <t>17B</t>
        </is>
      </c>
      <c r="C48" s="4" t="inlineStr">
        <is>
          <t>Alternative3</t>
        </is>
      </c>
      <c r="D48" s="4" t="inlineStr">
        <is>
          <t>Riparian, right bank</t>
        </is>
      </c>
      <c r="E48" s="4" t="inlineStr">
        <is>
          <t>Index x quantity</t>
        </is>
      </c>
      <c r="F48" s="19" t="n">
        <v>0.8911111111111111</v>
      </c>
      <c r="G48" s="19" t="n">
        <v>0.8955555555555555</v>
      </c>
      <c r="H48" s="19" t="n">
        <v>0.8955555555555555</v>
      </c>
      <c r="I48" s="19" t="n">
        <v>0.8955555555555555</v>
      </c>
      <c r="J48" s="20" t="n">
        <v>25.39956615</v>
      </c>
      <c r="K48" s="20" t="n">
        <v>25.39956615</v>
      </c>
      <c r="L48" s="20" t="n">
        <v>25.39956615</v>
      </c>
      <c r="M48" s="20" t="n">
        <v>25.39956615</v>
      </c>
      <c r="N48" s="21">
        <f>F48*J48</f>
        <v/>
      </c>
      <c r="O48" s="21">
        <f>G48*K48</f>
        <v/>
      </c>
      <c r="P48" s="21">
        <f>H48*L48</f>
        <v/>
      </c>
      <c r="Q48" s="21">
        <f>I48*M48</f>
        <v/>
      </c>
      <c r="R48" s="21">
        <f>SUMPRODUCT($O$5:$Q$5-$N$5:$P$5,(O48:Q48+N48:P48)/2)/($Q$5-$N$5)</f>
        <v/>
      </c>
    </row>
    <row r="49">
      <c r="A49" s="10">
        <f>B49&amp;"|"&amp;C49</f>
        <v/>
      </c>
      <c r="B49" s="4" t="inlineStr">
        <is>
          <t>2A</t>
        </is>
      </c>
      <c r="C49" s="4" t="inlineStr">
        <is>
          <t>FWOP</t>
        </is>
      </c>
      <c r="D49" s="4" t="inlineStr">
        <is>
          <t>Riparian, right bank</t>
        </is>
      </c>
      <c r="E49" s="4" t="inlineStr">
        <is>
          <t>Index x quantity</t>
        </is>
      </c>
      <c r="F49" s="19" t="n">
        <v>0.648888888888889</v>
      </c>
      <c r="G49" s="19" t="n">
        <v>0.648888888888889</v>
      </c>
      <c r="H49" s="19" t="n">
        <v>0.648888888888889</v>
      </c>
      <c r="I49" s="19" t="n">
        <v>0.648888888888889</v>
      </c>
      <c r="J49" s="20" t="n">
        <v>32.19387628</v>
      </c>
      <c r="K49" s="20" t="n">
        <v>32.19387628</v>
      </c>
      <c r="L49" s="20" t="n">
        <v>32.19387628</v>
      </c>
      <c r="M49" s="20" t="n">
        <v>32.19387628</v>
      </c>
      <c r="N49" s="21">
        <f>F49*J49</f>
        <v/>
      </c>
      <c r="O49" s="21">
        <f>G49*K49</f>
        <v/>
      </c>
      <c r="P49" s="21">
        <f>H49*L49</f>
        <v/>
      </c>
      <c r="Q49" s="21">
        <f>I49*M49</f>
        <v/>
      </c>
      <c r="R49" s="21">
        <f>SUMPRODUCT($O$5:$Q$5-$N$5:$P$5,(O49:Q49+N49:P49)/2)/($Q$5-$N$5)</f>
        <v/>
      </c>
    </row>
    <row r="50">
      <c r="A50" s="10">
        <f>B50&amp;"|"&amp;C50</f>
        <v/>
      </c>
      <c r="B50" s="4" t="inlineStr">
        <is>
          <t>2A</t>
        </is>
      </c>
      <c r="C50" s="4" t="inlineStr">
        <is>
          <t>Alternative1</t>
        </is>
      </c>
      <c r="D50" s="4" t="inlineStr">
        <is>
          <t>Riparian, right bank</t>
        </is>
      </c>
      <c r="E50" s="4" t="inlineStr">
        <is>
          <t>Index x quantity</t>
        </is>
      </c>
      <c r="F50" s="19" t="n">
        <v>0.648888888888889</v>
      </c>
      <c r="G50" s="19" t="n">
        <v>0.9022222222222224</v>
      </c>
      <c r="H50" s="19" t="n">
        <v>0.9444444444444445</v>
      </c>
      <c r="I50" s="19" t="n">
        <v>0.948888888888889</v>
      </c>
      <c r="J50" s="20" t="n">
        <v>32.19387628</v>
      </c>
      <c r="K50" s="20" t="n">
        <v>32.99155764</v>
      </c>
      <c r="L50" s="20" t="n">
        <v>32.99155764</v>
      </c>
      <c r="M50" s="20" t="n">
        <v>32.99155764</v>
      </c>
      <c r="N50" s="21">
        <f>F50*J50</f>
        <v/>
      </c>
      <c r="O50" s="21">
        <f>G50*K50</f>
        <v/>
      </c>
      <c r="P50" s="21">
        <f>H50*L50</f>
        <v/>
      </c>
      <c r="Q50" s="21">
        <f>I50*M50</f>
        <v/>
      </c>
      <c r="R50" s="21">
        <f>SUMPRODUCT($O$5:$Q$5-$N$5:$P$5,(O50:Q50+N50:P50)/2)/($Q$5-$N$5)</f>
        <v/>
      </c>
    </row>
    <row r="51">
      <c r="A51" s="10">
        <f>B51&amp;"|"&amp;C51</f>
        <v/>
      </c>
      <c r="B51" s="4" t="inlineStr">
        <is>
          <t>2A</t>
        </is>
      </c>
      <c r="C51" s="4" t="inlineStr">
        <is>
          <t>Alternative2</t>
        </is>
      </c>
      <c r="D51" s="4" t="inlineStr">
        <is>
          <t>Riparian, right bank</t>
        </is>
      </c>
      <c r="E51" s="4" t="inlineStr">
        <is>
          <t>Index x quantity</t>
        </is>
      </c>
      <c r="F51" s="19" t="n">
        <v>0.648888888888889</v>
      </c>
      <c r="G51" s="19" t="n">
        <v>0.8066666666666666</v>
      </c>
      <c r="H51" s="19" t="n">
        <v>0.8466666666666667</v>
      </c>
      <c r="I51" s="19" t="n">
        <v>0.8666666666666668</v>
      </c>
      <c r="J51" s="20" t="n">
        <v>32.19387628</v>
      </c>
      <c r="K51" s="20" t="n">
        <v>33.22307738</v>
      </c>
      <c r="L51" s="20" t="n">
        <v>33.22307738</v>
      </c>
      <c r="M51" s="20" t="n">
        <v>33.22307738</v>
      </c>
      <c r="N51" s="21">
        <f>F51*J51</f>
        <v/>
      </c>
      <c r="O51" s="21">
        <f>G51*K51</f>
        <v/>
      </c>
      <c r="P51" s="21">
        <f>H51*L51</f>
        <v/>
      </c>
      <c r="Q51" s="21">
        <f>I51*M51</f>
        <v/>
      </c>
      <c r="R51" s="21">
        <f>SUMPRODUCT($O$5:$Q$5-$N$5:$P$5,(O51:Q51+N51:P51)/2)/($Q$5-$N$5)</f>
        <v/>
      </c>
    </row>
    <row r="52">
      <c r="A52" s="10">
        <f>B52&amp;"|"&amp;C52</f>
        <v/>
      </c>
      <c r="B52" s="4" t="inlineStr">
        <is>
          <t>2A</t>
        </is>
      </c>
      <c r="C52" s="4" t="inlineStr">
        <is>
          <t>Alternative3</t>
        </is>
      </c>
      <c r="D52" s="4" t="inlineStr">
        <is>
          <t>Riparian, right bank</t>
        </is>
      </c>
      <c r="E52" s="4" t="inlineStr">
        <is>
          <t>Index x quantity</t>
        </is>
      </c>
      <c r="F52" s="19" t="n">
        <v>0.648888888888889</v>
      </c>
      <c r="G52" s="19" t="n">
        <v>0.6622222222222223</v>
      </c>
      <c r="H52" s="19" t="n">
        <v>0.6622222222222223</v>
      </c>
      <c r="I52" s="19" t="n">
        <v>0.6622222222222223</v>
      </c>
      <c r="J52" s="20" t="n">
        <v>32.19387628</v>
      </c>
      <c r="K52" s="20" t="n">
        <v>32.19387628</v>
      </c>
      <c r="L52" s="20" t="n">
        <v>32.19387628</v>
      </c>
      <c r="M52" s="20" t="n">
        <v>32.19387628</v>
      </c>
      <c r="N52" s="21">
        <f>F52*J52</f>
        <v/>
      </c>
      <c r="O52" s="21">
        <f>G52*K52</f>
        <v/>
      </c>
      <c r="P52" s="21">
        <f>H52*L52</f>
        <v/>
      </c>
      <c r="Q52" s="21">
        <f>I52*M52</f>
        <v/>
      </c>
      <c r="R52" s="21">
        <f>SUMPRODUCT($O$5:$Q$5-$N$5:$P$5,(O52:Q52+N52:P52)/2)/($Q$5-$N$5)</f>
        <v/>
      </c>
    </row>
    <row r="53">
      <c r="A53" s="10">
        <f>B53&amp;"|"&amp;C53</f>
        <v/>
      </c>
      <c r="B53" s="4" t="inlineStr">
        <is>
          <t>2B</t>
        </is>
      </c>
      <c r="C53" s="4" t="inlineStr">
        <is>
          <t>FWOP</t>
        </is>
      </c>
      <c r="D53" s="4" t="inlineStr">
        <is>
          <t>Riparian, right bank</t>
        </is>
      </c>
      <c r="E53" s="4" t="inlineStr">
        <is>
          <t>Index x quantity</t>
        </is>
      </c>
      <c r="F53" s="19" t="n">
        <v>0.5244444444444444</v>
      </c>
      <c r="G53" s="19" t="n">
        <v>0.5244444444444444</v>
      </c>
      <c r="H53" s="19" t="n">
        <v>0.5244444444444444</v>
      </c>
      <c r="I53" s="19" t="n">
        <v>0.5244444444444444</v>
      </c>
      <c r="J53" s="20" t="n">
        <v>26.68614567</v>
      </c>
      <c r="K53" s="20" t="n">
        <v>26.68614567</v>
      </c>
      <c r="L53" s="20" t="n">
        <v>26.68614567</v>
      </c>
      <c r="M53" s="20" t="n">
        <v>26.68614567</v>
      </c>
      <c r="N53" s="21">
        <f>F53*J53</f>
        <v/>
      </c>
      <c r="O53" s="21">
        <f>G53*K53</f>
        <v/>
      </c>
      <c r="P53" s="21">
        <f>H53*L53</f>
        <v/>
      </c>
      <c r="Q53" s="21">
        <f>I53*M53</f>
        <v/>
      </c>
      <c r="R53" s="21">
        <f>SUMPRODUCT($O$5:$Q$5-$N$5:$P$5,(O53:Q53+N53:P53)/2)/($Q$5-$N$5)</f>
        <v/>
      </c>
    </row>
    <row r="54">
      <c r="A54" s="10">
        <f>B54&amp;"|"&amp;C54</f>
        <v/>
      </c>
      <c r="B54" s="4" t="inlineStr">
        <is>
          <t>2B</t>
        </is>
      </c>
      <c r="C54" s="4" t="inlineStr">
        <is>
          <t>Alternative1</t>
        </is>
      </c>
      <c r="D54" s="4" t="inlineStr">
        <is>
          <t>Riparian, right bank</t>
        </is>
      </c>
      <c r="E54" s="4" t="inlineStr">
        <is>
          <t>Index x quantity</t>
        </is>
      </c>
      <c r="F54" s="19" t="n">
        <v>0.5244444444444444</v>
      </c>
      <c r="G54" s="19" t="n">
        <v>0.8422222222222223</v>
      </c>
      <c r="H54" s="19" t="n">
        <v>0.9</v>
      </c>
      <c r="I54" s="19" t="n">
        <v>0.9088888888888889</v>
      </c>
      <c r="J54" s="20" t="n">
        <v>26.68614567</v>
      </c>
      <c r="K54" s="20" t="n">
        <v>27.95159563</v>
      </c>
      <c r="L54" s="20" t="n">
        <v>27.95159563</v>
      </c>
      <c r="M54" s="20" t="n">
        <v>27.95159563</v>
      </c>
      <c r="N54" s="21">
        <f>F54*J54</f>
        <v/>
      </c>
      <c r="O54" s="21">
        <f>G54*K54</f>
        <v/>
      </c>
      <c r="P54" s="21">
        <f>H54*L54</f>
        <v/>
      </c>
      <c r="Q54" s="21">
        <f>I54*M54</f>
        <v/>
      </c>
      <c r="R54" s="21">
        <f>SUMPRODUCT($O$5:$Q$5-$N$5:$P$5,(O54:Q54+N54:P54)/2)/($Q$5-$N$5)</f>
        <v/>
      </c>
    </row>
    <row r="55">
      <c r="A55" s="10">
        <f>B55&amp;"|"&amp;C55</f>
        <v/>
      </c>
      <c r="B55" s="4" t="inlineStr">
        <is>
          <t>2B</t>
        </is>
      </c>
      <c r="C55" s="4" t="inlineStr">
        <is>
          <t>Alternative2</t>
        </is>
      </c>
      <c r="D55" s="4" t="inlineStr">
        <is>
          <t>Riparian, right bank</t>
        </is>
      </c>
      <c r="E55" s="4" t="inlineStr">
        <is>
          <t>Index x quantity</t>
        </is>
      </c>
      <c r="F55" s="19" t="n">
        <v>0.5244444444444444</v>
      </c>
      <c r="G55" s="19" t="n">
        <v>0.7711111111111112</v>
      </c>
      <c r="H55" s="19" t="n">
        <v>0.7955555555555556</v>
      </c>
      <c r="I55" s="19" t="n">
        <v>0.8111111111111112</v>
      </c>
      <c r="J55" s="20" t="n">
        <v>26.68614567</v>
      </c>
      <c r="K55" s="20" t="n">
        <v>27.56074393</v>
      </c>
      <c r="L55" s="20" t="n">
        <v>27.56074393</v>
      </c>
      <c r="M55" s="20" t="n">
        <v>27.56074393</v>
      </c>
      <c r="N55" s="21">
        <f>F55*J55</f>
        <v/>
      </c>
      <c r="O55" s="21">
        <f>G55*K55</f>
        <v/>
      </c>
      <c r="P55" s="21">
        <f>H55*L55</f>
        <v/>
      </c>
      <c r="Q55" s="21">
        <f>I55*M55</f>
        <v/>
      </c>
      <c r="R55" s="21">
        <f>SUMPRODUCT($O$5:$Q$5-$N$5:$P$5,(O55:Q55+N55:P55)/2)/($Q$5-$N$5)</f>
        <v/>
      </c>
    </row>
    <row r="56">
      <c r="A56" s="10">
        <f>B56&amp;"|"&amp;C56</f>
        <v/>
      </c>
      <c r="B56" s="4" t="inlineStr">
        <is>
          <t>2B</t>
        </is>
      </c>
      <c r="C56" s="4" t="inlineStr">
        <is>
          <t>Alternative3</t>
        </is>
      </c>
      <c r="D56" s="4" t="inlineStr">
        <is>
          <t>Riparian, right bank</t>
        </is>
      </c>
      <c r="E56" s="4" t="inlineStr">
        <is>
          <t>Index x quantity</t>
        </is>
      </c>
      <c r="F56" s="19" t="n">
        <v>0.5244444444444444</v>
      </c>
      <c r="G56" s="19" t="n">
        <v>0.6311111111111111</v>
      </c>
      <c r="H56" s="19" t="n">
        <v>0.6311111111111111</v>
      </c>
      <c r="I56" s="19" t="n">
        <v>0.6311111111111111</v>
      </c>
      <c r="J56" s="20" t="n">
        <v>26.68614567</v>
      </c>
      <c r="K56" s="20" t="n">
        <v>26.68614567</v>
      </c>
      <c r="L56" s="20" t="n">
        <v>26.68614567</v>
      </c>
      <c r="M56" s="20" t="n">
        <v>26.68614567</v>
      </c>
      <c r="N56" s="21">
        <f>F56*J56</f>
        <v/>
      </c>
      <c r="O56" s="21">
        <f>G56*K56</f>
        <v/>
      </c>
      <c r="P56" s="21">
        <f>H56*L56</f>
        <v/>
      </c>
      <c r="Q56" s="21">
        <f>I56*M56</f>
        <v/>
      </c>
      <c r="R56" s="21">
        <f>SUMPRODUCT($O$5:$Q$5-$N$5:$P$5,(O56:Q56+N56:P56)/2)/($Q$5-$N$5)</f>
        <v/>
      </c>
    </row>
    <row r="57">
      <c r="A57" s="10">
        <f>B57&amp;"|"&amp;C57</f>
        <v/>
      </c>
      <c r="B57" s="4" t="inlineStr">
        <is>
          <t>3E</t>
        </is>
      </c>
      <c r="C57" s="4" t="inlineStr">
        <is>
          <t>FWOP</t>
        </is>
      </c>
      <c r="D57" s="4" t="inlineStr">
        <is>
          <t>Riparian, right bank</t>
        </is>
      </c>
      <c r="E57" s="4" t="inlineStr">
        <is>
          <t>Index x quantity</t>
        </is>
      </c>
      <c r="F57" s="19" t="n">
        <v>0.791111111111111</v>
      </c>
      <c r="G57" s="19" t="n">
        <v>0.791111111111111</v>
      </c>
      <c r="H57" s="19" t="n">
        <v>0.791111111111111</v>
      </c>
      <c r="I57" s="19" t="n">
        <v>0.791111111111111</v>
      </c>
      <c r="J57" s="20" t="n">
        <v>12.48167588</v>
      </c>
      <c r="K57" s="20" t="n">
        <v>12.48167588</v>
      </c>
      <c r="L57" s="20" t="n">
        <v>12.48167588</v>
      </c>
      <c r="M57" s="20" t="n">
        <v>12.48167588</v>
      </c>
      <c r="N57" s="21">
        <f>F57*J57</f>
        <v/>
      </c>
      <c r="O57" s="21">
        <f>G57*K57</f>
        <v/>
      </c>
      <c r="P57" s="21">
        <f>H57*L57</f>
        <v/>
      </c>
      <c r="Q57" s="21">
        <f>I57*M57</f>
        <v/>
      </c>
      <c r="R57" s="21">
        <f>SUMPRODUCT($O$5:$Q$5-$N$5:$P$5,(O57:Q57+N57:P57)/2)/($Q$5-$N$5)</f>
        <v/>
      </c>
    </row>
    <row r="58">
      <c r="A58" s="10">
        <f>B58&amp;"|"&amp;C58</f>
        <v/>
      </c>
      <c r="B58" s="4" t="inlineStr">
        <is>
          <t>3E</t>
        </is>
      </c>
      <c r="C58" s="4" t="inlineStr">
        <is>
          <t>Alternative1</t>
        </is>
      </c>
      <c r="D58" s="4" t="inlineStr">
        <is>
          <t>Riparian, right bank</t>
        </is>
      </c>
      <c r="E58" s="4" t="inlineStr">
        <is>
          <t>Index x quantity</t>
        </is>
      </c>
      <c r="F58" s="19" t="n">
        <v>0.791111111111111</v>
      </c>
      <c r="G58" s="19" t="n">
        <v>0.8911111111111111</v>
      </c>
      <c r="H58" s="19" t="n">
        <v>0.8955555555555555</v>
      </c>
      <c r="I58" s="19" t="n">
        <v>0.8955555555555555</v>
      </c>
      <c r="J58" s="20" t="n">
        <v>12.48167588</v>
      </c>
      <c r="K58" s="20" t="n">
        <v>12.48167588</v>
      </c>
      <c r="L58" s="20" t="n">
        <v>12.48167588</v>
      </c>
      <c r="M58" s="20" t="n">
        <v>12.48167588</v>
      </c>
      <c r="N58" s="21">
        <f>F58*J58</f>
        <v/>
      </c>
      <c r="O58" s="21">
        <f>G58*K58</f>
        <v/>
      </c>
      <c r="P58" s="21">
        <f>H58*L58</f>
        <v/>
      </c>
      <c r="Q58" s="21">
        <f>I58*M58</f>
        <v/>
      </c>
      <c r="R58" s="21">
        <f>SUMPRODUCT($O$5:$Q$5-$N$5:$P$5,(O58:Q58+N58:P58)/2)/($Q$5-$N$5)</f>
        <v/>
      </c>
    </row>
    <row r="59">
      <c r="A59" s="10">
        <f>B59&amp;"|"&amp;C59</f>
        <v/>
      </c>
      <c r="B59" s="4" t="inlineStr">
        <is>
          <t>3E</t>
        </is>
      </c>
      <c r="C59" s="4" t="inlineStr">
        <is>
          <t>Alternative2</t>
        </is>
      </c>
      <c r="D59" s="4" t="inlineStr">
        <is>
          <t>Riparian, right bank</t>
        </is>
      </c>
      <c r="E59" s="4" t="inlineStr">
        <is>
          <t>Index x quantity</t>
        </is>
      </c>
      <c r="F59" s="19" t="n">
        <v>0.791111111111111</v>
      </c>
      <c r="G59" s="19" t="n">
        <v>0.8733333333333334</v>
      </c>
      <c r="H59" s="19" t="n">
        <v>0.8733333333333334</v>
      </c>
      <c r="I59" s="19" t="n">
        <v>0.8777777777777778</v>
      </c>
      <c r="J59" s="20" t="n">
        <v>12.48167588</v>
      </c>
      <c r="K59" s="20" t="n">
        <v>12.48167588</v>
      </c>
      <c r="L59" s="20" t="n">
        <v>12.48167588</v>
      </c>
      <c r="M59" s="20" t="n">
        <v>12.48167588</v>
      </c>
      <c r="N59" s="21">
        <f>F59*J59</f>
        <v/>
      </c>
      <c r="O59" s="21">
        <f>G59*K59</f>
        <v/>
      </c>
      <c r="P59" s="21">
        <f>H59*L59</f>
        <v/>
      </c>
      <c r="Q59" s="21">
        <f>I59*M59</f>
        <v/>
      </c>
      <c r="R59" s="21">
        <f>SUMPRODUCT($O$5:$Q$5-$N$5:$P$5,(O59:Q59+N59:P59)/2)/($Q$5-$N$5)</f>
        <v/>
      </c>
    </row>
    <row r="60">
      <c r="A60" s="10">
        <f>B60&amp;"|"&amp;C60</f>
        <v/>
      </c>
      <c r="B60" s="4" t="inlineStr">
        <is>
          <t>3E</t>
        </is>
      </c>
      <c r="C60" s="4" t="inlineStr">
        <is>
          <t>Alternative3</t>
        </is>
      </c>
      <c r="D60" s="4" t="inlineStr">
        <is>
          <t>Riparian, right bank</t>
        </is>
      </c>
      <c r="E60" s="4" t="inlineStr">
        <is>
          <t>Index x quantity</t>
        </is>
      </c>
      <c r="F60" s="19" t="n">
        <v>0.791111111111111</v>
      </c>
      <c r="G60" s="19" t="n">
        <v>0.8288888888888889</v>
      </c>
      <c r="H60" s="19" t="n">
        <v>0.8422222222222223</v>
      </c>
      <c r="I60" s="19" t="n">
        <v>0.8422222222222223</v>
      </c>
      <c r="J60" s="20" t="n">
        <v>12.48167588</v>
      </c>
      <c r="K60" s="20" t="n">
        <v>12.48167588</v>
      </c>
      <c r="L60" s="20" t="n">
        <v>12.48167588</v>
      </c>
      <c r="M60" s="20" t="n">
        <v>12.48167588</v>
      </c>
      <c r="N60" s="21">
        <f>F60*J60</f>
        <v/>
      </c>
      <c r="O60" s="21">
        <f>G60*K60</f>
        <v/>
      </c>
      <c r="P60" s="21">
        <f>H60*L60</f>
        <v/>
      </c>
      <c r="Q60" s="21">
        <f>I60*M60</f>
        <v/>
      </c>
      <c r="R60" s="21">
        <f>SUMPRODUCT($O$5:$Q$5-$N$5:$P$5,(O60:Q60+N60:P60)/2)/($Q$5-$N$5)</f>
        <v/>
      </c>
    </row>
    <row r="61">
      <c r="A61" s="10">
        <f>B61&amp;"|"&amp;C61</f>
        <v/>
      </c>
      <c r="B61" s="4" t="inlineStr">
        <is>
          <t>3F</t>
        </is>
      </c>
      <c r="C61" s="4" t="inlineStr">
        <is>
          <t>FWOP</t>
        </is>
      </c>
      <c r="D61" s="4" t="inlineStr">
        <is>
          <t>Riparian, right bank</t>
        </is>
      </c>
      <c r="E61" s="4" t="inlineStr">
        <is>
          <t>Index x quantity</t>
        </is>
      </c>
      <c r="F61" s="19" t="n">
        <v>0.791111111111111</v>
      </c>
      <c r="G61" s="19" t="n">
        <v>0.791111111111111</v>
      </c>
      <c r="H61" s="19" t="n">
        <v>0.791111111111111</v>
      </c>
      <c r="I61" s="19" t="n">
        <v>0.791111111111111</v>
      </c>
      <c r="J61" s="20" t="n">
        <v>25.95161018</v>
      </c>
      <c r="K61" s="20" t="n">
        <v>25.95161018</v>
      </c>
      <c r="L61" s="20" t="n">
        <v>25.95161018</v>
      </c>
      <c r="M61" s="20" t="n">
        <v>25.95161018</v>
      </c>
      <c r="N61" s="21">
        <f>F61*J61</f>
        <v/>
      </c>
      <c r="O61" s="21">
        <f>G61*K61</f>
        <v/>
      </c>
      <c r="P61" s="21">
        <f>H61*L61</f>
        <v/>
      </c>
      <c r="Q61" s="21">
        <f>I61*M61</f>
        <v/>
      </c>
      <c r="R61" s="21">
        <f>SUMPRODUCT($O$5:$Q$5-$N$5:$P$5,(O61:Q61+N61:P61)/2)/($Q$5-$N$5)</f>
        <v/>
      </c>
    </row>
    <row r="62">
      <c r="A62" s="10">
        <f>B62&amp;"|"&amp;C62</f>
        <v/>
      </c>
      <c r="B62" s="4" t="inlineStr">
        <is>
          <t>3F</t>
        </is>
      </c>
      <c r="C62" s="4" t="inlineStr">
        <is>
          <t>Alternative1</t>
        </is>
      </c>
      <c r="D62" s="4" t="inlineStr">
        <is>
          <t>Riparian, right bank</t>
        </is>
      </c>
      <c r="E62" s="4" t="inlineStr">
        <is>
          <t>Index x quantity</t>
        </is>
      </c>
      <c r="F62" s="19" t="n">
        <v>0.791111111111111</v>
      </c>
      <c r="G62" s="19" t="n">
        <v>0.831111111111111</v>
      </c>
      <c r="H62" s="19" t="n">
        <v>0.8688888888888888</v>
      </c>
      <c r="I62" s="19" t="n">
        <v>0.8733333333333334</v>
      </c>
      <c r="J62" s="20" t="n">
        <v>25.95161018</v>
      </c>
      <c r="K62" s="20" t="n">
        <v>25.95161018</v>
      </c>
      <c r="L62" s="20" t="n">
        <v>25.95161018</v>
      </c>
      <c r="M62" s="20" t="n">
        <v>25.95161018</v>
      </c>
      <c r="N62" s="21">
        <f>F62*J62</f>
        <v/>
      </c>
      <c r="O62" s="21">
        <f>G62*K62</f>
        <v/>
      </c>
      <c r="P62" s="21">
        <f>H62*L62</f>
        <v/>
      </c>
      <c r="Q62" s="21">
        <f>I62*M62</f>
        <v/>
      </c>
      <c r="R62" s="21">
        <f>SUMPRODUCT($O$5:$Q$5-$N$5:$P$5,(O62:Q62+N62:P62)/2)/($Q$5-$N$5)</f>
        <v/>
      </c>
    </row>
    <row r="63">
      <c r="A63" s="10">
        <f>B63&amp;"|"&amp;C63</f>
        <v/>
      </c>
      <c r="B63" s="4" t="inlineStr">
        <is>
          <t>3F</t>
        </is>
      </c>
      <c r="C63" s="4" t="inlineStr">
        <is>
          <t>Alternative2</t>
        </is>
      </c>
      <c r="D63" s="4" t="inlineStr">
        <is>
          <t>Riparian, right bank</t>
        </is>
      </c>
      <c r="E63" s="4" t="inlineStr">
        <is>
          <t>Index x quantity</t>
        </is>
      </c>
      <c r="F63" s="19" t="n">
        <v>0.791111111111111</v>
      </c>
      <c r="G63" s="19" t="n">
        <v>0.8044444444444444</v>
      </c>
      <c r="H63" s="19" t="n">
        <v>0.8422222222222223</v>
      </c>
      <c r="I63" s="19" t="n">
        <v>0.8466666666666667</v>
      </c>
      <c r="J63" s="20" t="n">
        <v>25.95161018</v>
      </c>
      <c r="K63" s="20" t="n">
        <v>25.95161018</v>
      </c>
      <c r="L63" s="20" t="n">
        <v>25.95161018</v>
      </c>
      <c r="M63" s="20" t="n">
        <v>25.95161018</v>
      </c>
      <c r="N63" s="21">
        <f>F63*J63</f>
        <v/>
      </c>
      <c r="O63" s="21">
        <f>G63*K63</f>
        <v/>
      </c>
      <c r="P63" s="21">
        <f>H63*L63</f>
        <v/>
      </c>
      <c r="Q63" s="21">
        <f>I63*M63</f>
        <v/>
      </c>
      <c r="R63" s="21">
        <f>SUMPRODUCT($O$5:$Q$5-$N$5:$P$5,(O63:Q63+N63:P63)/2)/($Q$5-$N$5)</f>
        <v/>
      </c>
    </row>
    <row r="64">
      <c r="A64" s="10">
        <f>B64&amp;"|"&amp;C64</f>
        <v/>
      </c>
      <c r="B64" s="4" t="inlineStr">
        <is>
          <t>3F</t>
        </is>
      </c>
      <c r="C64" s="4" t="inlineStr">
        <is>
          <t>Alternative3</t>
        </is>
      </c>
      <c r="D64" s="4" t="inlineStr">
        <is>
          <t>Riparian, right bank</t>
        </is>
      </c>
      <c r="E64" s="4" t="inlineStr">
        <is>
          <t>Index x quantity</t>
        </is>
      </c>
      <c r="F64" s="19" t="n">
        <v>0.791111111111111</v>
      </c>
      <c r="G64" s="19" t="n">
        <v>0.8466666666666667</v>
      </c>
      <c r="H64" s="19" t="n">
        <v>0.8555555555555556</v>
      </c>
      <c r="I64" s="19" t="n">
        <v>0.8555555555555556</v>
      </c>
      <c r="J64" s="20" t="n">
        <v>25.95161018</v>
      </c>
      <c r="K64" s="20" t="n">
        <v>25.95161018</v>
      </c>
      <c r="L64" s="20" t="n">
        <v>25.95161018</v>
      </c>
      <c r="M64" s="20" t="n">
        <v>25.95161018</v>
      </c>
      <c r="N64" s="21">
        <f>F64*J64</f>
        <v/>
      </c>
      <c r="O64" s="21">
        <f>G64*K64</f>
        <v/>
      </c>
      <c r="P64" s="21">
        <f>H64*L64</f>
        <v/>
      </c>
      <c r="Q64" s="21">
        <f>I64*M64</f>
        <v/>
      </c>
      <c r="R64" s="21">
        <f>SUMPRODUCT($O$5:$Q$5-$N$5:$P$5,(O64:Q64+N64:P64)/2)/($Q$5-$N$5)</f>
        <v/>
      </c>
    </row>
    <row r="65">
      <c r="A65" s="10">
        <f>B65&amp;"|"&amp;C65</f>
        <v/>
      </c>
      <c r="B65" s="4" t="inlineStr">
        <is>
          <t>19A</t>
        </is>
      </c>
      <c r="C65" s="4" t="inlineStr">
        <is>
          <t>FWOP</t>
        </is>
      </c>
      <c r="D65" s="4" t="inlineStr">
        <is>
          <t>Riparian, right bank</t>
        </is>
      </c>
      <c r="E65" s="4" t="inlineStr">
        <is>
          <t>Index x quantity</t>
        </is>
      </c>
      <c r="F65" s="19" t="n">
        <v>0.6777777777777777</v>
      </c>
      <c r="G65" s="19" t="n">
        <v>0.6777777777777777</v>
      </c>
      <c r="H65" s="19" t="n">
        <v>0.6777777777777777</v>
      </c>
      <c r="I65" s="19" t="n">
        <v>0.6777777777777777</v>
      </c>
      <c r="J65" s="20" t="n">
        <v>23.08072727</v>
      </c>
      <c r="K65" s="20" t="n">
        <v>23.08072727</v>
      </c>
      <c r="L65" s="20" t="n">
        <v>23.08072727</v>
      </c>
      <c r="M65" s="20" t="n">
        <v>23.08072727</v>
      </c>
      <c r="N65" s="21">
        <f>F65*J65</f>
        <v/>
      </c>
      <c r="O65" s="21">
        <f>G65*K65</f>
        <v/>
      </c>
      <c r="P65" s="21">
        <f>H65*L65</f>
        <v/>
      </c>
      <c r="Q65" s="21">
        <f>I65*M65</f>
        <v/>
      </c>
      <c r="R65" s="21">
        <f>SUMPRODUCT($O$5:$Q$5-$N$5:$P$5,(O65:Q65+N65:P65)/2)/($Q$5-$N$5)</f>
        <v/>
      </c>
    </row>
    <row r="66">
      <c r="A66" s="10">
        <f>B66&amp;"|"&amp;C66</f>
        <v/>
      </c>
      <c r="B66" s="4" t="inlineStr">
        <is>
          <t>19A</t>
        </is>
      </c>
      <c r="C66" s="4" t="inlineStr">
        <is>
          <t>Alternative2</t>
        </is>
      </c>
      <c r="D66" s="4" t="inlineStr">
        <is>
          <t>Riparian, right bank</t>
        </is>
      </c>
      <c r="E66" s="4" t="inlineStr">
        <is>
          <t>Index x quantity</t>
        </is>
      </c>
      <c r="F66" s="19" t="n">
        <v>0.6777777777777777</v>
      </c>
      <c r="G66" s="19" t="n">
        <v>0.8177777777777778</v>
      </c>
      <c r="H66" s="19" t="n">
        <v>0.8422222222222221</v>
      </c>
      <c r="I66" s="19" t="n">
        <v>0.8533333333333332</v>
      </c>
      <c r="J66" s="20" t="n">
        <v>23.08072727</v>
      </c>
      <c r="K66" s="20" t="n">
        <v>28.12534389</v>
      </c>
      <c r="L66" s="20" t="n">
        <v>28.12534389</v>
      </c>
      <c r="M66" s="20" t="n">
        <v>28.12534389</v>
      </c>
      <c r="N66" s="21">
        <f>F66*J66</f>
        <v/>
      </c>
      <c r="O66" s="21">
        <f>G66*K66</f>
        <v/>
      </c>
      <c r="P66" s="21">
        <f>H66*L66</f>
        <v/>
      </c>
      <c r="Q66" s="21">
        <f>I66*M66</f>
        <v/>
      </c>
      <c r="R66" s="21">
        <f>SUMPRODUCT($O$5:$Q$5-$N$5:$P$5,(O66:Q66+N66:P66)/2)/($Q$5-$N$5)</f>
        <v/>
      </c>
    </row>
    <row r="67">
      <c r="A67" s="10">
        <f>B67&amp;"|"&amp;C67</f>
        <v/>
      </c>
      <c r="B67" s="4" t="inlineStr">
        <is>
          <t>19A</t>
        </is>
      </c>
      <c r="C67" s="4" t="inlineStr">
        <is>
          <t>Alternative3</t>
        </is>
      </c>
      <c r="D67" s="4" t="inlineStr">
        <is>
          <t>Riparian, right bank</t>
        </is>
      </c>
      <c r="E67" s="4" t="inlineStr">
        <is>
          <t>Index x quantity</t>
        </is>
      </c>
      <c r="F67" s="19" t="n">
        <v>0.6777777777777777</v>
      </c>
      <c r="G67" s="19" t="n">
        <v>0.7066666666666667</v>
      </c>
      <c r="H67" s="19" t="n">
        <v>0.7200000000000001</v>
      </c>
      <c r="I67" s="19" t="n">
        <v>0.7200000000000001</v>
      </c>
      <c r="J67" s="20" t="n">
        <v>23.08072727</v>
      </c>
      <c r="K67" s="20" t="n">
        <v>23.08072727</v>
      </c>
      <c r="L67" s="20" t="n">
        <v>23.08072727</v>
      </c>
      <c r="M67" s="20" t="n">
        <v>23.08072727</v>
      </c>
      <c r="N67" s="21">
        <f>F67*J67</f>
        <v/>
      </c>
      <c r="O67" s="21">
        <f>G67*K67</f>
        <v/>
      </c>
      <c r="P67" s="21">
        <f>H67*L67</f>
        <v/>
      </c>
      <c r="Q67" s="21">
        <f>I67*M67</f>
        <v/>
      </c>
      <c r="R67" s="21">
        <f>SUMPRODUCT($O$5:$Q$5-$N$5:$P$5,(O67:Q67+N67:P67)/2)/($Q$5-$N$5)</f>
        <v/>
      </c>
    </row>
    <row r="68">
      <c r="A68" s="10">
        <f>B68&amp;"|"&amp;C68</f>
        <v/>
      </c>
      <c r="B68" s="4" t="inlineStr">
        <is>
          <t>17F2M</t>
        </is>
      </c>
      <c r="C68" s="4" t="inlineStr">
        <is>
          <t>FWOP</t>
        </is>
      </c>
      <c r="D68" s="4" t="inlineStr">
        <is>
          <t>Instream</t>
        </is>
      </c>
      <c r="E68" s="4" t="inlineStr">
        <is>
          <t>Index x quantity</t>
        </is>
      </c>
      <c r="F68" s="19" t="n">
        <v>0.3176191306651363</v>
      </c>
      <c r="G68" s="19" t="n">
        <v>0.3176191306651363</v>
      </c>
      <c r="H68" s="19" t="n">
        <v>0.3176191306651363</v>
      </c>
      <c r="I68" s="19" t="n">
        <v>0.3176191306651363</v>
      </c>
      <c r="J68" s="20" t="n">
        <v>3.870233105454545</v>
      </c>
      <c r="K68" s="20" t="n">
        <v>3.870233105454545</v>
      </c>
      <c r="L68" s="20" t="n">
        <v>3.870233105454545</v>
      </c>
      <c r="M68" s="20" t="n">
        <v>3.870233105454545</v>
      </c>
      <c r="N68" s="21">
        <f>F68*J68</f>
        <v/>
      </c>
      <c r="O68" s="21">
        <f>G68*K68</f>
        <v/>
      </c>
      <c r="P68" s="21">
        <f>H68*L68</f>
        <v/>
      </c>
      <c r="Q68" s="21">
        <f>I68*M68</f>
        <v/>
      </c>
      <c r="R68" s="21">
        <f>SUMPRODUCT($O$5:$Q$5-$N$5:$P$5,(O68:Q68+N68:P68)/2)/($Q$5-$N$5)</f>
        <v/>
      </c>
    </row>
    <row r="69">
      <c r="A69" s="10">
        <f>B69&amp;"|"&amp;C69</f>
        <v/>
      </c>
      <c r="B69" s="4" t="inlineStr">
        <is>
          <t>17F2M</t>
        </is>
      </c>
      <c r="C69" s="4" t="inlineStr">
        <is>
          <t>Alternative1</t>
        </is>
      </c>
      <c r="D69" s="4" t="inlineStr">
        <is>
          <t>Instream</t>
        </is>
      </c>
      <c r="E69" s="4" t="inlineStr">
        <is>
          <t>Index x quantity</t>
        </is>
      </c>
      <c r="F69" s="19" t="n">
        <v>0.3176191306651363</v>
      </c>
      <c r="G69" s="19" t="n">
        <v>0.8718292977795244</v>
      </c>
      <c r="H69" s="19" t="n">
        <v>0.8749542977795245</v>
      </c>
      <c r="I69" s="19" t="n">
        <v>0.8812042977795245</v>
      </c>
      <c r="J69" s="20" t="n">
        <v>3.870233105454545</v>
      </c>
      <c r="K69" s="20" t="n">
        <v>3.02928145087236</v>
      </c>
      <c r="L69" s="20" t="n">
        <v>3.02928145087236</v>
      </c>
      <c r="M69" s="20" t="n">
        <v>3.02928145087236</v>
      </c>
      <c r="N69" s="21">
        <f>F69*J69</f>
        <v/>
      </c>
      <c r="O69" s="21">
        <f>G69*K69</f>
        <v/>
      </c>
      <c r="P69" s="21">
        <f>H69*L69</f>
        <v/>
      </c>
      <c r="Q69" s="21">
        <f>I69*M69</f>
        <v/>
      </c>
      <c r="R69" s="21">
        <f>SUMPRODUCT($O$5:$Q$5-$N$5:$P$5,(O69:Q69+N69:P69)/2)/($Q$5-$N$5)</f>
        <v/>
      </c>
    </row>
    <row r="70">
      <c r="A70" s="10">
        <f>B70&amp;"|"&amp;C70</f>
        <v/>
      </c>
      <c r="B70" s="4" t="inlineStr">
        <is>
          <t>17F2M</t>
        </is>
      </c>
      <c r="C70" s="4" t="inlineStr">
        <is>
          <t>Alternative2</t>
        </is>
      </c>
      <c r="D70" s="4" t="inlineStr">
        <is>
          <t>Instream</t>
        </is>
      </c>
      <c r="E70" s="4" t="inlineStr">
        <is>
          <t>Index x quantity</t>
        </is>
      </c>
      <c r="F70" s="19" t="n">
        <v>0.3176191306651363</v>
      </c>
      <c r="G70" s="19" t="n">
        <v>0.6770978784844941</v>
      </c>
      <c r="H70" s="19" t="n">
        <v>0.6833478784844941</v>
      </c>
      <c r="I70" s="19" t="n">
        <v>0.6895978784844942</v>
      </c>
      <c r="J70" s="20" t="n">
        <v>3.870233105454545</v>
      </c>
      <c r="K70" s="20" t="n">
        <v>2.729745454545454</v>
      </c>
      <c r="L70" s="20" t="n">
        <v>2.729745454545454</v>
      </c>
      <c r="M70" s="20" t="n">
        <v>2.729745454545454</v>
      </c>
      <c r="N70" s="21">
        <f>F70*J70</f>
        <v/>
      </c>
      <c r="O70" s="21">
        <f>G70*K70</f>
        <v/>
      </c>
      <c r="P70" s="21">
        <f>H70*L70</f>
        <v/>
      </c>
      <c r="Q70" s="21">
        <f>I70*M70</f>
        <v/>
      </c>
      <c r="R70" s="21">
        <f>SUMPRODUCT($O$5:$Q$5-$N$5:$P$5,(O70:Q70+N70:P70)/2)/($Q$5-$N$5)</f>
        <v/>
      </c>
    </row>
    <row r="71">
      <c r="A71" s="10">
        <f>B71&amp;"|"&amp;C71</f>
        <v/>
      </c>
      <c r="B71" s="4" t="inlineStr">
        <is>
          <t>17F2M</t>
        </is>
      </c>
      <c r="C71" s="4" t="inlineStr">
        <is>
          <t>Alternative3</t>
        </is>
      </c>
      <c r="D71" s="4" t="inlineStr">
        <is>
          <t>Instream</t>
        </is>
      </c>
      <c r="E71" s="4" t="inlineStr">
        <is>
          <t>Index x quantity</t>
        </is>
      </c>
      <c r="F71" s="19" t="n">
        <v>0.3176191306651363</v>
      </c>
      <c r="G71" s="19" t="n">
        <v>0.8770376311128578</v>
      </c>
      <c r="H71" s="19" t="n">
        <v>0.8864126311128578</v>
      </c>
      <c r="I71" s="19" t="n">
        <v>0.8926626311128578</v>
      </c>
      <c r="J71" s="20" t="n">
        <v>3.870233105454545</v>
      </c>
      <c r="K71" s="20" t="n">
        <v>4.294915241046832</v>
      </c>
      <c r="L71" s="20" t="n">
        <v>4.294915241046832</v>
      </c>
      <c r="M71" s="20" t="n">
        <v>4.294915241046832</v>
      </c>
      <c r="N71" s="21">
        <f>F71*J71</f>
        <v/>
      </c>
      <c r="O71" s="21">
        <f>G71*K71</f>
        <v/>
      </c>
      <c r="P71" s="21">
        <f>H71*L71</f>
        <v/>
      </c>
      <c r="Q71" s="21">
        <f>I71*M71</f>
        <v/>
      </c>
      <c r="R71" s="21">
        <f>SUMPRODUCT($O$5:$Q$5-$N$5:$P$5,(O71:Q71+N71:P71)/2)/($Q$5-$N$5)</f>
        <v/>
      </c>
    </row>
    <row r="72">
      <c r="A72" s="10">
        <f>B72&amp;"|"&amp;C72</f>
        <v/>
      </c>
      <c r="B72" s="4" t="inlineStr">
        <is>
          <t>17D2E</t>
        </is>
      </c>
      <c r="C72" s="4" t="inlineStr">
        <is>
          <t>FWOP</t>
        </is>
      </c>
      <c r="D72" s="4" t="inlineStr">
        <is>
          <t>Instream</t>
        </is>
      </c>
      <c r="E72" s="4" t="inlineStr">
        <is>
          <t>Index x quantity</t>
        </is>
      </c>
      <c r="F72" s="19" t="n">
        <v>0.3715379126397268</v>
      </c>
      <c r="G72" s="19" t="n">
        <v>0.3715379126397268</v>
      </c>
      <c r="H72" s="19" t="n">
        <v>0.3715379126397268</v>
      </c>
      <c r="I72" s="19" t="n">
        <v>0.3715379126397268</v>
      </c>
      <c r="J72" s="20" t="n">
        <v>6.345030006060606</v>
      </c>
      <c r="K72" s="20" t="n">
        <v>6.345030006060606</v>
      </c>
      <c r="L72" s="20" t="n">
        <v>6.345030006060606</v>
      </c>
      <c r="M72" s="20" t="n">
        <v>6.345030006060606</v>
      </c>
      <c r="N72" s="21">
        <f>F72*J72</f>
        <v/>
      </c>
      <c r="O72" s="21">
        <f>G72*K72</f>
        <v/>
      </c>
      <c r="P72" s="21">
        <f>H72*L72</f>
        <v/>
      </c>
      <c r="Q72" s="21">
        <f>I72*M72</f>
        <v/>
      </c>
      <c r="R72" s="21">
        <f>SUMPRODUCT($O$5:$Q$5-$N$5:$P$5,(O72:Q72+N72:P72)/2)/($Q$5-$N$5)</f>
        <v/>
      </c>
    </row>
    <row r="73">
      <c r="A73" s="10">
        <f>B73&amp;"|"&amp;C73</f>
        <v/>
      </c>
      <c r="B73" s="4" t="inlineStr">
        <is>
          <t>17D2E</t>
        </is>
      </c>
      <c r="C73" s="4" t="inlineStr">
        <is>
          <t>Alternative1</t>
        </is>
      </c>
      <c r="D73" s="4" t="inlineStr">
        <is>
          <t>Instream</t>
        </is>
      </c>
      <c r="E73" s="4" t="inlineStr">
        <is>
          <t>Index x quantity</t>
        </is>
      </c>
      <c r="F73" s="19" t="n">
        <v>0.3715379126397268</v>
      </c>
      <c r="G73" s="19" t="n">
        <v>0.9125</v>
      </c>
      <c r="H73" s="19" t="n">
        <v>0.9156249999999999</v>
      </c>
      <c r="I73" s="19" t="n">
        <v>0.9156249999999999</v>
      </c>
      <c r="J73" s="20" t="n">
        <v>6.345030006060606</v>
      </c>
      <c r="K73" s="20" t="n">
        <v>5.802117575757576</v>
      </c>
      <c r="L73" s="20" t="n">
        <v>5.802117575757576</v>
      </c>
      <c r="M73" s="20" t="n">
        <v>5.802117575757576</v>
      </c>
      <c r="N73" s="21">
        <f>F73*J73</f>
        <v/>
      </c>
      <c r="O73" s="21">
        <f>G73*K73</f>
        <v/>
      </c>
      <c r="P73" s="21">
        <f>H73*L73</f>
        <v/>
      </c>
      <c r="Q73" s="21">
        <f>I73*M73</f>
        <v/>
      </c>
      <c r="R73" s="21">
        <f>SUMPRODUCT($O$5:$Q$5-$N$5:$P$5,(O73:Q73+N73:P73)/2)/($Q$5-$N$5)</f>
        <v/>
      </c>
    </row>
    <row r="74">
      <c r="A74" s="10">
        <f>B74&amp;"|"&amp;C74</f>
        <v/>
      </c>
      <c r="B74" s="4" t="inlineStr">
        <is>
          <t>17D2E</t>
        </is>
      </c>
      <c r="C74" s="4" t="inlineStr">
        <is>
          <t>Alternative2</t>
        </is>
      </c>
      <c r="D74" s="4" t="inlineStr">
        <is>
          <t>Instream</t>
        </is>
      </c>
      <c r="E74" s="4" t="inlineStr">
        <is>
          <t>Index x quantity</t>
        </is>
      </c>
      <c r="F74" s="19" t="n">
        <v>0.3715379126397268</v>
      </c>
      <c r="G74" s="19" t="n">
        <v>0.884375</v>
      </c>
      <c r="H74" s="19" t="n">
        <v>0.8875</v>
      </c>
      <c r="I74" s="19" t="n">
        <v>0.8937499999999999</v>
      </c>
      <c r="J74" s="20" t="n">
        <v>6.345030006060606</v>
      </c>
      <c r="K74" s="20" t="n">
        <v>5.802117575757576</v>
      </c>
      <c r="L74" s="20" t="n">
        <v>5.802117575757576</v>
      </c>
      <c r="M74" s="20" t="n">
        <v>5.802117575757576</v>
      </c>
      <c r="N74" s="21">
        <f>F74*J74</f>
        <v/>
      </c>
      <c r="O74" s="21">
        <f>G74*K74</f>
        <v/>
      </c>
      <c r="P74" s="21">
        <f>H74*L74</f>
        <v/>
      </c>
      <c r="Q74" s="21">
        <f>I74*M74</f>
        <v/>
      </c>
      <c r="R74" s="21">
        <f>SUMPRODUCT($O$5:$Q$5-$N$5:$P$5,(O74:Q74+N74:P74)/2)/($Q$5-$N$5)</f>
        <v/>
      </c>
    </row>
    <row r="75">
      <c r="A75" s="10">
        <f>B75&amp;"|"&amp;C75</f>
        <v/>
      </c>
      <c r="B75" s="4" t="inlineStr">
        <is>
          <t>17D2E</t>
        </is>
      </c>
      <c r="C75" s="4" t="inlineStr">
        <is>
          <t>Alternative3</t>
        </is>
      </c>
      <c r="D75" s="4" t="inlineStr">
        <is>
          <t>Instream</t>
        </is>
      </c>
      <c r="E75" s="4" t="inlineStr">
        <is>
          <t>Index x quantity</t>
        </is>
      </c>
      <c r="F75" s="19" t="n">
        <v>0.3715379126397268</v>
      </c>
      <c r="G75" s="19" t="n">
        <v>0.614591157805005</v>
      </c>
      <c r="H75" s="19" t="n">
        <v>0.6270911578050049</v>
      </c>
      <c r="I75" s="19" t="n">
        <v>0.6395911578050049</v>
      </c>
      <c r="J75" s="20" t="n">
        <v>6.345030006060606</v>
      </c>
      <c r="K75" s="20" t="n">
        <v>5.802117575757576</v>
      </c>
      <c r="L75" s="20" t="n">
        <v>5.802117575757576</v>
      </c>
      <c r="M75" s="20" t="n">
        <v>5.802117575757576</v>
      </c>
      <c r="N75" s="21">
        <f>F75*J75</f>
        <v/>
      </c>
      <c r="O75" s="21">
        <f>G75*K75</f>
        <v/>
      </c>
      <c r="P75" s="21">
        <f>H75*L75</f>
        <v/>
      </c>
      <c r="Q75" s="21">
        <f>I75*M75</f>
        <v/>
      </c>
      <c r="R75" s="21">
        <f>SUMPRODUCT($O$5:$Q$5-$N$5:$P$5,(O75:Q75+N75:P75)/2)/($Q$5-$N$5)</f>
        <v/>
      </c>
    </row>
    <row r="76">
      <c r="A76" s="10">
        <f>B76&amp;"|"&amp;C76</f>
        <v/>
      </c>
      <c r="B76" s="4" t="inlineStr">
        <is>
          <t>17B</t>
        </is>
      </c>
      <c r="C76" s="4" t="inlineStr">
        <is>
          <t>FWOP</t>
        </is>
      </c>
      <c r="D76" s="4" t="inlineStr">
        <is>
          <t>Instream</t>
        </is>
      </c>
      <c r="E76" s="4" t="inlineStr">
        <is>
          <t>Index x quantity</t>
        </is>
      </c>
      <c r="F76" s="19" t="n">
        <v>0.4444953665234117</v>
      </c>
      <c r="G76" s="19" t="n">
        <v>0.4444953665234117</v>
      </c>
      <c r="H76" s="19" t="n">
        <v>0.4444953665234117</v>
      </c>
      <c r="I76" s="19" t="n">
        <v>0.4444953665234117</v>
      </c>
      <c r="J76" s="20" t="n">
        <v>10.51630379272727</v>
      </c>
      <c r="K76" s="20" t="n">
        <v>10.51630379272727</v>
      </c>
      <c r="L76" s="20" t="n">
        <v>10.51630379272727</v>
      </c>
      <c r="M76" s="20" t="n">
        <v>10.51630379272727</v>
      </c>
      <c r="N76" s="21">
        <f>F76*J76</f>
        <v/>
      </c>
      <c r="O76" s="21">
        <f>G76*K76</f>
        <v/>
      </c>
      <c r="P76" s="21">
        <f>H76*L76</f>
        <v/>
      </c>
      <c r="Q76" s="21">
        <f>I76*M76</f>
        <v/>
      </c>
      <c r="R76" s="21">
        <f>SUMPRODUCT($O$5:$Q$5-$N$5:$P$5,(O76:Q76+N76:P76)/2)/($Q$5-$N$5)</f>
        <v/>
      </c>
    </row>
    <row r="77">
      <c r="A77" s="10">
        <f>B77&amp;"|"&amp;C77</f>
        <v/>
      </c>
      <c r="B77" s="4" t="inlineStr">
        <is>
          <t>17B</t>
        </is>
      </c>
      <c r="C77" s="4" t="inlineStr">
        <is>
          <t>Alternative1</t>
        </is>
      </c>
      <c r="D77" s="4" t="inlineStr">
        <is>
          <t>Instream</t>
        </is>
      </c>
      <c r="E77" s="4" t="inlineStr">
        <is>
          <t>Index x quantity</t>
        </is>
      </c>
      <c r="F77" s="19" t="n">
        <v>0.4444953665234117</v>
      </c>
      <c r="G77" s="19" t="n">
        <v>0.8744447218742585</v>
      </c>
      <c r="H77" s="19" t="n">
        <v>0.8786113885409251</v>
      </c>
      <c r="I77" s="19" t="n">
        <v>0.8817363885409251</v>
      </c>
      <c r="J77" s="20" t="n">
        <v>10.51630379272727</v>
      </c>
      <c r="K77" s="20" t="n">
        <v>12.60947696969697</v>
      </c>
      <c r="L77" s="20" t="n">
        <v>12.60947696969697</v>
      </c>
      <c r="M77" s="20" t="n">
        <v>12.60947696969697</v>
      </c>
      <c r="N77" s="21">
        <f>F77*J77</f>
        <v/>
      </c>
      <c r="O77" s="21">
        <f>G77*K77</f>
        <v/>
      </c>
      <c r="P77" s="21">
        <f>H77*L77</f>
        <v/>
      </c>
      <c r="Q77" s="21">
        <f>I77*M77</f>
        <v/>
      </c>
      <c r="R77" s="21">
        <f>SUMPRODUCT($O$5:$Q$5-$N$5:$P$5,(O77:Q77+N77:P77)/2)/($Q$5-$N$5)</f>
        <v/>
      </c>
    </row>
    <row r="78">
      <c r="A78" s="10">
        <f>B78&amp;"|"&amp;C78</f>
        <v/>
      </c>
      <c r="B78" s="4" t="inlineStr">
        <is>
          <t>17B</t>
        </is>
      </c>
      <c r="C78" s="4" t="inlineStr">
        <is>
          <t>Alternative2</t>
        </is>
      </c>
      <c r="D78" s="4" t="inlineStr">
        <is>
          <t>Instream</t>
        </is>
      </c>
      <c r="E78" s="4" t="inlineStr">
        <is>
          <t>Index x quantity</t>
        </is>
      </c>
      <c r="F78" s="19" t="n">
        <v>0.4444953665234117</v>
      </c>
      <c r="G78" s="19" t="n">
        <v>0.9004863885409252</v>
      </c>
      <c r="H78" s="19" t="n">
        <v>0.9077780552075918</v>
      </c>
      <c r="I78" s="19" t="n">
        <v>0.9077780552075918</v>
      </c>
      <c r="J78" s="20" t="n">
        <v>10.51630379272727</v>
      </c>
      <c r="K78" s="20" t="n">
        <v>12.60947696969697</v>
      </c>
      <c r="L78" s="20" t="n">
        <v>12.60947696969697</v>
      </c>
      <c r="M78" s="20" t="n">
        <v>12.60947696969697</v>
      </c>
      <c r="N78" s="21">
        <f>F78*J78</f>
        <v/>
      </c>
      <c r="O78" s="21">
        <f>G78*K78</f>
        <v/>
      </c>
      <c r="P78" s="21">
        <f>H78*L78</f>
        <v/>
      </c>
      <c r="Q78" s="21">
        <f>I78*M78</f>
        <v/>
      </c>
      <c r="R78" s="21">
        <f>SUMPRODUCT($O$5:$Q$5-$N$5:$P$5,(O78:Q78+N78:P78)/2)/($Q$5-$N$5)</f>
        <v/>
      </c>
    </row>
    <row r="79">
      <c r="A79" s="10">
        <f>B79&amp;"|"&amp;C79</f>
        <v/>
      </c>
      <c r="B79" s="4" t="inlineStr">
        <is>
          <t>17B</t>
        </is>
      </c>
      <c r="C79" s="4" t="inlineStr">
        <is>
          <t>Alternative3</t>
        </is>
      </c>
      <c r="D79" s="4" t="inlineStr">
        <is>
          <t>Instream</t>
        </is>
      </c>
      <c r="E79" s="4" t="inlineStr">
        <is>
          <t>Index x quantity</t>
        </is>
      </c>
      <c r="F79" s="19" t="n">
        <v>0.4444953665234117</v>
      </c>
      <c r="G79" s="19" t="n">
        <v>0.6153286998567451</v>
      </c>
      <c r="H79" s="19" t="n">
        <v>0.6267870331900784</v>
      </c>
      <c r="I79" s="19" t="n">
        <v>0.6267870331900784</v>
      </c>
      <c r="J79" s="20" t="n">
        <v>10.51630379272727</v>
      </c>
      <c r="K79" s="20" t="n">
        <v>10.51630379272727</v>
      </c>
      <c r="L79" s="20" t="n">
        <v>10.51630379272727</v>
      </c>
      <c r="M79" s="20" t="n">
        <v>10.51630379272727</v>
      </c>
      <c r="N79" s="21">
        <f>F79*J79</f>
        <v/>
      </c>
      <c r="O79" s="21">
        <f>G79*K79</f>
        <v/>
      </c>
      <c r="P79" s="21">
        <f>H79*L79</f>
        <v/>
      </c>
      <c r="Q79" s="21">
        <f>I79*M79</f>
        <v/>
      </c>
      <c r="R79" s="21">
        <f>SUMPRODUCT($O$5:$Q$5-$N$5:$P$5,(O79:Q79+N79:P79)/2)/($Q$5-$N$5)</f>
        <v/>
      </c>
    </row>
    <row r="80">
      <c r="A80" s="10">
        <f>B80&amp;"|"&amp;C80</f>
        <v/>
      </c>
      <c r="B80" s="4" t="inlineStr">
        <is>
          <t>2A</t>
        </is>
      </c>
      <c r="C80" s="4" t="inlineStr">
        <is>
          <t>FWOP</t>
        </is>
      </c>
      <c r="D80" s="4" t="inlineStr">
        <is>
          <t>Instream</t>
        </is>
      </c>
      <c r="E80" s="4" t="inlineStr">
        <is>
          <t>Index x quantity</t>
        </is>
      </c>
      <c r="F80" s="19" t="n">
        <v>0.4809229085302892</v>
      </c>
      <c r="G80" s="19" t="n">
        <v>0.4809229085302892</v>
      </c>
      <c r="H80" s="19" t="n">
        <v>0.4809229085302892</v>
      </c>
      <c r="I80" s="19" t="n">
        <v>0.4809229085302892</v>
      </c>
      <c r="J80" s="20" t="n">
        <v>3.975942827955091</v>
      </c>
      <c r="K80" s="20" t="n">
        <v>3.975942827955091</v>
      </c>
      <c r="L80" s="20" t="n">
        <v>3.975942827955091</v>
      </c>
      <c r="M80" s="20" t="n">
        <v>3.975942827955091</v>
      </c>
      <c r="N80" s="21">
        <f>F80*J80</f>
        <v/>
      </c>
      <c r="O80" s="21">
        <f>G80*K80</f>
        <v/>
      </c>
      <c r="P80" s="21">
        <f>H80*L80</f>
        <v/>
      </c>
      <c r="Q80" s="21">
        <f>I80*M80</f>
        <v/>
      </c>
      <c r="R80" s="21">
        <f>SUMPRODUCT($O$5:$Q$5-$N$5:$P$5,(O80:Q80+N80:P80)/2)/($Q$5-$N$5)</f>
        <v/>
      </c>
    </row>
    <row r="81">
      <c r="A81" s="10">
        <f>B81&amp;"|"&amp;C81</f>
        <v/>
      </c>
      <c r="B81" s="4" t="inlineStr">
        <is>
          <t>2A</t>
        </is>
      </c>
      <c r="C81" s="4" t="inlineStr">
        <is>
          <t>Alternative1</t>
        </is>
      </c>
      <c r="D81" s="4" t="inlineStr">
        <is>
          <t>Instream</t>
        </is>
      </c>
      <c r="E81" s="4" t="inlineStr">
        <is>
          <t>Index x quantity</t>
        </is>
      </c>
      <c r="F81" s="19" t="n">
        <v>0.4809229085302892</v>
      </c>
      <c r="G81" s="19" t="n">
        <v>0.9010416666666666</v>
      </c>
      <c r="H81" s="19" t="n">
        <v>0.9010416666666666</v>
      </c>
      <c r="I81" s="19" t="n">
        <v>0.9010416666666666</v>
      </c>
      <c r="J81" s="20" t="n">
        <v>3.975942827955091</v>
      </c>
      <c r="K81" s="20" t="n">
        <v>8.92791551882461</v>
      </c>
      <c r="L81" s="20" t="n">
        <v>8.92791551882461</v>
      </c>
      <c r="M81" s="20" t="n">
        <v>4.134712381213269</v>
      </c>
      <c r="N81" s="21">
        <f>F81*J81</f>
        <v/>
      </c>
      <c r="O81" s="21">
        <f>G81*K81</f>
        <v/>
      </c>
      <c r="P81" s="21">
        <f>H81*L81</f>
        <v/>
      </c>
      <c r="Q81" s="21">
        <f>I81*M81</f>
        <v/>
      </c>
      <c r="R81" s="21">
        <f>SUMPRODUCT($O$5:$Q$5-$N$5:$P$5,(O81:Q81+N81:P81)/2)/($Q$5-$N$5)</f>
        <v/>
      </c>
    </row>
    <row r="82">
      <c r="A82" s="10">
        <f>B82&amp;"|"&amp;C82</f>
        <v/>
      </c>
      <c r="B82" s="4" t="inlineStr">
        <is>
          <t>2A</t>
        </is>
      </c>
      <c r="C82" s="4" t="inlineStr">
        <is>
          <t>Alternative2</t>
        </is>
      </c>
      <c r="D82" s="4" t="inlineStr">
        <is>
          <t>Instream</t>
        </is>
      </c>
      <c r="E82" s="4" t="inlineStr">
        <is>
          <t>Index x quantity</t>
        </is>
      </c>
      <c r="F82" s="19" t="n">
        <v>0.4809229085302892</v>
      </c>
      <c r="G82" s="19" t="n">
        <v>0.8624999999999999</v>
      </c>
      <c r="H82" s="19" t="n">
        <v>0.8624999999999999</v>
      </c>
      <c r="I82" s="19" t="n">
        <v>0.8624999999999999</v>
      </c>
      <c r="J82" s="20" t="n">
        <v>3.975942827955091</v>
      </c>
      <c r="K82" s="20" t="n">
        <v>3.975942827955091</v>
      </c>
      <c r="L82" s="20" t="n">
        <v>3.975942827955091</v>
      </c>
      <c r="M82" s="20" t="n">
        <v>3.975942827955091</v>
      </c>
      <c r="N82" s="21">
        <f>F82*J82</f>
        <v/>
      </c>
      <c r="O82" s="21">
        <f>G82*K82</f>
        <v/>
      </c>
      <c r="P82" s="21">
        <f>H82*L82</f>
        <v/>
      </c>
      <c r="Q82" s="21">
        <f>I82*M82</f>
        <v/>
      </c>
      <c r="R82" s="21">
        <f>SUMPRODUCT($O$5:$Q$5-$N$5:$P$5,(O82:Q82+N82:P82)/2)/($Q$5-$N$5)</f>
        <v/>
      </c>
    </row>
    <row r="83">
      <c r="A83" s="10">
        <f>B83&amp;"|"&amp;C83</f>
        <v/>
      </c>
      <c r="B83" s="4" t="inlineStr">
        <is>
          <t>2A</t>
        </is>
      </c>
      <c r="C83" s="4" t="inlineStr">
        <is>
          <t>Alternative3</t>
        </is>
      </c>
      <c r="D83" s="4" t="inlineStr">
        <is>
          <t>Instream</t>
        </is>
      </c>
      <c r="E83" s="4" t="inlineStr">
        <is>
          <t>Index x quantity</t>
        </is>
      </c>
      <c r="F83" s="19" t="n">
        <v>0.4809229085302892</v>
      </c>
      <c r="G83" s="19" t="n">
        <v>0.7749999999999999</v>
      </c>
      <c r="H83" s="19" t="n">
        <v>0.7749999999999999</v>
      </c>
      <c r="I83" s="19" t="n">
        <v>0.7749999999999999</v>
      </c>
      <c r="J83" s="20" t="n">
        <v>3.975942827955091</v>
      </c>
      <c r="K83" s="20" t="n">
        <v>3.975942827955091</v>
      </c>
      <c r="L83" s="20" t="n">
        <v>3.975942827955091</v>
      </c>
      <c r="M83" s="20" t="n">
        <v>3.975942827955091</v>
      </c>
      <c r="N83" s="21">
        <f>F83*J83</f>
        <v/>
      </c>
      <c r="O83" s="21">
        <f>G83*K83</f>
        <v/>
      </c>
      <c r="P83" s="21">
        <f>H83*L83</f>
        <v/>
      </c>
      <c r="Q83" s="21">
        <f>I83*M83</f>
        <v/>
      </c>
      <c r="R83" s="21">
        <f>SUMPRODUCT($O$5:$Q$5-$N$5:$P$5,(O83:Q83+N83:P83)/2)/($Q$5-$N$5)</f>
        <v/>
      </c>
    </row>
    <row r="84">
      <c r="A84" s="10">
        <f>B84&amp;"|"&amp;C84</f>
        <v/>
      </c>
      <c r="B84" s="4" t="inlineStr">
        <is>
          <t>2B</t>
        </is>
      </c>
      <c r="C84" s="4" t="inlineStr">
        <is>
          <t>FWOP</t>
        </is>
      </c>
      <c r="D84" s="4" t="inlineStr">
        <is>
          <t>Instream</t>
        </is>
      </c>
      <c r="E84" s="4" t="inlineStr">
        <is>
          <t>Index x quantity</t>
        </is>
      </c>
      <c r="F84" s="19" t="n">
        <v>0.4291666666666666</v>
      </c>
      <c r="G84" s="19" t="n">
        <v>0.4291666666666666</v>
      </c>
      <c r="H84" s="19" t="n">
        <v>0.4291666666666666</v>
      </c>
      <c r="I84" s="19" t="n">
        <v>0.4291666666666666</v>
      </c>
      <c r="J84" s="20" t="n">
        <v>5.246508898181817</v>
      </c>
      <c r="K84" s="20" t="n">
        <v>5.246508898181817</v>
      </c>
      <c r="L84" s="20" t="n">
        <v>5.246508898181817</v>
      </c>
      <c r="M84" s="20" t="n">
        <v>5.246508898181817</v>
      </c>
      <c r="N84" s="21">
        <f>F84*J84</f>
        <v/>
      </c>
      <c r="O84" s="21">
        <f>G84*K84</f>
        <v/>
      </c>
      <c r="P84" s="21">
        <f>H84*L84</f>
        <v/>
      </c>
      <c r="Q84" s="21">
        <f>I84*M84</f>
        <v/>
      </c>
      <c r="R84" s="21">
        <f>SUMPRODUCT($O$5:$Q$5-$N$5:$P$5,(O84:Q84+N84:P84)/2)/($Q$5-$N$5)</f>
        <v/>
      </c>
    </row>
    <row r="85">
      <c r="A85" s="10">
        <f>B85&amp;"|"&amp;C85</f>
        <v/>
      </c>
      <c r="B85" s="4" t="inlineStr">
        <is>
          <t>2B</t>
        </is>
      </c>
      <c r="C85" s="4" t="inlineStr">
        <is>
          <t>Alternative1</t>
        </is>
      </c>
      <c r="D85" s="4" t="inlineStr">
        <is>
          <t>Instream</t>
        </is>
      </c>
      <c r="E85" s="4" t="inlineStr">
        <is>
          <t>Index x quantity</t>
        </is>
      </c>
      <c r="F85" s="19" t="n">
        <v>0.4291666666666666</v>
      </c>
      <c r="G85" s="19" t="n">
        <v>0.7916666666666666</v>
      </c>
      <c r="H85" s="19" t="n">
        <v>0.7916666666666666</v>
      </c>
      <c r="I85" s="19" t="n">
        <v>0.7916666666666666</v>
      </c>
      <c r="J85" s="20" t="n">
        <v>5.246508898181817</v>
      </c>
      <c r="K85" s="20" t="n">
        <v>8.273619393939393</v>
      </c>
      <c r="L85" s="20" t="n">
        <v>8.273619393939393</v>
      </c>
      <c r="M85" s="20" t="n">
        <v>8.273619393939393</v>
      </c>
      <c r="N85" s="21">
        <f>F85*J85</f>
        <v/>
      </c>
      <c r="O85" s="21">
        <f>G85*K85</f>
        <v/>
      </c>
      <c r="P85" s="21">
        <f>H85*L85</f>
        <v/>
      </c>
      <c r="Q85" s="21">
        <f>I85*M85</f>
        <v/>
      </c>
      <c r="R85" s="21">
        <f>SUMPRODUCT($O$5:$Q$5-$N$5:$P$5,(O85:Q85+N85:P85)/2)/($Q$5-$N$5)</f>
        <v/>
      </c>
    </row>
    <row r="86">
      <c r="A86" s="10">
        <f>B86&amp;"|"&amp;C86</f>
        <v/>
      </c>
      <c r="B86" s="4" t="inlineStr">
        <is>
          <t>2B</t>
        </is>
      </c>
      <c r="C86" s="4" t="inlineStr">
        <is>
          <t>Alternative2</t>
        </is>
      </c>
      <c r="D86" s="4" t="inlineStr">
        <is>
          <t>Instream</t>
        </is>
      </c>
      <c r="E86" s="4" t="inlineStr">
        <is>
          <t>Index x quantity</t>
        </is>
      </c>
      <c r="F86" s="19" t="n">
        <v>0.4291666666666666</v>
      </c>
      <c r="G86" s="19" t="n">
        <v>0.7583333333333333</v>
      </c>
      <c r="H86" s="19" t="n">
        <v>0.7583333333333333</v>
      </c>
      <c r="I86" s="19" t="n">
        <v>0.7583333333333333</v>
      </c>
      <c r="J86" s="20" t="n">
        <v>5.246508898181817</v>
      </c>
      <c r="K86" s="20" t="n">
        <v>5.246508898181817</v>
      </c>
      <c r="L86" s="20" t="n">
        <v>5.246508898181817</v>
      </c>
      <c r="M86" s="20" t="n">
        <v>5.246508898181817</v>
      </c>
      <c r="N86" s="21">
        <f>F86*J86</f>
        <v/>
      </c>
      <c r="O86" s="21">
        <f>G86*K86</f>
        <v/>
      </c>
      <c r="P86" s="21">
        <f>H86*L86</f>
        <v/>
      </c>
      <c r="Q86" s="21">
        <f>I86*M86</f>
        <v/>
      </c>
      <c r="R86" s="21">
        <f>SUMPRODUCT($O$5:$Q$5-$N$5:$P$5,(O86:Q86+N86:P86)/2)/($Q$5-$N$5)</f>
        <v/>
      </c>
    </row>
    <row r="87">
      <c r="A87" s="10">
        <f>B87&amp;"|"&amp;C87</f>
        <v/>
      </c>
      <c r="B87" s="4" t="inlineStr">
        <is>
          <t>2B</t>
        </is>
      </c>
      <c r="C87" s="4" t="inlineStr">
        <is>
          <t>Alternative3</t>
        </is>
      </c>
      <c r="D87" s="4" t="inlineStr">
        <is>
          <t>Instream</t>
        </is>
      </c>
      <c r="E87" s="4" t="inlineStr">
        <is>
          <t>Index x quantity</t>
        </is>
      </c>
      <c r="F87" s="19" t="n">
        <v>0.4291666666666666</v>
      </c>
      <c r="G87" s="19" t="n">
        <v>0.6916666666666667</v>
      </c>
      <c r="H87" s="19" t="n">
        <v>0.6916666666666667</v>
      </c>
      <c r="I87" s="19" t="n">
        <v>0.6916666666666667</v>
      </c>
      <c r="J87" s="20" t="n">
        <v>5.246508898181817</v>
      </c>
      <c r="K87" s="20" t="n">
        <v>5.246508898181817</v>
      </c>
      <c r="L87" s="20" t="n">
        <v>5.246508898181817</v>
      </c>
      <c r="M87" s="20" t="n">
        <v>5.246508898181817</v>
      </c>
      <c r="N87" s="21">
        <f>F87*J87</f>
        <v/>
      </c>
      <c r="O87" s="21">
        <f>G87*K87</f>
        <v/>
      </c>
      <c r="P87" s="21">
        <f>H87*L87</f>
        <v/>
      </c>
      <c r="Q87" s="21">
        <f>I87*M87</f>
        <v/>
      </c>
      <c r="R87" s="21">
        <f>SUMPRODUCT($O$5:$Q$5-$N$5:$P$5,(O87:Q87+N87:P87)/2)/($Q$5-$N$5)</f>
        <v/>
      </c>
    </row>
    <row r="88">
      <c r="A88" s="10">
        <f>B88&amp;"|"&amp;C88</f>
        <v/>
      </c>
      <c r="B88" s="4" t="inlineStr">
        <is>
          <t>3E</t>
        </is>
      </c>
      <c r="C88" s="4" t="inlineStr">
        <is>
          <t>FWOP</t>
        </is>
      </c>
      <c r="D88" s="4" t="inlineStr">
        <is>
          <t>Instream</t>
        </is>
      </c>
      <c r="E88" s="4" t="inlineStr">
        <is>
          <t>Index x quantity</t>
        </is>
      </c>
      <c r="F88" s="19" t="n">
        <v>0.4907959704252108</v>
      </c>
      <c r="G88" s="19" t="n">
        <v>0.4907959704252108</v>
      </c>
      <c r="H88" s="19" t="n">
        <v>0.4907959704252108</v>
      </c>
      <c r="I88" s="19" t="n">
        <v>0.4907959704252108</v>
      </c>
      <c r="J88" s="20" t="n">
        <v>6.121174166060607</v>
      </c>
      <c r="K88" s="20" t="n">
        <v>6.121174166060607</v>
      </c>
      <c r="L88" s="20" t="n">
        <v>6.121174166060607</v>
      </c>
      <c r="M88" s="20" t="n">
        <v>6.121174166060607</v>
      </c>
      <c r="N88" s="21">
        <f>F88*J88</f>
        <v/>
      </c>
      <c r="O88" s="21">
        <f>G88*K88</f>
        <v/>
      </c>
      <c r="P88" s="21">
        <f>H88*L88</f>
        <v/>
      </c>
      <c r="Q88" s="21">
        <f>I88*M88</f>
        <v/>
      </c>
      <c r="R88" s="21">
        <f>SUMPRODUCT($O$5:$Q$5-$N$5:$P$5,(O88:Q88+N88:P88)/2)/($Q$5-$N$5)</f>
        <v/>
      </c>
    </row>
    <row r="89">
      <c r="A89" s="10">
        <f>B89&amp;"|"&amp;C89</f>
        <v/>
      </c>
      <c r="B89" s="4" t="inlineStr">
        <is>
          <t>3E</t>
        </is>
      </c>
      <c r="C89" s="4" t="inlineStr">
        <is>
          <t>Alternative1</t>
        </is>
      </c>
      <c r="D89" s="4" t="inlineStr">
        <is>
          <t>Instream</t>
        </is>
      </c>
      <c r="E89" s="4" t="inlineStr">
        <is>
          <t>Index x quantity</t>
        </is>
      </c>
      <c r="F89" s="19" t="n">
        <v>0.4907959704252108</v>
      </c>
      <c r="G89" s="19" t="n">
        <v>0.8239583333333333</v>
      </c>
      <c r="H89" s="19" t="n">
        <v>0.8239583333333333</v>
      </c>
      <c r="I89" s="19" t="n">
        <v>0.8239583333333333</v>
      </c>
      <c r="J89" s="20" t="n">
        <v>6.121174166060607</v>
      </c>
      <c r="K89" s="20" t="n">
        <v>2.290215757575758</v>
      </c>
      <c r="L89" s="20" t="n">
        <v>2.290215757575758</v>
      </c>
      <c r="M89" s="20" t="n">
        <v>2.290215757575758</v>
      </c>
      <c r="N89" s="21">
        <f>F89*J89</f>
        <v/>
      </c>
      <c r="O89" s="21">
        <f>G89*K89</f>
        <v/>
      </c>
      <c r="P89" s="21">
        <f>H89*L89</f>
        <v/>
      </c>
      <c r="Q89" s="21">
        <f>I89*M89</f>
        <v/>
      </c>
      <c r="R89" s="21">
        <f>SUMPRODUCT($O$5:$Q$5-$N$5:$P$5,(O89:Q89+N89:P89)/2)/($Q$5-$N$5)</f>
        <v/>
      </c>
    </row>
    <row r="90">
      <c r="A90" s="10">
        <f>B90&amp;"|"&amp;C90</f>
        <v/>
      </c>
      <c r="B90" s="4" t="inlineStr">
        <is>
          <t>3E</t>
        </is>
      </c>
      <c r="C90" s="4" t="inlineStr">
        <is>
          <t>Alternative2</t>
        </is>
      </c>
      <c r="D90" s="4" t="inlineStr">
        <is>
          <t>Instream</t>
        </is>
      </c>
      <c r="E90" s="4" t="inlineStr">
        <is>
          <t>Index x quantity</t>
        </is>
      </c>
      <c r="F90" s="19" t="n">
        <v>0.4907959704252108</v>
      </c>
      <c r="G90" s="19" t="n">
        <v>0.7109209704252109</v>
      </c>
      <c r="H90" s="19" t="n">
        <v>0.7109209704252109</v>
      </c>
      <c r="I90" s="19" t="n">
        <v>0.7109209704252109</v>
      </c>
      <c r="J90" s="20" t="n">
        <v>6.121174166060607</v>
      </c>
      <c r="K90" s="20" t="n">
        <v>6.121174166060607</v>
      </c>
      <c r="L90" s="20" t="n">
        <v>6.121174166060607</v>
      </c>
      <c r="M90" s="20" t="n">
        <v>6.121174166060607</v>
      </c>
      <c r="N90" s="21">
        <f>F90*J90</f>
        <v/>
      </c>
      <c r="O90" s="21">
        <f>G90*K90</f>
        <v/>
      </c>
      <c r="P90" s="21">
        <f>H90*L90</f>
        <v/>
      </c>
      <c r="Q90" s="21">
        <f>I90*M90</f>
        <v/>
      </c>
      <c r="R90" s="21">
        <f>SUMPRODUCT($O$5:$Q$5-$N$5:$P$5,(O90:Q90+N90:P90)/2)/($Q$5-$N$5)</f>
        <v/>
      </c>
    </row>
    <row r="91">
      <c r="A91" s="10">
        <f>B91&amp;"|"&amp;C91</f>
        <v/>
      </c>
      <c r="B91" s="4" t="inlineStr">
        <is>
          <t>3E</t>
        </is>
      </c>
      <c r="C91" s="4" t="inlineStr">
        <is>
          <t>Alternative3</t>
        </is>
      </c>
      <c r="D91" s="4" t="inlineStr">
        <is>
          <t>Instream</t>
        </is>
      </c>
      <c r="E91" s="4" t="inlineStr">
        <is>
          <t>Index x quantity</t>
        </is>
      </c>
      <c r="F91" s="19" t="n">
        <v>0.4907959704252108</v>
      </c>
      <c r="G91" s="19" t="n">
        <v>0.5845459704252108</v>
      </c>
      <c r="H91" s="19" t="n">
        <v>0.5845459704252108</v>
      </c>
      <c r="I91" s="19" t="n">
        <v>0.5845459704252108</v>
      </c>
      <c r="J91" s="20" t="n">
        <v>6.121174166060607</v>
      </c>
      <c r="K91" s="20" t="n">
        <v>6.121174166060607</v>
      </c>
      <c r="L91" s="20" t="n">
        <v>6.121174166060607</v>
      </c>
      <c r="M91" s="20" t="n">
        <v>6.121174166060607</v>
      </c>
      <c r="N91" s="21">
        <f>F91*J91</f>
        <v/>
      </c>
      <c r="O91" s="21">
        <f>G91*K91</f>
        <v/>
      </c>
      <c r="P91" s="21">
        <f>H91*L91</f>
        <v/>
      </c>
      <c r="Q91" s="21">
        <f>I91*M91</f>
        <v/>
      </c>
      <c r="R91" s="21">
        <f>SUMPRODUCT($O$5:$Q$5-$N$5:$P$5,(O91:Q91+N91:P91)/2)/($Q$5-$N$5)</f>
        <v/>
      </c>
    </row>
    <row r="92">
      <c r="A92" s="10">
        <f>B92&amp;"|"&amp;C92</f>
        <v/>
      </c>
      <c r="B92" s="4" t="inlineStr">
        <is>
          <t>3F</t>
        </is>
      </c>
      <c r="C92" s="4" t="inlineStr">
        <is>
          <t>FWOP</t>
        </is>
      </c>
      <c r="D92" s="4" t="inlineStr">
        <is>
          <t>Instream</t>
        </is>
      </c>
      <c r="E92" s="4" t="inlineStr">
        <is>
          <t>Index x quantity</t>
        </is>
      </c>
      <c r="F92" s="19" t="n">
        <v>0.6242133784794707</v>
      </c>
      <c r="G92" s="19" t="n">
        <v>0.6242133784794707</v>
      </c>
      <c r="H92" s="19" t="n">
        <v>0.6085883784794707</v>
      </c>
      <c r="I92" s="19" t="n">
        <v>0.6085883784794707</v>
      </c>
      <c r="J92" s="20" t="n">
        <v>9.816347432727273</v>
      </c>
      <c r="K92" s="20" t="n">
        <v>9.816347432727273</v>
      </c>
      <c r="L92" s="20" t="n">
        <v>9.816347432727273</v>
      </c>
      <c r="M92" s="20" t="n">
        <v>9.816347432727273</v>
      </c>
      <c r="N92" s="21">
        <f>F92*J92</f>
        <v/>
      </c>
      <c r="O92" s="21">
        <f>G92*K92</f>
        <v/>
      </c>
      <c r="P92" s="21">
        <f>H92*L92</f>
        <v/>
      </c>
      <c r="Q92" s="21">
        <f>I92*M92</f>
        <v/>
      </c>
      <c r="R92" s="21">
        <f>SUMPRODUCT($O$5:$Q$5-$N$5:$P$5,(O92:Q92+N92:P92)/2)/($Q$5-$N$5)</f>
        <v/>
      </c>
    </row>
    <row r="93">
      <c r="A93" s="10">
        <f>B93&amp;"|"&amp;C93</f>
        <v/>
      </c>
      <c r="B93" s="4" t="inlineStr">
        <is>
          <t>3F</t>
        </is>
      </c>
      <c r="C93" s="4" t="inlineStr">
        <is>
          <t>Alternative1</t>
        </is>
      </c>
      <c r="D93" s="4" t="inlineStr">
        <is>
          <t>Instream</t>
        </is>
      </c>
      <c r="E93" s="4" t="inlineStr">
        <is>
          <t>Index x quantity</t>
        </is>
      </c>
      <c r="F93" s="19" t="n">
        <v>0.6242133784794707</v>
      </c>
      <c r="G93" s="19" t="n">
        <v>0.7669217118128039</v>
      </c>
      <c r="H93" s="19" t="n">
        <v>0.7700467118128039</v>
      </c>
      <c r="I93" s="19" t="n">
        <v>0.7700467118128039</v>
      </c>
      <c r="J93" s="20" t="n">
        <v>9.816347432727273</v>
      </c>
      <c r="K93" s="20" t="n">
        <v>9.816347432727273</v>
      </c>
      <c r="L93" s="20" t="n">
        <v>9.816347432727273</v>
      </c>
      <c r="M93" s="20" t="n">
        <v>9.816347432727273</v>
      </c>
      <c r="N93" s="21">
        <f>F93*J93</f>
        <v/>
      </c>
      <c r="O93" s="21">
        <f>G93*K93</f>
        <v/>
      </c>
      <c r="P93" s="21">
        <f>H93*L93</f>
        <v/>
      </c>
      <c r="Q93" s="21">
        <f>I93*M93</f>
        <v/>
      </c>
      <c r="R93" s="21">
        <f>SUMPRODUCT($O$5:$Q$5-$N$5:$P$5,(O93:Q93+N93:P93)/2)/($Q$5-$N$5)</f>
        <v/>
      </c>
    </row>
    <row r="94">
      <c r="A94" s="10">
        <f>B94&amp;"|"&amp;C94</f>
        <v/>
      </c>
      <c r="B94" s="4" t="inlineStr">
        <is>
          <t>3F</t>
        </is>
      </c>
      <c r="C94" s="4" t="inlineStr">
        <is>
          <t>Alternative2</t>
        </is>
      </c>
      <c r="D94" s="4" t="inlineStr">
        <is>
          <t>Instream</t>
        </is>
      </c>
      <c r="E94" s="4" t="inlineStr">
        <is>
          <t>Index x quantity</t>
        </is>
      </c>
      <c r="F94" s="19" t="n">
        <v>0.6242133784794707</v>
      </c>
      <c r="G94" s="19" t="n">
        <v>0.6992133784794706</v>
      </c>
      <c r="H94" s="19" t="n">
        <v>0.7106717118128039</v>
      </c>
      <c r="I94" s="19" t="n">
        <v>0.7106717118128039</v>
      </c>
      <c r="J94" s="20" t="n">
        <v>9.816347432727273</v>
      </c>
      <c r="K94" s="20" t="n">
        <v>9.816347432727273</v>
      </c>
      <c r="L94" s="20" t="n">
        <v>9.816347432727273</v>
      </c>
      <c r="M94" s="20" t="n">
        <v>9.816347432727273</v>
      </c>
      <c r="N94" s="21">
        <f>F94*J94</f>
        <v/>
      </c>
      <c r="O94" s="21">
        <f>G94*K94</f>
        <v/>
      </c>
      <c r="P94" s="21">
        <f>H94*L94</f>
        <v/>
      </c>
      <c r="Q94" s="21">
        <f>I94*M94</f>
        <v/>
      </c>
      <c r="R94" s="21">
        <f>SUMPRODUCT($O$5:$Q$5-$N$5:$P$5,(O94:Q94+N94:P94)/2)/($Q$5-$N$5)</f>
        <v/>
      </c>
    </row>
    <row r="95">
      <c r="A95" s="10">
        <f>B95&amp;"|"&amp;C95</f>
        <v/>
      </c>
      <c r="B95" s="4" t="inlineStr">
        <is>
          <t>3F</t>
        </is>
      </c>
      <c r="C95" s="4" t="inlineStr">
        <is>
          <t>Alternative3</t>
        </is>
      </c>
      <c r="D95" s="4" t="inlineStr">
        <is>
          <t>Instream</t>
        </is>
      </c>
      <c r="E95" s="4" t="inlineStr">
        <is>
          <t>Index x quantity</t>
        </is>
      </c>
      <c r="F95" s="19" t="n">
        <v>0.6242133784794707</v>
      </c>
      <c r="G95" s="19" t="n">
        <v>0.6617133784794706</v>
      </c>
      <c r="H95" s="19" t="n">
        <v>0.6742133784794706</v>
      </c>
      <c r="I95" s="19" t="n">
        <v>0.6825467118128039</v>
      </c>
      <c r="J95" s="20" t="n">
        <v>9.816347432727273</v>
      </c>
      <c r="K95" s="20" t="n">
        <v>9.816347432727273</v>
      </c>
      <c r="L95" s="20" t="n">
        <v>9.816347432727273</v>
      </c>
      <c r="M95" s="20" t="n">
        <v>9.816347432727273</v>
      </c>
      <c r="N95" s="21">
        <f>F95*J95</f>
        <v/>
      </c>
      <c r="O95" s="21">
        <f>G95*K95</f>
        <v/>
      </c>
      <c r="P95" s="21">
        <f>H95*L95</f>
        <v/>
      </c>
      <c r="Q95" s="21">
        <f>I95*M95</f>
        <v/>
      </c>
      <c r="R95" s="21">
        <f>SUMPRODUCT($O$5:$Q$5-$N$5:$P$5,(O95:Q95+N95:P95)/2)/($Q$5-$N$5)</f>
        <v/>
      </c>
    </row>
    <row r="96">
      <c r="A96" s="10">
        <f>B96&amp;"|"&amp;C96</f>
        <v/>
      </c>
      <c r="B96" s="4" t="inlineStr">
        <is>
          <t>19A</t>
        </is>
      </c>
      <c r="C96" s="4" t="inlineStr">
        <is>
          <t>FWOP</t>
        </is>
      </c>
      <c r="D96" s="4" t="inlineStr">
        <is>
          <t>Instream</t>
        </is>
      </c>
      <c r="E96" s="4" t="inlineStr">
        <is>
          <t>Index x quantity</t>
        </is>
      </c>
      <c r="F96" s="19" t="n">
        <v>0.5792328388327692</v>
      </c>
      <c r="G96" s="19" t="n">
        <v>0.5792328388327692</v>
      </c>
      <c r="H96" s="19" t="n">
        <v>0.5792328388327692</v>
      </c>
      <c r="I96" s="19" t="n">
        <v>0.5792328388327692</v>
      </c>
      <c r="J96" s="20" t="n">
        <v>5.634005527272727</v>
      </c>
      <c r="K96" s="20" t="n">
        <v>5.634005527272727</v>
      </c>
      <c r="L96" s="20" t="n">
        <v>5.634005527272727</v>
      </c>
      <c r="M96" s="20" t="n">
        <v>5.634005527272727</v>
      </c>
      <c r="N96" s="21">
        <f>F96*J96</f>
        <v/>
      </c>
      <c r="O96" s="21">
        <f>G96*K96</f>
        <v/>
      </c>
      <c r="P96" s="21">
        <f>H96*L96</f>
        <v/>
      </c>
      <c r="Q96" s="21">
        <f>I96*M96</f>
        <v/>
      </c>
      <c r="R96" s="21">
        <f>SUMPRODUCT($O$5:$Q$5-$N$5:$P$5,(O96:Q96+N96:P96)/2)/($Q$5-$N$5)</f>
        <v/>
      </c>
    </row>
    <row r="97">
      <c r="A97" s="10">
        <f>B97&amp;"|"&amp;C97</f>
        <v/>
      </c>
      <c r="B97" s="4" t="inlineStr">
        <is>
          <t>19A</t>
        </is>
      </c>
      <c r="C97" s="4" t="inlineStr">
        <is>
          <t>Alternative2</t>
        </is>
      </c>
      <c r="D97" s="4" t="inlineStr">
        <is>
          <t>Instream</t>
        </is>
      </c>
      <c r="E97" s="4" t="inlineStr">
        <is>
          <t>Index x quantity</t>
        </is>
      </c>
      <c r="F97" s="19" t="n">
        <v>0.5792328388327692</v>
      </c>
      <c r="G97" s="19" t="n">
        <v>0.8084328388327692</v>
      </c>
      <c r="H97" s="19" t="n">
        <v>0.8084328388327692</v>
      </c>
      <c r="I97" s="19" t="n">
        <v>0.8084328388327692</v>
      </c>
      <c r="J97" s="20" t="n">
        <v>5.634005527272727</v>
      </c>
      <c r="K97" s="20" t="n">
        <v>12.33780276363636</v>
      </c>
      <c r="L97" s="20" t="n">
        <v>12.33780276363636</v>
      </c>
      <c r="M97" s="20" t="n">
        <v>12.33780276363636</v>
      </c>
      <c r="N97" s="21">
        <f>F97*J97</f>
        <v/>
      </c>
      <c r="O97" s="21">
        <f>G97*K97</f>
        <v/>
      </c>
      <c r="P97" s="21">
        <f>H97*L97</f>
        <v/>
      </c>
      <c r="Q97" s="21">
        <f>I97*M97</f>
        <v/>
      </c>
      <c r="R97" s="21">
        <f>SUMPRODUCT($O$5:$Q$5-$N$5:$P$5,(O97:Q97+N97:P97)/2)/($Q$5-$N$5)</f>
        <v/>
      </c>
    </row>
    <row r="98">
      <c r="A98" s="10">
        <f>B98&amp;"|"&amp;C98</f>
        <v/>
      </c>
      <c r="B98" s="4" t="inlineStr">
        <is>
          <t>19A</t>
        </is>
      </c>
      <c r="C98" s="4" t="inlineStr">
        <is>
          <t>Alternative3</t>
        </is>
      </c>
      <c r="D98" s="4" t="inlineStr">
        <is>
          <t>Instream</t>
        </is>
      </c>
      <c r="E98" s="4" t="inlineStr">
        <is>
          <t>Index x quantity</t>
        </is>
      </c>
      <c r="F98" s="19" t="n">
        <v>0.5792328388327692</v>
      </c>
      <c r="G98" s="19" t="n">
        <v>0.7083995054994359</v>
      </c>
      <c r="H98" s="19" t="n">
        <v>0.7083995054994359</v>
      </c>
      <c r="I98" s="19" t="n">
        <v>0.7083995054994359</v>
      </c>
      <c r="J98" s="20" t="n">
        <v>5.634005527272727</v>
      </c>
      <c r="K98" s="20" t="n">
        <v>12.33780276363636</v>
      </c>
      <c r="L98" s="20" t="n">
        <v>12.33780276363636</v>
      </c>
      <c r="M98" s="20" t="n">
        <v>12.33780276363636</v>
      </c>
      <c r="N98" s="21">
        <f>F98*J98</f>
        <v/>
      </c>
      <c r="O98" s="21">
        <f>G98*K98</f>
        <v/>
      </c>
      <c r="P98" s="21">
        <f>H98*L98</f>
        <v/>
      </c>
      <c r="Q98" s="21">
        <f>I98*M98</f>
        <v/>
      </c>
      <c r="R98" s="21">
        <f>SUMPRODUCT($O$5:$Q$5-$N$5:$P$5,(O98:Q98+N98:P98)/2)/($Q$5-$N$5)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3">
    <mergeCell ref="N4:Q4"/>
    <mergeCell ref="F4:I4"/>
    <mergeCell ref="J4:M4"/>
  </mergeCells>
  <conditionalFormatting sqref="F6:M36">
    <cfRule type="expression" priority="1" dxfId="0" stopIfTrue="0">
      <formula>F6&lt;&gt;'snap Benefits'!F6</formula>
    </cfRule>
  </conditionalFormatting>
  <conditionalFormatting sqref="F37:M67">
    <cfRule type="expression" priority="2" dxfId="0" stopIfTrue="0">
      <formula>F37&lt;&gt;'snap Benefits'!F37</formula>
    </cfRule>
  </conditionalFormatting>
  <conditionalFormatting sqref="F68:M98">
    <cfRule type="expression" priority="3" dxfId="0" stopIfTrue="0">
      <formula>F68&lt;&gt;'snap Benefits'!F68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14" customWidth="1" style="8" min="4" max="4"/>
    <col width="14" customWidth="1" style="8" min="5" max="5"/>
    <col width="14" customWidth="1" style="8" min="6" max="6"/>
    <col width="12" customWidth="1" style="8" min="7" max="7"/>
    <col width="14" customWidth="1" style="8" min="8" max="8"/>
    <col width="15" customWidth="1" style="8" min="9" max="9"/>
    <col width="15" customWidth="1" style="8" min="10" max="10"/>
    <col width="15" customWidth="1" style="8" min="11" max="11"/>
    <col width="15" customWidth="1" style="8" min="12" max="12"/>
    <col width="15" customWidth="1" style="8" min="13" max="13"/>
    <col width="13" customWidth="1" style="8" min="14" max="14"/>
    <col width="13" customWidth="1" style="8" min="15" max="15"/>
    <col width="13" customWidth="1" style="8" min="16" max="16"/>
    <col width="13" customWidth="1" style="8" min="17" max="17"/>
    <col width="13" customWidth="1" style="8" min="18" max="18"/>
  </cols>
  <sheetData>
    <row r="1">
      <c r="A1" s="1" t="inlineStr">
        <is>
          <t>Costs: first costs, interest during construction and OMRRR</t>
        </is>
      </c>
    </row>
    <row r="2">
      <c r="A2" s="2" t="inlineStr">
        <is>
          <t>First costs are base-year lump sums. Interest during construction accrues on the categories marked *, spent evenly over the construction months.</t>
        </is>
      </c>
    </row>
    <row r="3">
      <c r="N3" s="12" t="inlineStr">
        <is>
          <t>Average annual cost by part</t>
        </is>
      </c>
      <c r="O3" s="32" t="n"/>
      <c r="P3" s="32" t="n"/>
      <c r="Q3" s="32" t="n"/>
      <c r="R3" s="33" t="n"/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Construction *</t>
        </is>
      </c>
      <c r="E4" s="12" t="inlineStr">
        <is>
          <t>Monitoring</t>
        </is>
      </c>
      <c r="F4" s="12" t="inlineStr">
        <is>
          <t>Adaptive management</t>
        </is>
      </c>
      <c r="G4" s="12" t="inlineStr">
        <is>
          <t>Construction months</t>
        </is>
      </c>
      <c r="H4" s="12" t="inlineStr">
        <is>
          <t>IDC base</t>
        </is>
      </c>
      <c r="I4" s="12" t="inlineStr">
        <is>
          <t>Interest during construction</t>
        </is>
      </c>
      <c r="J4" s="12" t="inlineStr">
        <is>
          <t>OMRRR present value</t>
        </is>
      </c>
      <c r="K4" s="12" t="inlineStr">
        <is>
          <t>Total present value</t>
        </is>
      </c>
      <c r="L4" s="12" t="inlineStr">
        <is>
          <t>Average annual cost entered</t>
        </is>
      </c>
      <c r="M4" s="12" t="inlineStr">
        <is>
          <t>Average annual cost</t>
        </is>
      </c>
      <c r="N4" s="12" t="inlineStr">
        <is>
          <t>Construction</t>
        </is>
      </c>
      <c r="O4" s="12" t="inlineStr">
        <is>
          <t>Monitoring</t>
        </is>
      </c>
      <c r="P4" s="12" t="inlineStr">
        <is>
          <t>Adaptive management</t>
        </is>
      </c>
      <c r="Q4" s="12" t="inlineStr">
        <is>
          <t>Interest during construction</t>
        </is>
      </c>
      <c r="R4" s="12" t="inlineStr">
        <is>
          <t>OMRRR</t>
        </is>
      </c>
    </row>
    <row r="5">
      <c r="D5" s="22" t="inlineStr">
        <is>
          <t>construction</t>
        </is>
      </c>
      <c r="E5" s="22" t="inlineStr">
        <is>
          <t>monitoring</t>
        </is>
      </c>
      <c r="F5" s="22" t="inlineStr">
        <is>
          <t>adaptive_management</t>
        </is>
      </c>
      <c r="G5" s="23" t="inlineStr"/>
      <c r="H5" s="23" t="inlineStr"/>
      <c r="I5" s="23" t="inlineStr"/>
      <c r="J5" s="23" t="inlineStr"/>
      <c r="K5" s="23" t="inlineStr"/>
      <c r="L5" s="23" t="inlineStr"/>
      <c r="M5" s="23" t="inlineStr"/>
    </row>
    <row r="6">
      <c r="A6" s="10">
        <f>B6&amp;"|"&amp;C6</f>
        <v/>
      </c>
      <c r="B6" s="4" t="inlineStr">
        <is>
          <t>17F2M</t>
        </is>
      </c>
      <c r="C6" s="4" t="inlineStr">
        <is>
          <t>FWOP</t>
        </is>
      </c>
      <c r="D6" s="24" t="n">
        <v>0</v>
      </c>
      <c r="E6" s="24" t="n">
        <v>0</v>
      </c>
      <c r="F6" s="24" t="n">
        <v>0</v>
      </c>
      <c r="G6" s="17" t="n">
        <v>0</v>
      </c>
      <c r="H6" s="25">
        <f>D6</f>
        <v/>
      </c>
      <c r="I6" s="26">
        <f>IF(OR(G6=0,in_rate=0,H6=0),0,H6/G6*(IF(in_idc_method="START",1+((1+in_rate)^(1/in_ppy)-1),IF(in_idc_method="MIDDLE",1+((1+in_rate)^(1/in_ppy)-1)/2,1))*((1+in_rate)^(G6/in_ppy)-1)/((1+in_rate)^(1/in_ppy)-1)-G6))</f>
        <v/>
      </c>
      <c r="J6" s="26">
        <f>SUMIFS(OMRRR!$S$5:$S$96,OMRRR!$A$5:$A$96,A6)</f>
        <v/>
      </c>
      <c r="K6" s="26">
        <f>SUM(D6:F6)+I6+J6</f>
        <v/>
      </c>
      <c r="L6" s="27" t="n"/>
      <c r="M6" s="26">
        <f>IF(ISNUMBER(L6),L6,calc_crf*K6)</f>
        <v/>
      </c>
      <c r="N6" s="26">
        <f>calc_crf*D6</f>
        <v/>
      </c>
      <c r="O6" s="26">
        <f>calc_crf*E6</f>
        <v/>
      </c>
      <c r="P6" s="26">
        <f>calc_crf*F6</f>
        <v/>
      </c>
      <c r="Q6" s="26">
        <f>calc_crf*I6</f>
        <v/>
      </c>
      <c r="R6" s="26">
        <f>calc_crf*J6</f>
        <v/>
      </c>
    </row>
    <row r="7">
      <c r="A7" s="10">
        <f>B7&amp;"|"&amp;C7</f>
        <v/>
      </c>
      <c r="B7" s="4" t="inlineStr">
        <is>
          <t>17F2M</t>
        </is>
      </c>
      <c r="C7" s="4" t="inlineStr">
        <is>
          <t>Alternative1</t>
        </is>
      </c>
      <c r="D7" s="24" t="n">
        <v>776047</v>
      </c>
      <c r="E7" s="24" t="n">
        <v>60000</v>
      </c>
      <c r="F7" s="24" t="n">
        <v>77605</v>
      </c>
      <c r="G7" s="17" t="n">
        <v>10</v>
      </c>
      <c r="H7" s="25">
        <f>D7</f>
        <v/>
      </c>
      <c r="I7" s="26">
        <f>IF(OR(G7=0,in_rate=0,H7=0),0,H7/G7*(IF(in_idc_method="START",1+((1+in_rate)^(1/in_ppy)-1),IF(in_idc_method="MIDDLE",1+((1+in_rate)^(1/in_ppy)-1)/2,1))*((1+in_rate)^(G7/in_ppy)-1)/((1+in_rate)^(1/in_ppy)-1)-G7))</f>
        <v/>
      </c>
      <c r="J7" s="26">
        <f>SUMIFS(OMRRR!$S$5:$S$96,OMRRR!$A$5:$A$96,A7)</f>
        <v/>
      </c>
      <c r="K7" s="26">
        <f>SUM(D7:F7)+I7+J7</f>
        <v/>
      </c>
      <c r="L7" s="27" t="n"/>
      <c r="M7" s="26">
        <f>IF(ISNUMBER(L7),L7,calc_crf*K7)</f>
        <v/>
      </c>
      <c r="N7" s="26">
        <f>calc_crf*D7</f>
        <v/>
      </c>
      <c r="O7" s="26">
        <f>calc_crf*E7</f>
        <v/>
      </c>
      <c r="P7" s="26">
        <f>calc_crf*F7</f>
        <v/>
      </c>
      <c r="Q7" s="26">
        <f>calc_crf*I7</f>
        <v/>
      </c>
      <c r="R7" s="26">
        <f>calc_crf*J7</f>
        <v/>
      </c>
    </row>
    <row r="8">
      <c r="A8" s="10">
        <f>B8&amp;"|"&amp;C8</f>
        <v/>
      </c>
      <c r="B8" s="4" t="inlineStr">
        <is>
          <t>17F2M</t>
        </is>
      </c>
      <c r="C8" s="4" t="inlineStr">
        <is>
          <t>Alternative2</t>
        </is>
      </c>
      <c r="D8" s="24" t="n">
        <v>691092</v>
      </c>
      <c r="E8" s="24" t="n">
        <v>56000</v>
      </c>
      <c r="F8" s="24" t="n">
        <v>69109</v>
      </c>
      <c r="G8" s="17" t="n">
        <v>9</v>
      </c>
      <c r="H8" s="25">
        <f>D8</f>
        <v/>
      </c>
      <c r="I8" s="26">
        <f>IF(OR(G8=0,in_rate=0,H8=0),0,H8/G8*(IF(in_idc_method="START",1+((1+in_rate)^(1/in_ppy)-1),IF(in_idc_method="MIDDLE",1+((1+in_rate)^(1/in_ppy)-1)/2,1))*((1+in_rate)^(G8/in_ppy)-1)/((1+in_rate)^(1/in_ppy)-1)-G8))</f>
        <v/>
      </c>
      <c r="J8" s="26">
        <f>SUMIFS(OMRRR!$S$5:$S$96,OMRRR!$A$5:$A$96,A8)</f>
        <v/>
      </c>
      <c r="K8" s="26">
        <f>SUM(D8:F8)+I8+J8</f>
        <v/>
      </c>
      <c r="L8" s="27" t="n"/>
      <c r="M8" s="26">
        <f>IF(ISNUMBER(L8),L8,calc_crf*K8)</f>
        <v/>
      </c>
      <c r="N8" s="26">
        <f>calc_crf*D8</f>
        <v/>
      </c>
      <c r="O8" s="26">
        <f>calc_crf*E8</f>
        <v/>
      </c>
      <c r="P8" s="26">
        <f>calc_crf*F8</f>
        <v/>
      </c>
      <c r="Q8" s="26">
        <f>calc_crf*I8</f>
        <v/>
      </c>
      <c r="R8" s="26">
        <f>calc_crf*J8</f>
        <v/>
      </c>
    </row>
    <row r="9">
      <c r="A9" s="10">
        <f>B9&amp;"|"&amp;C9</f>
        <v/>
      </c>
      <c r="B9" s="4" t="inlineStr">
        <is>
          <t>17F2M</t>
        </is>
      </c>
      <c r="C9" s="4" t="inlineStr">
        <is>
          <t>Alternative3</t>
        </is>
      </c>
      <c r="D9" s="24" t="n">
        <v>798779</v>
      </c>
      <c r="E9" s="24" t="n">
        <v>48000</v>
      </c>
      <c r="F9" s="24" t="n">
        <v>79878</v>
      </c>
      <c r="G9" s="17" t="n">
        <v>11</v>
      </c>
      <c r="H9" s="25">
        <f>D9</f>
        <v/>
      </c>
      <c r="I9" s="26">
        <f>IF(OR(G9=0,in_rate=0,H9=0),0,H9/G9*(IF(in_idc_method="START",1+((1+in_rate)^(1/in_ppy)-1),IF(in_idc_method="MIDDLE",1+((1+in_rate)^(1/in_ppy)-1)/2,1))*((1+in_rate)^(G9/in_ppy)-1)/((1+in_rate)^(1/in_ppy)-1)-G9))</f>
        <v/>
      </c>
      <c r="J9" s="26">
        <f>SUMIFS(OMRRR!$S$5:$S$96,OMRRR!$A$5:$A$96,A9)</f>
        <v/>
      </c>
      <c r="K9" s="26">
        <f>SUM(D9:F9)+I9+J9</f>
        <v/>
      </c>
      <c r="L9" s="27" t="n"/>
      <c r="M9" s="26">
        <f>IF(ISNUMBER(L9),L9,calc_crf*K9)</f>
        <v/>
      </c>
      <c r="N9" s="26">
        <f>calc_crf*D9</f>
        <v/>
      </c>
      <c r="O9" s="26">
        <f>calc_crf*E9</f>
        <v/>
      </c>
      <c r="P9" s="26">
        <f>calc_crf*F9</f>
        <v/>
      </c>
      <c r="Q9" s="26">
        <f>calc_crf*I9</f>
        <v/>
      </c>
      <c r="R9" s="26">
        <f>calc_crf*J9</f>
        <v/>
      </c>
    </row>
    <row r="10">
      <c r="A10" s="10">
        <f>B10&amp;"|"&amp;C10</f>
        <v/>
      </c>
      <c r="B10" s="4" t="inlineStr">
        <is>
          <t>17D2E</t>
        </is>
      </c>
      <c r="C10" s="4" t="inlineStr">
        <is>
          <t>FWOP</t>
        </is>
      </c>
      <c r="D10" s="24" t="n">
        <v>0</v>
      </c>
      <c r="E10" s="24" t="n">
        <v>0</v>
      </c>
      <c r="F10" s="24" t="n">
        <v>0</v>
      </c>
      <c r="G10" s="17" t="n">
        <v>0</v>
      </c>
      <c r="H10" s="25">
        <f>D10</f>
        <v/>
      </c>
      <c r="I10" s="26">
        <f>IF(OR(G10=0,in_rate=0,H10=0),0,H10/G10*(IF(in_idc_method="START",1+((1+in_rate)^(1/in_ppy)-1),IF(in_idc_method="MIDDLE",1+((1+in_rate)^(1/in_ppy)-1)/2,1))*((1+in_rate)^(G10/in_ppy)-1)/((1+in_rate)^(1/in_ppy)-1)-G10))</f>
        <v/>
      </c>
      <c r="J10" s="26">
        <f>SUMIFS(OMRRR!$S$5:$S$96,OMRRR!$A$5:$A$96,A10)</f>
        <v/>
      </c>
      <c r="K10" s="26">
        <f>SUM(D10:F10)+I10+J10</f>
        <v/>
      </c>
      <c r="L10" s="27" t="n"/>
      <c r="M10" s="26">
        <f>IF(ISNUMBER(L10),L10,calc_crf*K10)</f>
        <v/>
      </c>
      <c r="N10" s="26">
        <f>calc_crf*D10</f>
        <v/>
      </c>
      <c r="O10" s="26">
        <f>calc_crf*E10</f>
        <v/>
      </c>
      <c r="P10" s="26">
        <f>calc_crf*F10</f>
        <v/>
      </c>
      <c r="Q10" s="26">
        <f>calc_crf*I10</f>
        <v/>
      </c>
      <c r="R10" s="26">
        <f>calc_crf*J10</f>
        <v/>
      </c>
    </row>
    <row r="11">
      <c r="A11" s="10">
        <f>B11&amp;"|"&amp;C11</f>
        <v/>
      </c>
      <c r="B11" s="4" t="inlineStr">
        <is>
          <t>17D2E</t>
        </is>
      </c>
      <c r="C11" s="4" t="inlineStr">
        <is>
          <t>Alternative1</t>
        </is>
      </c>
      <c r="D11" s="24" t="n">
        <v>1070854</v>
      </c>
      <c r="E11" s="24" t="n">
        <v>48000</v>
      </c>
      <c r="F11" s="24" t="n">
        <v>160628</v>
      </c>
      <c r="G11" s="17" t="n">
        <v>14</v>
      </c>
      <c r="H11" s="25">
        <f>D11</f>
        <v/>
      </c>
      <c r="I11" s="26">
        <f>IF(OR(G11=0,in_rate=0,H11=0),0,H11/G11*(IF(in_idc_method="START",1+((1+in_rate)^(1/in_ppy)-1),IF(in_idc_method="MIDDLE",1+((1+in_rate)^(1/in_ppy)-1)/2,1))*((1+in_rate)^(G11/in_ppy)-1)/((1+in_rate)^(1/in_ppy)-1)-G11))</f>
        <v/>
      </c>
      <c r="J11" s="26">
        <f>SUMIFS(OMRRR!$S$5:$S$96,OMRRR!$A$5:$A$96,A11)</f>
        <v/>
      </c>
      <c r="K11" s="26">
        <f>SUM(D11:F11)+I11+J11</f>
        <v/>
      </c>
      <c r="L11" s="27" t="n"/>
      <c r="M11" s="26">
        <f>IF(ISNUMBER(L11),L11,calc_crf*K11)</f>
        <v/>
      </c>
      <c r="N11" s="26">
        <f>calc_crf*D11</f>
        <v/>
      </c>
      <c r="O11" s="26">
        <f>calc_crf*E11</f>
        <v/>
      </c>
      <c r="P11" s="26">
        <f>calc_crf*F11</f>
        <v/>
      </c>
      <c r="Q11" s="26">
        <f>calc_crf*I11</f>
        <v/>
      </c>
      <c r="R11" s="26">
        <f>calc_crf*J11</f>
        <v/>
      </c>
    </row>
    <row r="12">
      <c r="A12" s="10">
        <f>B12&amp;"|"&amp;C12</f>
        <v/>
      </c>
      <c r="B12" s="4" t="inlineStr">
        <is>
          <t>17D2E</t>
        </is>
      </c>
      <c r="C12" s="4" t="inlineStr">
        <is>
          <t>Alternative2</t>
        </is>
      </c>
      <c r="D12" s="24" t="n">
        <v>1065670</v>
      </c>
      <c r="E12" s="24" t="n">
        <v>48000</v>
      </c>
      <c r="F12" s="24" t="n">
        <v>106567</v>
      </c>
      <c r="G12" s="17" t="n">
        <v>14</v>
      </c>
      <c r="H12" s="25">
        <f>D12</f>
        <v/>
      </c>
      <c r="I12" s="26">
        <f>IF(OR(G12=0,in_rate=0,H12=0),0,H12/G12*(IF(in_idc_method="START",1+((1+in_rate)^(1/in_ppy)-1),IF(in_idc_method="MIDDLE",1+((1+in_rate)^(1/in_ppy)-1)/2,1))*((1+in_rate)^(G12/in_ppy)-1)/((1+in_rate)^(1/in_ppy)-1)-G12))</f>
        <v/>
      </c>
      <c r="J12" s="26">
        <f>SUMIFS(OMRRR!$S$5:$S$96,OMRRR!$A$5:$A$96,A12)</f>
        <v/>
      </c>
      <c r="K12" s="26">
        <f>SUM(D12:F12)+I12+J12</f>
        <v/>
      </c>
      <c r="L12" s="27" t="n"/>
      <c r="M12" s="26">
        <f>IF(ISNUMBER(L12),L12,calc_crf*K12)</f>
        <v/>
      </c>
      <c r="N12" s="26">
        <f>calc_crf*D12</f>
        <v/>
      </c>
      <c r="O12" s="26">
        <f>calc_crf*E12</f>
        <v/>
      </c>
      <c r="P12" s="26">
        <f>calc_crf*F12</f>
        <v/>
      </c>
      <c r="Q12" s="26">
        <f>calc_crf*I12</f>
        <v/>
      </c>
      <c r="R12" s="26">
        <f>calc_crf*J12</f>
        <v/>
      </c>
    </row>
    <row r="13">
      <c r="A13" s="10">
        <f>B13&amp;"|"&amp;C13</f>
        <v/>
      </c>
      <c r="B13" s="4" t="inlineStr">
        <is>
          <t>17D2E</t>
        </is>
      </c>
      <c r="C13" s="4" t="inlineStr">
        <is>
          <t>Alternative3</t>
        </is>
      </c>
      <c r="D13" s="24" t="n">
        <v>276233</v>
      </c>
      <c r="E13" s="24" t="n">
        <v>48000</v>
      </c>
      <c r="F13" s="24" t="n">
        <v>27623</v>
      </c>
      <c r="G13" s="17" t="n">
        <v>2</v>
      </c>
      <c r="H13" s="25">
        <f>D13</f>
        <v/>
      </c>
      <c r="I13" s="26">
        <f>IF(OR(G13=0,in_rate=0,H13=0),0,H13/G13*(IF(in_idc_method="START",1+((1+in_rate)^(1/in_ppy)-1),IF(in_idc_method="MIDDLE",1+((1+in_rate)^(1/in_ppy)-1)/2,1))*((1+in_rate)^(G13/in_ppy)-1)/((1+in_rate)^(1/in_ppy)-1)-G13))</f>
        <v/>
      </c>
      <c r="J13" s="26">
        <f>SUMIFS(OMRRR!$S$5:$S$96,OMRRR!$A$5:$A$96,A13)</f>
        <v/>
      </c>
      <c r="K13" s="26">
        <f>SUM(D13:F13)+I13+J13</f>
        <v/>
      </c>
      <c r="L13" s="27" t="n"/>
      <c r="M13" s="26">
        <f>IF(ISNUMBER(L13),L13,calc_crf*K13)</f>
        <v/>
      </c>
      <c r="N13" s="26">
        <f>calc_crf*D13</f>
        <v/>
      </c>
      <c r="O13" s="26">
        <f>calc_crf*E13</f>
        <v/>
      </c>
      <c r="P13" s="26">
        <f>calc_crf*F13</f>
        <v/>
      </c>
      <c r="Q13" s="26">
        <f>calc_crf*I13</f>
        <v/>
      </c>
      <c r="R13" s="26">
        <f>calc_crf*J13</f>
        <v/>
      </c>
    </row>
    <row r="14">
      <c r="A14" s="10">
        <f>B14&amp;"|"&amp;C14</f>
        <v/>
      </c>
      <c r="B14" s="4" t="inlineStr">
        <is>
          <t>17B</t>
        </is>
      </c>
      <c r="C14" s="4" t="inlineStr">
        <is>
          <t>FWOP</t>
        </is>
      </c>
      <c r="D14" s="24" t="n">
        <v>0</v>
      </c>
      <c r="E14" s="24" t="n">
        <v>0</v>
      </c>
      <c r="F14" s="24" t="n">
        <v>0</v>
      </c>
      <c r="G14" s="17" t="n">
        <v>0</v>
      </c>
      <c r="H14" s="25">
        <f>D14</f>
        <v/>
      </c>
      <c r="I14" s="26">
        <f>IF(OR(G14=0,in_rate=0,H14=0),0,H14/G14*(IF(in_idc_method="START",1+((1+in_rate)^(1/in_ppy)-1),IF(in_idc_method="MIDDLE",1+((1+in_rate)^(1/in_ppy)-1)/2,1))*((1+in_rate)^(G14/in_ppy)-1)/((1+in_rate)^(1/in_ppy)-1)-G14))</f>
        <v/>
      </c>
      <c r="J14" s="26">
        <f>SUMIFS(OMRRR!$S$5:$S$96,OMRRR!$A$5:$A$96,A14)</f>
        <v/>
      </c>
      <c r="K14" s="26">
        <f>SUM(D14:F14)+I14+J14</f>
        <v/>
      </c>
      <c r="L14" s="27" t="n"/>
      <c r="M14" s="26">
        <f>IF(ISNUMBER(L14),L14,calc_crf*K14)</f>
        <v/>
      </c>
      <c r="N14" s="26">
        <f>calc_crf*D14</f>
        <v/>
      </c>
      <c r="O14" s="26">
        <f>calc_crf*E14</f>
        <v/>
      </c>
      <c r="P14" s="26">
        <f>calc_crf*F14</f>
        <v/>
      </c>
      <c r="Q14" s="26">
        <f>calc_crf*I14</f>
        <v/>
      </c>
      <c r="R14" s="26">
        <f>calc_crf*J14</f>
        <v/>
      </c>
    </row>
    <row r="15">
      <c r="A15" s="10">
        <f>B15&amp;"|"&amp;C15</f>
        <v/>
      </c>
      <c r="B15" s="4" t="inlineStr">
        <is>
          <t>17B</t>
        </is>
      </c>
      <c r="C15" s="4" t="inlineStr">
        <is>
          <t>Alternative1</t>
        </is>
      </c>
      <c r="D15" s="24" t="n">
        <v>1002697</v>
      </c>
      <c r="E15" s="24" t="n">
        <v>48000</v>
      </c>
      <c r="F15" s="24" t="n">
        <v>150405</v>
      </c>
      <c r="G15" s="17" t="n">
        <v>12</v>
      </c>
      <c r="H15" s="25">
        <f>D15</f>
        <v/>
      </c>
      <c r="I15" s="26">
        <f>IF(OR(G15=0,in_rate=0,H15=0),0,H15/G15*(IF(in_idc_method="START",1+((1+in_rate)^(1/in_ppy)-1),IF(in_idc_method="MIDDLE",1+((1+in_rate)^(1/in_ppy)-1)/2,1))*((1+in_rate)^(G15/in_ppy)-1)/((1+in_rate)^(1/in_ppy)-1)-G15))</f>
        <v/>
      </c>
      <c r="J15" s="26">
        <f>SUMIFS(OMRRR!$S$5:$S$96,OMRRR!$A$5:$A$96,A15)</f>
        <v/>
      </c>
      <c r="K15" s="26">
        <f>SUM(D15:F15)+I15+J15</f>
        <v/>
      </c>
      <c r="L15" s="27" t="n"/>
      <c r="M15" s="26">
        <f>IF(ISNUMBER(L15),L15,calc_crf*K15)</f>
        <v/>
      </c>
      <c r="N15" s="26">
        <f>calc_crf*D15</f>
        <v/>
      </c>
      <c r="O15" s="26">
        <f>calc_crf*E15</f>
        <v/>
      </c>
      <c r="P15" s="26">
        <f>calc_crf*F15</f>
        <v/>
      </c>
      <c r="Q15" s="26">
        <f>calc_crf*I15</f>
        <v/>
      </c>
      <c r="R15" s="26">
        <f>calc_crf*J15</f>
        <v/>
      </c>
    </row>
    <row r="16">
      <c r="A16" s="10">
        <f>B16&amp;"|"&amp;C16</f>
        <v/>
      </c>
      <c r="B16" s="4" t="inlineStr">
        <is>
          <t>17B</t>
        </is>
      </c>
      <c r="C16" s="4" t="inlineStr">
        <is>
          <t>Alternative2</t>
        </is>
      </c>
      <c r="D16" s="24" t="n">
        <v>880983</v>
      </c>
      <c r="E16" s="24" t="n">
        <v>48000</v>
      </c>
      <c r="F16" s="24" t="n">
        <v>132147</v>
      </c>
      <c r="G16" s="17" t="n">
        <v>12</v>
      </c>
      <c r="H16" s="25">
        <f>D16</f>
        <v/>
      </c>
      <c r="I16" s="26">
        <f>IF(OR(G16=0,in_rate=0,H16=0),0,H16/G16*(IF(in_idc_method="START",1+((1+in_rate)^(1/in_ppy)-1),IF(in_idc_method="MIDDLE",1+((1+in_rate)^(1/in_ppy)-1)/2,1))*((1+in_rate)^(G16/in_ppy)-1)/((1+in_rate)^(1/in_ppy)-1)-G16))</f>
        <v/>
      </c>
      <c r="J16" s="26">
        <f>SUMIFS(OMRRR!$S$5:$S$96,OMRRR!$A$5:$A$96,A16)</f>
        <v/>
      </c>
      <c r="K16" s="26">
        <f>SUM(D16:F16)+I16+J16</f>
        <v/>
      </c>
      <c r="L16" s="27" t="n"/>
      <c r="M16" s="26">
        <f>IF(ISNUMBER(L16),L16,calc_crf*K16)</f>
        <v/>
      </c>
      <c r="N16" s="26">
        <f>calc_crf*D16</f>
        <v/>
      </c>
      <c r="O16" s="26">
        <f>calc_crf*E16</f>
        <v/>
      </c>
      <c r="P16" s="26">
        <f>calc_crf*F16</f>
        <v/>
      </c>
      <c r="Q16" s="26">
        <f>calc_crf*I16</f>
        <v/>
      </c>
      <c r="R16" s="26">
        <f>calc_crf*J16</f>
        <v/>
      </c>
    </row>
    <row r="17">
      <c r="A17" s="10">
        <f>B17&amp;"|"&amp;C17</f>
        <v/>
      </c>
      <c r="B17" s="4" t="inlineStr">
        <is>
          <t>17B</t>
        </is>
      </c>
      <c r="C17" s="4" t="inlineStr">
        <is>
          <t>Alternative3</t>
        </is>
      </c>
      <c r="D17" s="24" t="n">
        <v>257611</v>
      </c>
      <c r="E17" s="24" t="n">
        <v>48000</v>
      </c>
      <c r="F17" s="24" t="n">
        <v>38642</v>
      </c>
      <c r="G17" s="17" t="n">
        <v>2</v>
      </c>
      <c r="H17" s="25">
        <f>D17</f>
        <v/>
      </c>
      <c r="I17" s="26">
        <f>IF(OR(G17=0,in_rate=0,H17=0),0,H17/G17*(IF(in_idc_method="START",1+((1+in_rate)^(1/in_ppy)-1),IF(in_idc_method="MIDDLE",1+((1+in_rate)^(1/in_ppy)-1)/2,1))*((1+in_rate)^(G17/in_ppy)-1)/((1+in_rate)^(1/in_ppy)-1)-G17))</f>
        <v/>
      </c>
      <c r="J17" s="26">
        <f>SUMIFS(OMRRR!$S$5:$S$96,OMRRR!$A$5:$A$96,A17)</f>
        <v/>
      </c>
      <c r="K17" s="26">
        <f>SUM(D17:F17)+I17+J17</f>
        <v/>
      </c>
      <c r="L17" s="27" t="n"/>
      <c r="M17" s="26">
        <f>IF(ISNUMBER(L17),L17,calc_crf*K17)</f>
        <v/>
      </c>
      <c r="N17" s="26">
        <f>calc_crf*D17</f>
        <v/>
      </c>
      <c r="O17" s="26">
        <f>calc_crf*E17</f>
        <v/>
      </c>
      <c r="P17" s="26">
        <f>calc_crf*F17</f>
        <v/>
      </c>
      <c r="Q17" s="26">
        <f>calc_crf*I17</f>
        <v/>
      </c>
      <c r="R17" s="26">
        <f>calc_crf*J17</f>
        <v/>
      </c>
    </row>
    <row r="18">
      <c r="A18" s="10">
        <f>B18&amp;"|"&amp;C18</f>
        <v/>
      </c>
      <c r="B18" s="4" t="inlineStr">
        <is>
          <t>2A</t>
        </is>
      </c>
      <c r="C18" s="4" t="inlineStr">
        <is>
          <t>FWOP</t>
        </is>
      </c>
      <c r="D18" s="24" t="n">
        <v>0</v>
      </c>
      <c r="E18" s="24" t="n">
        <v>0</v>
      </c>
      <c r="F18" s="24" t="n">
        <v>0</v>
      </c>
      <c r="G18" s="17" t="n">
        <v>0</v>
      </c>
      <c r="H18" s="25">
        <f>D18</f>
        <v/>
      </c>
      <c r="I18" s="26">
        <f>IF(OR(G18=0,in_rate=0,H18=0),0,H18/G18*(IF(in_idc_method="START",1+((1+in_rate)^(1/in_ppy)-1),IF(in_idc_method="MIDDLE",1+((1+in_rate)^(1/in_ppy)-1)/2,1))*((1+in_rate)^(G18/in_ppy)-1)/((1+in_rate)^(1/in_ppy)-1)-G18))</f>
        <v/>
      </c>
      <c r="J18" s="26">
        <f>SUMIFS(OMRRR!$S$5:$S$96,OMRRR!$A$5:$A$96,A18)</f>
        <v/>
      </c>
      <c r="K18" s="26">
        <f>SUM(D18:F18)+I18+J18</f>
        <v/>
      </c>
      <c r="L18" s="27" t="n"/>
      <c r="M18" s="26">
        <f>IF(ISNUMBER(L18),L18,calc_crf*K18)</f>
        <v/>
      </c>
      <c r="N18" s="26">
        <f>calc_crf*D18</f>
        <v/>
      </c>
      <c r="O18" s="26">
        <f>calc_crf*E18</f>
        <v/>
      </c>
      <c r="P18" s="26">
        <f>calc_crf*F18</f>
        <v/>
      </c>
      <c r="Q18" s="26">
        <f>calc_crf*I18</f>
        <v/>
      </c>
      <c r="R18" s="26">
        <f>calc_crf*J18</f>
        <v/>
      </c>
    </row>
    <row r="19">
      <c r="A19" s="10">
        <f>B19&amp;"|"&amp;C19</f>
        <v/>
      </c>
      <c r="B19" s="4" t="inlineStr">
        <is>
          <t>2A</t>
        </is>
      </c>
      <c r="C19" s="4" t="inlineStr">
        <is>
          <t>Alternative1</t>
        </is>
      </c>
      <c r="D19" s="24" t="n">
        <v>557695</v>
      </c>
      <c r="E19" s="24" t="n">
        <v>48000</v>
      </c>
      <c r="F19" s="24" t="n">
        <v>55770</v>
      </c>
      <c r="G19" s="17" t="n">
        <v>6</v>
      </c>
      <c r="H19" s="25">
        <f>D19</f>
        <v/>
      </c>
      <c r="I19" s="26">
        <f>IF(OR(G19=0,in_rate=0,H19=0),0,H19/G19*(IF(in_idc_method="START",1+((1+in_rate)^(1/in_ppy)-1),IF(in_idc_method="MIDDLE",1+((1+in_rate)^(1/in_ppy)-1)/2,1))*((1+in_rate)^(G19/in_ppy)-1)/((1+in_rate)^(1/in_ppy)-1)-G19))</f>
        <v/>
      </c>
      <c r="J19" s="26">
        <f>SUMIFS(OMRRR!$S$5:$S$96,OMRRR!$A$5:$A$96,A19)</f>
        <v/>
      </c>
      <c r="K19" s="26">
        <f>SUM(D19:F19)+I19+J19</f>
        <v/>
      </c>
      <c r="L19" s="27" t="n"/>
      <c r="M19" s="26">
        <f>IF(ISNUMBER(L19),L19,calc_crf*K19)</f>
        <v/>
      </c>
      <c r="N19" s="26">
        <f>calc_crf*D19</f>
        <v/>
      </c>
      <c r="O19" s="26">
        <f>calc_crf*E19</f>
        <v/>
      </c>
      <c r="P19" s="26">
        <f>calc_crf*F19</f>
        <v/>
      </c>
      <c r="Q19" s="26">
        <f>calc_crf*I19</f>
        <v/>
      </c>
      <c r="R19" s="26">
        <f>calc_crf*J19</f>
        <v/>
      </c>
    </row>
    <row r="20">
      <c r="A20" s="10">
        <f>B20&amp;"|"&amp;C20</f>
        <v/>
      </c>
      <c r="B20" s="4" t="inlineStr">
        <is>
          <t>2A</t>
        </is>
      </c>
      <c r="C20" s="4" t="inlineStr">
        <is>
          <t>Alternative2</t>
        </is>
      </c>
      <c r="D20" s="24" t="n">
        <v>498094</v>
      </c>
      <c r="E20" s="24" t="n">
        <v>48000</v>
      </c>
      <c r="F20" s="24" t="n">
        <v>74714</v>
      </c>
      <c r="G20" s="17" t="n">
        <v>5</v>
      </c>
      <c r="H20" s="25">
        <f>D20</f>
        <v/>
      </c>
      <c r="I20" s="26">
        <f>IF(OR(G20=0,in_rate=0,H20=0),0,H20/G20*(IF(in_idc_method="START",1+((1+in_rate)^(1/in_ppy)-1),IF(in_idc_method="MIDDLE",1+((1+in_rate)^(1/in_ppy)-1)/2,1))*((1+in_rate)^(G20/in_ppy)-1)/((1+in_rate)^(1/in_ppy)-1)-G20))</f>
        <v/>
      </c>
      <c r="J20" s="26">
        <f>SUMIFS(OMRRR!$S$5:$S$96,OMRRR!$A$5:$A$96,A20)</f>
        <v/>
      </c>
      <c r="K20" s="26">
        <f>SUM(D20:F20)+I20+J20</f>
        <v/>
      </c>
      <c r="L20" s="27" t="n"/>
      <c r="M20" s="26">
        <f>IF(ISNUMBER(L20),L20,calc_crf*K20)</f>
        <v/>
      </c>
      <c r="N20" s="26">
        <f>calc_crf*D20</f>
        <v/>
      </c>
      <c r="O20" s="26">
        <f>calc_crf*E20</f>
        <v/>
      </c>
      <c r="P20" s="26">
        <f>calc_crf*F20</f>
        <v/>
      </c>
      <c r="Q20" s="26">
        <f>calc_crf*I20</f>
        <v/>
      </c>
      <c r="R20" s="26">
        <f>calc_crf*J20</f>
        <v/>
      </c>
    </row>
    <row r="21">
      <c r="A21" s="10">
        <f>B21&amp;"|"&amp;C21</f>
        <v/>
      </c>
      <c r="B21" s="4" t="inlineStr">
        <is>
          <t>2A</t>
        </is>
      </c>
      <c r="C21" s="4" t="inlineStr">
        <is>
          <t>Alternative3</t>
        </is>
      </c>
      <c r="D21" s="24" t="n">
        <v>276233</v>
      </c>
      <c r="E21" s="24" t="n">
        <v>48000</v>
      </c>
      <c r="F21" s="24" t="n">
        <v>55247</v>
      </c>
      <c r="G21" s="17" t="n">
        <v>2</v>
      </c>
      <c r="H21" s="25">
        <f>D21</f>
        <v/>
      </c>
      <c r="I21" s="26">
        <f>IF(OR(G21=0,in_rate=0,H21=0),0,H21/G21*(IF(in_idc_method="START",1+((1+in_rate)^(1/in_ppy)-1),IF(in_idc_method="MIDDLE",1+((1+in_rate)^(1/in_ppy)-1)/2,1))*((1+in_rate)^(G21/in_ppy)-1)/((1+in_rate)^(1/in_ppy)-1)-G21))</f>
        <v/>
      </c>
      <c r="J21" s="26">
        <f>SUMIFS(OMRRR!$S$5:$S$96,OMRRR!$A$5:$A$96,A21)</f>
        <v/>
      </c>
      <c r="K21" s="26">
        <f>SUM(D21:F21)+I21+J21</f>
        <v/>
      </c>
      <c r="L21" s="27" t="n"/>
      <c r="M21" s="26">
        <f>IF(ISNUMBER(L21),L21,calc_crf*K21)</f>
        <v/>
      </c>
      <c r="N21" s="26">
        <f>calc_crf*D21</f>
        <v/>
      </c>
      <c r="O21" s="26">
        <f>calc_crf*E21</f>
        <v/>
      </c>
      <c r="P21" s="26">
        <f>calc_crf*F21</f>
        <v/>
      </c>
      <c r="Q21" s="26">
        <f>calc_crf*I21</f>
        <v/>
      </c>
      <c r="R21" s="26">
        <f>calc_crf*J21</f>
        <v/>
      </c>
    </row>
    <row r="22">
      <c r="A22" s="10">
        <f>B22&amp;"|"&amp;C22</f>
        <v/>
      </c>
      <c r="B22" s="4" t="inlineStr">
        <is>
          <t>2B</t>
        </is>
      </c>
      <c r="C22" s="4" t="inlineStr">
        <is>
          <t>FWOP</t>
        </is>
      </c>
      <c r="D22" s="24" t="n">
        <v>0</v>
      </c>
      <c r="E22" s="24" t="n">
        <v>0</v>
      </c>
      <c r="F22" s="24" t="n">
        <v>0</v>
      </c>
      <c r="G22" s="17" t="n">
        <v>0</v>
      </c>
      <c r="H22" s="25">
        <f>D22</f>
        <v/>
      </c>
      <c r="I22" s="26">
        <f>IF(OR(G22=0,in_rate=0,H22=0),0,H22/G22*(IF(in_idc_method="START",1+((1+in_rate)^(1/in_ppy)-1),IF(in_idc_method="MIDDLE",1+((1+in_rate)^(1/in_ppy)-1)/2,1))*((1+in_rate)^(G22/in_ppy)-1)/((1+in_rate)^(1/in_ppy)-1)-G22))</f>
        <v/>
      </c>
      <c r="J22" s="26">
        <f>SUMIFS(OMRRR!$S$5:$S$96,OMRRR!$A$5:$A$96,A22)</f>
        <v/>
      </c>
      <c r="K22" s="26">
        <f>SUM(D22:F22)+I22+J22</f>
        <v/>
      </c>
      <c r="L22" s="27" t="n"/>
      <c r="M22" s="26">
        <f>IF(ISNUMBER(L22),L22,calc_crf*K22)</f>
        <v/>
      </c>
      <c r="N22" s="26">
        <f>calc_crf*D22</f>
        <v/>
      </c>
      <c r="O22" s="26">
        <f>calc_crf*E22</f>
        <v/>
      </c>
      <c r="P22" s="26">
        <f>calc_crf*F22</f>
        <v/>
      </c>
      <c r="Q22" s="26">
        <f>calc_crf*I22</f>
        <v/>
      </c>
      <c r="R22" s="26">
        <f>calc_crf*J22</f>
        <v/>
      </c>
    </row>
    <row r="23">
      <c r="A23" s="10">
        <f>B23&amp;"|"&amp;C23</f>
        <v/>
      </c>
      <c r="B23" s="4" t="inlineStr">
        <is>
          <t>2B</t>
        </is>
      </c>
      <c r="C23" s="4" t="inlineStr">
        <is>
          <t>Alternative1</t>
        </is>
      </c>
      <c r="D23" s="24" t="n">
        <v>394496</v>
      </c>
      <c r="E23" s="24" t="n">
        <v>48000</v>
      </c>
      <c r="F23" s="24" t="n">
        <v>39450</v>
      </c>
      <c r="G23" s="17" t="n">
        <v>4</v>
      </c>
      <c r="H23" s="25">
        <f>D23</f>
        <v/>
      </c>
      <c r="I23" s="26">
        <f>IF(OR(G23=0,in_rate=0,H23=0),0,H23/G23*(IF(in_idc_method="START",1+((1+in_rate)^(1/in_ppy)-1),IF(in_idc_method="MIDDLE",1+((1+in_rate)^(1/in_ppy)-1)/2,1))*((1+in_rate)^(G23/in_ppy)-1)/((1+in_rate)^(1/in_ppy)-1)-G23))</f>
        <v/>
      </c>
      <c r="J23" s="26">
        <f>SUMIFS(OMRRR!$S$5:$S$96,OMRRR!$A$5:$A$96,A23)</f>
        <v/>
      </c>
      <c r="K23" s="26">
        <f>SUM(D23:F23)+I23+J23</f>
        <v/>
      </c>
      <c r="L23" s="27" t="n"/>
      <c r="M23" s="26">
        <f>IF(ISNUMBER(L23),L23,calc_crf*K23)</f>
        <v/>
      </c>
      <c r="N23" s="26">
        <f>calc_crf*D23</f>
        <v/>
      </c>
      <c r="O23" s="26">
        <f>calc_crf*E23</f>
        <v/>
      </c>
      <c r="P23" s="26">
        <f>calc_crf*F23</f>
        <v/>
      </c>
      <c r="Q23" s="26">
        <f>calc_crf*I23</f>
        <v/>
      </c>
      <c r="R23" s="26">
        <f>calc_crf*J23</f>
        <v/>
      </c>
    </row>
    <row r="24">
      <c r="A24" s="10">
        <f>B24&amp;"|"&amp;C24</f>
        <v/>
      </c>
      <c r="B24" s="4" t="inlineStr">
        <is>
          <t>2B</t>
        </is>
      </c>
      <c r="C24" s="4" t="inlineStr">
        <is>
          <t>Alternative2</t>
        </is>
      </c>
      <c r="D24" s="24" t="n">
        <v>400638</v>
      </c>
      <c r="E24" s="24" t="n">
        <v>48000</v>
      </c>
      <c r="F24" s="24" t="n">
        <v>60096</v>
      </c>
      <c r="G24" s="17" t="n">
        <v>4</v>
      </c>
      <c r="H24" s="25">
        <f>D24</f>
        <v/>
      </c>
      <c r="I24" s="26">
        <f>IF(OR(G24=0,in_rate=0,H24=0),0,H24/G24*(IF(in_idc_method="START",1+((1+in_rate)^(1/in_ppy)-1),IF(in_idc_method="MIDDLE",1+((1+in_rate)^(1/in_ppy)-1)/2,1))*((1+in_rate)^(G24/in_ppy)-1)/((1+in_rate)^(1/in_ppy)-1)-G24))</f>
        <v/>
      </c>
      <c r="J24" s="26">
        <f>SUMIFS(OMRRR!$S$5:$S$96,OMRRR!$A$5:$A$96,A24)</f>
        <v/>
      </c>
      <c r="K24" s="26">
        <f>SUM(D24:F24)+I24+J24</f>
        <v/>
      </c>
      <c r="L24" s="27" t="n"/>
      <c r="M24" s="26">
        <f>IF(ISNUMBER(L24),L24,calc_crf*K24)</f>
        <v/>
      </c>
      <c r="N24" s="26">
        <f>calc_crf*D24</f>
        <v/>
      </c>
      <c r="O24" s="26">
        <f>calc_crf*E24</f>
        <v/>
      </c>
      <c r="P24" s="26">
        <f>calc_crf*F24</f>
        <v/>
      </c>
      <c r="Q24" s="26">
        <f>calc_crf*I24</f>
        <v/>
      </c>
      <c r="R24" s="26">
        <f>calc_crf*J24</f>
        <v/>
      </c>
    </row>
    <row r="25">
      <c r="A25" s="10">
        <f>B25&amp;"|"&amp;C25</f>
        <v/>
      </c>
      <c r="B25" s="4" t="inlineStr">
        <is>
          <t>2B</t>
        </is>
      </c>
      <c r="C25" s="4" t="inlineStr">
        <is>
          <t>Alternative3</t>
        </is>
      </c>
      <c r="D25" s="24" t="n">
        <v>276233</v>
      </c>
      <c r="E25" s="24" t="n">
        <v>48000</v>
      </c>
      <c r="F25" s="24" t="n">
        <v>55247</v>
      </c>
      <c r="G25" s="17" t="n">
        <v>2</v>
      </c>
      <c r="H25" s="25">
        <f>D25</f>
        <v/>
      </c>
      <c r="I25" s="26">
        <f>IF(OR(G25=0,in_rate=0,H25=0),0,H25/G25*(IF(in_idc_method="START",1+((1+in_rate)^(1/in_ppy)-1),IF(in_idc_method="MIDDLE",1+((1+in_rate)^(1/in_ppy)-1)/2,1))*((1+in_rate)^(G25/in_ppy)-1)/((1+in_rate)^(1/in_ppy)-1)-G25))</f>
        <v/>
      </c>
      <c r="J25" s="26">
        <f>SUMIFS(OMRRR!$S$5:$S$96,OMRRR!$A$5:$A$96,A25)</f>
        <v/>
      </c>
      <c r="K25" s="26">
        <f>SUM(D25:F25)+I25+J25</f>
        <v/>
      </c>
      <c r="L25" s="27" t="n"/>
      <c r="M25" s="26">
        <f>IF(ISNUMBER(L25),L25,calc_crf*K25)</f>
        <v/>
      </c>
      <c r="N25" s="26">
        <f>calc_crf*D25</f>
        <v/>
      </c>
      <c r="O25" s="26">
        <f>calc_crf*E25</f>
        <v/>
      </c>
      <c r="P25" s="26">
        <f>calc_crf*F25</f>
        <v/>
      </c>
      <c r="Q25" s="26">
        <f>calc_crf*I25</f>
        <v/>
      </c>
      <c r="R25" s="26">
        <f>calc_crf*J25</f>
        <v/>
      </c>
    </row>
    <row r="26">
      <c r="A26" s="10">
        <f>B26&amp;"|"&amp;C26</f>
        <v/>
      </c>
      <c r="B26" s="4" t="inlineStr">
        <is>
          <t>3E</t>
        </is>
      </c>
      <c r="C26" s="4" t="inlineStr">
        <is>
          <t>FWOP</t>
        </is>
      </c>
      <c r="D26" s="24" t="n">
        <v>0</v>
      </c>
      <c r="E26" s="24" t="n">
        <v>0</v>
      </c>
      <c r="F26" s="24" t="n">
        <v>0</v>
      </c>
      <c r="G26" s="17" t="n">
        <v>0</v>
      </c>
      <c r="H26" s="25">
        <f>D26</f>
        <v/>
      </c>
      <c r="I26" s="26">
        <f>IF(OR(G26=0,in_rate=0,H26=0),0,H26/G26*(IF(in_idc_method="START",1+((1+in_rate)^(1/in_ppy)-1),IF(in_idc_method="MIDDLE",1+((1+in_rate)^(1/in_ppy)-1)/2,1))*((1+in_rate)^(G26/in_ppy)-1)/((1+in_rate)^(1/in_ppy)-1)-G26))</f>
        <v/>
      </c>
      <c r="J26" s="26">
        <f>SUMIFS(OMRRR!$S$5:$S$96,OMRRR!$A$5:$A$96,A26)</f>
        <v/>
      </c>
      <c r="K26" s="26">
        <f>SUM(D26:F26)+I26+J26</f>
        <v/>
      </c>
      <c r="L26" s="27" t="n"/>
      <c r="M26" s="26">
        <f>IF(ISNUMBER(L26),L26,calc_crf*K26)</f>
        <v/>
      </c>
      <c r="N26" s="26">
        <f>calc_crf*D26</f>
        <v/>
      </c>
      <c r="O26" s="26">
        <f>calc_crf*E26</f>
        <v/>
      </c>
      <c r="P26" s="26">
        <f>calc_crf*F26</f>
        <v/>
      </c>
      <c r="Q26" s="26">
        <f>calc_crf*I26</f>
        <v/>
      </c>
      <c r="R26" s="26">
        <f>calc_crf*J26</f>
        <v/>
      </c>
    </row>
    <row r="27">
      <c r="A27" s="10">
        <f>B27&amp;"|"&amp;C27</f>
        <v/>
      </c>
      <c r="B27" s="4" t="inlineStr">
        <is>
          <t>3E</t>
        </is>
      </c>
      <c r="C27" s="4" t="inlineStr">
        <is>
          <t>Alternative1</t>
        </is>
      </c>
      <c r="D27" s="24" t="n">
        <v>1762881</v>
      </c>
      <c r="E27" s="24" t="n">
        <v>48000</v>
      </c>
      <c r="F27" s="24" t="n">
        <v>132216</v>
      </c>
      <c r="G27" s="17" t="n">
        <v>8</v>
      </c>
      <c r="H27" s="25">
        <f>D27</f>
        <v/>
      </c>
      <c r="I27" s="26">
        <f>IF(OR(G27=0,in_rate=0,H27=0),0,H27/G27*(IF(in_idc_method="START",1+((1+in_rate)^(1/in_ppy)-1),IF(in_idc_method="MIDDLE",1+((1+in_rate)^(1/in_ppy)-1)/2,1))*((1+in_rate)^(G27/in_ppy)-1)/((1+in_rate)^(1/in_ppy)-1)-G27))</f>
        <v/>
      </c>
      <c r="J27" s="26">
        <f>SUMIFS(OMRRR!$S$5:$S$96,OMRRR!$A$5:$A$96,A27)</f>
        <v/>
      </c>
      <c r="K27" s="26">
        <f>SUM(D27:F27)+I27+J27</f>
        <v/>
      </c>
      <c r="L27" s="27" t="n"/>
      <c r="M27" s="26">
        <f>IF(ISNUMBER(L27),L27,calc_crf*K27)</f>
        <v/>
      </c>
      <c r="N27" s="26">
        <f>calc_crf*D27</f>
        <v/>
      </c>
      <c r="O27" s="26">
        <f>calc_crf*E27</f>
        <v/>
      </c>
      <c r="P27" s="26">
        <f>calc_crf*F27</f>
        <v/>
      </c>
      <c r="Q27" s="26">
        <f>calc_crf*I27</f>
        <v/>
      </c>
      <c r="R27" s="26">
        <f>calc_crf*J27</f>
        <v/>
      </c>
    </row>
    <row r="28">
      <c r="A28" s="10">
        <f>B28&amp;"|"&amp;C28</f>
        <v/>
      </c>
      <c r="B28" s="4" t="inlineStr">
        <is>
          <t>3E</t>
        </is>
      </c>
      <c r="C28" s="4" t="inlineStr">
        <is>
          <t>Alternative2</t>
        </is>
      </c>
      <c r="D28" s="24" t="n">
        <v>1679017</v>
      </c>
      <c r="E28" s="24" t="n">
        <v>48000</v>
      </c>
      <c r="F28" s="24" t="n">
        <v>167902</v>
      </c>
      <c r="G28" s="17" t="n">
        <v>14</v>
      </c>
      <c r="H28" s="25">
        <f>D28</f>
        <v/>
      </c>
      <c r="I28" s="26">
        <f>IF(OR(G28=0,in_rate=0,H28=0),0,H28/G28*(IF(in_idc_method="START",1+((1+in_rate)^(1/in_ppy)-1),IF(in_idc_method="MIDDLE",1+((1+in_rate)^(1/in_ppy)-1)/2,1))*((1+in_rate)^(G28/in_ppy)-1)/((1+in_rate)^(1/in_ppy)-1)-G28))</f>
        <v/>
      </c>
      <c r="J28" s="26">
        <f>SUMIFS(OMRRR!$S$5:$S$96,OMRRR!$A$5:$A$96,A28)</f>
        <v/>
      </c>
      <c r="K28" s="26">
        <f>SUM(D28:F28)+I28+J28</f>
        <v/>
      </c>
      <c r="L28" s="27" t="n"/>
      <c r="M28" s="26">
        <f>IF(ISNUMBER(L28),L28,calc_crf*K28)</f>
        <v/>
      </c>
      <c r="N28" s="26">
        <f>calc_crf*D28</f>
        <v/>
      </c>
      <c r="O28" s="26">
        <f>calc_crf*E28</f>
        <v/>
      </c>
      <c r="P28" s="26">
        <f>calc_crf*F28</f>
        <v/>
      </c>
      <c r="Q28" s="26">
        <f>calc_crf*I28</f>
        <v/>
      </c>
      <c r="R28" s="26">
        <f>calc_crf*J28</f>
        <v/>
      </c>
    </row>
    <row r="29">
      <c r="A29" s="10">
        <f>B29&amp;"|"&amp;C29</f>
        <v/>
      </c>
      <c r="B29" s="4" t="inlineStr">
        <is>
          <t>3E</t>
        </is>
      </c>
      <c r="C29" s="4" t="inlineStr">
        <is>
          <t>Alternative3</t>
        </is>
      </c>
      <c r="D29" s="24" t="n">
        <v>267190</v>
      </c>
      <c r="E29" s="24" t="n">
        <v>48000</v>
      </c>
      <c r="F29" s="24" t="n">
        <v>40079</v>
      </c>
      <c r="G29" s="17" t="n">
        <v>2</v>
      </c>
      <c r="H29" s="25">
        <f>D29</f>
        <v/>
      </c>
      <c r="I29" s="26">
        <f>IF(OR(G29=0,in_rate=0,H29=0),0,H29/G29*(IF(in_idc_method="START",1+((1+in_rate)^(1/in_ppy)-1),IF(in_idc_method="MIDDLE",1+((1+in_rate)^(1/in_ppy)-1)/2,1))*((1+in_rate)^(G29/in_ppy)-1)/((1+in_rate)^(1/in_ppy)-1)-G29))</f>
        <v/>
      </c>
      <c r="J29" s="26">
        <f>SUMIFS(OMRRR!$S$5:$S$96,OMRRR!$A$5:$A$96,A29)</f>
        <v/>
      </c>
      <c r="K29" s="26">
        <f>SUM(D29:F29)+I29+J29</f>
        <v/>
      </c>
      <c r="L29" s="27" t="n"/>
      <c r="M29" s="26">
        <f>IF(ISNUMBER(L29),L29,calc_crf*K29)</f>
        <v/>
      </c>
      <c r="N29" s="26">
        <f>calc_crf*D29</f>
        <v/>
      </c>
      <c r="O29" s="26">
        <f>calc_crf*E29</f>
        <v/>
      </c>
      <c r="P29" s="26">
        <f>calc_crf*F29</f>
        <v/>
      </c>
      <c r="Q29" s="26">
        <f>calc_crf*I29</f>
        <v/>
      </c>
      <c r="R29" s="26">
        <f>calc_crf*J29</f>
        <v/>
      </c>
    </row>
    <row r="30">
      <c r="A30" s="10">
        <f>B30&amp;"|"&amp;C30</f>
        <v/>
      </c>
      <c r="B30" s="4" t="inlineStr">
        <is>
          <t>3F</t>
        </is>
      </c>
      <c r="C30" s="4" t="inlineStr">
        <is>
          <t>FWOP</t>
        </is>
      </c>
      <c r="D30" s="24" t="n">
        <v>0</v>
      </c>
      <c r="E30" s="24" t="n">
        <v>0</v>
      </c>
      <c r="F30" s="24" t="n">
        <v>0</v>
      </c>
      <c r="G30" s="17" t="n">
        <v>0</v>
      </c>
      <c r="H30" s="25">
        <f>D30</f>
        <v/>
      </c>
      <c r="I30" s="26">
        <f>IF(OR(G30=0,in_rate=0,H30=0),0,H30/G30*(IF(in_idc_method="START",1+((1+in_rate)^(1/in_ppy)-1),IF(in_idc_method="MIDDLE",1+((1+in_rate)^(1/in_ppy)-1)/2,1))*((1+in_rate)^(G30/in_ppy)-1)/((1+in_rate)^(1/in_ppy)-1)-G30))</f>
        <v/>
      </c>
      <c r="J30" s="26">
        <f>SUMIFS(OMRRR!$S$5:$S$96,OMRRR!$A$5:$A$96,A30)</f>
        <v/>
      </c>
      <c r="K30" s="26">
        <f>SUM(D30:F30)+I30+J30</f>
        <v/>
      </c>
      <c r="L30" s="27" t="n"/>
      <c r="M30" s="26">
        <f>IF(ISNUMBER(L30),L30,calc_crf*K30)</f>
        <v/>
      </c>
      <c r="N30" s="26">
        <f>calc_crf*D30</f>
        <v/>
      </c>
      <c r="O30" s="26">
        <f>calc_crf*E30</f>
        <v/>
      </c>
      <c r="P30" s="26">
        <f>calc_crf*F30</f>
        <v/>
      </c>
      <c r="Q30" s="26">
        <f>calc_crf*I30</f>
        <v/>
      </c>
      <c r="R30" s="26">
        <f>calc_crf*J30</f>
        <v/>
      </c>
    </row>
    <row r="31">
      <c r="A31" s="10">
        <f>B31&amp;"|"&amp;C31</f>
        <v/>
      </c>
      <c r="B31" s="4" t="inlineStr">
        <is>
          <t>3F</t>
        </is>
      </c>
      <c r="C31" s="4" t="inlineStr">
        <is>
          <t>Alternative1</t>
        </is>
      </c>
      <c r="D31" s="24" t="n">
        <v>276883</v>
      </c>
      <c r="E31" s="24" t="n">
        <v>48000</v>
      </c>
      <c r="F31" s="24" t="n">
        <v>69221</v>
      </c>
      <c r="G31" s="17" t="n">
        <v>3</v>
      </c>
      <c r="H31" s="25">
        <f>D31</f>
        <v/>
      </c>
      <c r="I31" s="26">
        <f>IF(OR(G31=0,in_rate=0,H31=0),0,H31/G31*(IF(in_idc_method="START",1+((1+in_rate)^(1/in_ppy)-1),IF(in_idc_method="MIDDLE",1+((1+in_rate)^(1/in_ppy)-1)/2,1))*((1+in_rate)^(G31/in_ppy)-1)/((1+in_rate)^(1/in_ppy)-1)-G31))</f>
        <v/>
      </c>
      <c r="J31" s="26">
        <f>SUMIFS(OMRRR!$S$5:$S$96,OMRRR!$A$5:$A$96,A31)</f>
        <v/>
      </c>
      <c r="K31" s="26">
        <f>SUM(D31:F31)+I31+J31</f>
        <v/>
      </c>
      <c r="L31" s="27" t="n"/>
      <c r="M31" s="26">
        <f>IF(ISNUMBER(L31),L31,calc_crf*K31)</f>
        <v/>
      </c>
      <c r="N31" s="26">
        <f>calc_crf*D31</f>
        <v/>
      </c>
      <c r="O31" s="26">
        <f>calc_crf*E31</f>
        <v/>
      </c>
      <c r="P31" s="26">
        <f>calc_crf*F31</f>
        <v/>
      </c>
      <c r="Q31" s="26">
        <f>calc_crf*I31</f>
        <v/>
      </c>
      <c r="R31" s="26">
        <f>calc_crf*J31</f>
        <v/>
      </c>
    </row>
    <row r="32">
      <c r="A32" s="10">
        <f>B32&amp;"|"&amp;C32</f>
        <v/>
      </c>
      <c r="B32" s="4" t="inlineStr">
        <is>
          <t>3F</t>
        </is>
      </c>
      <c r="C32" s="4" t="inlineStr">
        <is>
          <t>Alternative2</t>
        </is>
      </c>
      <c r="D32" s="24" t="n">
        <v>232705</v>
      </c>
      <c r="E32" s="24" t="n">
        <v>48000</v>
      </c>
      <c r="F32" s="24" t="n">
        <v>58176</v>
      </c>
      <c r="G32" s="17" t="n">
        <v>2</v>
      </c>
      <c r="H32" s="25">
        <f>D32</f>
        <v/>
      </c>
      <c r="I32" s="26">
        <f>IF(OR(G32=0,in_rate=0,H32=0),0,H32/G32*(IF(in_idc_method="START",1+((1+in_rate)^(1/in_ppy)-1),IF(in_idc_method="MIDDLE",1+((1+in_rate)^(1/in_ppy)-1)/2,1))*((1+in_rate)^(G32/in_ppy)-1)/((1+in_rate)^(1/in_ppy)-1)-G32))</f>
        <v/>
      </c>
      <c r="J32" s="26">
        <f>SUMIFS(OMRRR!$S$5:$S$96,OMRRR!$A$5:$A$96,A32)</f>
        <v/>
      </c>
      <c r="K32" s="26">
        <f>SUM(D32:F32)+I32+J32</f>
        <v/>
      </c>
      <c r="L32" s="27" t="n"/>
      <c r="M32" s="26">
        <f>IF(ISNUMBER(L32),L32,calc_crf*K32)</f>
        <v/>
      </c>
      <c r="N32" s="26">
        <f>calc_crf*D32</f>
        <v/>
      </c>
      <c r="O32" s="26">
        <f>calc_crf*E32</f>
        <v/>
      </c>
      <c r="P32" s="26">
        <f>calc_crf*F32</f>
        <v/>
      </c>
      <c r="Q32" s="26">
        <f>calc_crf*I32</f>
        <v/>
      </c>
      <c r="R32" s="26">
        <f>calc_crf*J32</f>
        <v/>
      </c>
    </row>
    <row r="33">
      <c r="A33" s="10">
        <f>B33&amp;"|"&amp;C33</f>
        <v/>
      </c>
      <c r="B33" s="4" t="inlineStr">
        <is>
          <t>3F</t>
        </is>
      </c>
      <c r="C33" s="4" t="inlineStr">
        <is>
          <t>Alternative3</t>
        </is>
      </c>
      <c r="D33" s="24" t="n">
        <v>121714</v>
      </c>
      <c r="E33" s="24" t="n">
        <v>48000</v>
      </c>
      <c r="F33" s="24" t="n">
        <v>30429</v>
      </c>
      <c r="G33" s="17" t="n">
        <v>5</v>
      </c>
      <c r="H33" s="25">
        <f>D33</f>
        <v/>
      </c>
      <c r="I33" s="26">
        <f>IF(OR(G33=0,in_rate=0,H33=0),0,H33/G33*(IF(in_idc_method="START",1+((1+in_rate)^(1/in_ppy)-1),IF(in_idc_method="MIDDLE",1+((1+in_rate)^(1/in_ppy)-1)/2,1))*((1+in_rate)^(G33/in_ppy)-1)/((1+in_rate)^(1/in_ppy)-1)-G33))</f>
        <v/>
      </c>
      <c r="J33" s="26">
        <f>SUMIFS(OMRRR!$S$5:$S$96,OMRRR!$A$5:$A$96,A33)</f>
        <v/>
      </c>
      <c r="K33" s="26">
        <f>SUM(D33:F33)+I33+J33</f>
        <v/>
      </c>
      <c r="L33" s="27" t="n"/>
      <c r="M33" s="26">
        <f>IF(ISNUMBER(L33),L33,calc_crf*K33)</f>
        <v/>
      </c>
      <c r="N33" s="26">
        <f>calc_crf*D33</f>
        <v/>
      </c>
      <c r="O33" s="26">
        <f>calc_crf*E33</f>
        <v/>
      </c>
      <c r="P33" s="26">
        <f>calc_crf*F33</f>
        <v/>
      </c>
      <c r="Q33" s="26">
        <f>calc_crf*I33</f>
        <v/>
      </c>
      <c r="R33" s="26">
        <f>calc_crf*J33</f>
        <v/>
      </c>
    </row>
    <row r="34">
      <c r="A34" s="10">
        <f>B34&amp;"|"&amp;C34</f>
        <v/>
      </c>
      <c r="B34" s="4" t="inlineStr">
        <is>
          <t>19A</t>
        </is>
      </c>
      <c r="C34" s="4" t="inlineStr">
        <is>
          <t>FWOP</t>
        </is>
      </c>
      <c r="D34" s="24" t="n">
        <v>0</v>
      </c>
      <c r="E34" s="24" t="n">
        <v>0</v>
      </c>
      <c r="F34" s="24" t="n">
        <v>0</v>
      </c>
      <c r="G34" s="17" t="n">
        <v>0</v>
      </c>
      <c r="H34" s="25">
        <f>D34</f>
        <v/>
      </c>
      <c r="I34" s="26">
        <f>IF(OR(G34=0,in_rate=0,H34=0),0,H34/G34*(IF(in_idc_method="START",1+((1+in_rate)^(1/in_ppy)-1),IF(in_idc_method="MIDDLE",1+((1+in_rate)^(1/in_ppy)-1)/2,1))*((1+in_rate)^(G34/in_ppy)-1)/((1+in_rate)^(1/in_ppy)-1)-G34))</f>
        <v/>
      </c>
      <c r="J34" s="26">
        <f>SUMIFS(OMRRR!$S$5:$S$96,OMRRR!$A$5:$A$96,A34)</f>
        <v/>
      </c>
      <c r="K34" s="26">
        <f>SUM(D34:F34)+I34+J34</f>
        <v/>
      </c>
      <c r="L34" s="27" t="n"/>
      <c r="M34" s="26">
        <f>IF(ISNUMBER(L34),L34,calc_crf*K34)</f>
        <v/>
      </c>
      <c r="N34" s="26">
        <f>calc_crf*D34</f>
        <v/>
      </c>
      <c r="O34" s="26">
        <f>calc_crf*E34</f>
        <v/>
      </c>
      <c r="P34" s="26">
        <f>calc_crf*F34</f>
        <v/>
      </c>
      <c r="Q34" s="26">
        <f>calc_crf*I34</f>
        <v/>
      </c>
      <c r="R34" s="26">
        <f>calc_crf*J34</f>
        <v/>
      </c>
    </row>
    <row r="35">
      <c r="A35" s="10">
        <f>B35&amp;"|"&amp;C35</f>
        <v/>
      </c>
      <c r="B35" s="4" t="inlineStr">
        <is>
          <t>19A</t>
        </is>
      </c>
      <c r="C35" s="4" t="inlineStr">
        <is>
          <t>Alternative2</t>
        </is>
      </c>
      <c r="D35" s="24" t="n">
        <v>551647</v>
      </c>
      <c r="E35" s="24" t="n">
        <v>48000</v>
      </c>
      <c r="F35" s="24" t="n">
        <v>110329</v>
      </c>
      <c r="G35" s="17" t="n">
        <v>6</v>
      </c>
      <c r="H35" s="25">
        <f>D35</f>
        <v/>
      </c>
      <c r="I35" s="26">
        <f>IF(OR(G35=0,in_rate=0,H35=0),0,H35/G35*(IF(in_idc_method="START",1+((1+in_rate)^(1/in_ppy)-1),IF(in_idc_method="MIDDLE",1+((1+in_rate)^(1/in_ppy)-1)/2,1))*((1+in_rate)^(G35/in_ppy)-1)/((1+in_rate)^(1/in_ppy)-1)-G35))</f>
        <v/>
      </c>
      <c r="J35" s="26">
        <f>SUMIFS(OMRRR!$S$5:$S$96,OMRRR!$A$5:$A$96,A35)</f>
        <v/>
      </c>
      <c r="K35" s="26">
        <f>SUM(D35:F35)+I35+J35</f>
        <v/>
      </c>
      <c r="L35" s="27" t="n"/>
      <c r="M35" s="26">
        <f>IF(ISNUMBER(L35),L35,calc_crf*K35)</f>
        <v/>
      </c>
      <c r="N35" s="26">
        <f>calc_crf*D35</f>
        <v/>
      </c>
      <c r="O35" s="26">
        <f>calc_crf*E35</f>
        <v/>
      </c>
      <c r="P35" s="26">
        <f>calc_crf*F35</f>
        <v/>
      </c>
      <c r="Q35" s="26">
        <f>calc_crf*I35</f>
        <v/>
      </c>
      <c r="R35" s="26">
        <f>calc_crf*J35</f>
        <v/>
      </c>
    </row>
    <row r="36">
      <c r="A36" s="10">
        <f>B36&amp;"|"&amp;C36</f>
        <v/>
      </c>
      <c r="B36" s="4" t="inlineStr">
        <is>
          <t>19A</t>
        </is>
      </c>
      <c r="C36" s="4" t="inlineStr">
        <is>
          <t>Alternative3</t>
        </is>
      </c>
      <c r="D36" s="24" t="n">
        <v>228693</v>
      </c>
      <c r="E36" s="24" t="n">
        <v>48000</v>
      </c>
      <c r="F36" s="24" t="n">
        <v>45739</v>
      </c>
      <c r="G36" s="17" t="n">
        <v>3</v>
      </c>
      <c r="H36" s="25">
        <f>D36</f>
        <v/>
      </c>
      <c r="I36" s="26">
        <f>IF(OR(G36=0,in_rate=0,H36=0),0,H36/G36*(IF(in_idc_method="START",1+((1+in_rate)^(1/in_ppy)-1),IF(in_idc_method="MIDDLE",1+((1+in_rate)^(1/in_ppy)-1)/2,1))*((1+in_rate)^(G36/in_ppy)-1)/((1+in_rate)^(1/in_ppy)-1)-G36))</f>
        <v/>
      </c>
      <c r="J36" s="26">
        <f>SUMIFS(OMRRR!$S$5:$S$96,OMRRR!$A$5:$A$96,A36)</f>
        <v/>
      </c>
      <c r="K36" s="26">
        <f>SUM(D36:F36)+I36+J36</f>
        <v/>
      </c>
      <c r="L36" s="27" t="n"/>
      <c r="M36" s="26">
        <f>IF(ISNUMBER(L36),L36,calc_crf*K36)</f>
        <v/>
      </c>
      <c r="N36" s="26">
        <f>calc_crf*D36</f>
        <v/>
      </c>
      <c r="O36" s="26">
        <f>calc_crf*E36</f>
        <v/>
      </c>
      <c r="P36" s="26">
        <f>calc_crf*F36</f>
        <v/>
      </c>
      <c r="Q36" s="26">
        <f>calc_crf*I36</f>
        <v/>
      </c>
      <c r="R36" s="26">
        <f>calc_crf*J36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1">
    <mergeCell ref="N3:R3"/>
  </mergeCells>
  <conditionalFormatting sqref="D6:G36">
    <cfRule type="expression" priority="1" dxfId="0" stopIfTrue="0">
      <formula>D6&lt;&gt;'snap Costs'!D6</formula>
    </cfRule>
  </conditionalFormatting>
  <conditionalFormatting sqref="L6:L36">
    <cfRule type="expression" priority="2" dxfId="0" stopIfTrue="0">
      <formula>L6&lt;&gt;'snap Costs'!L6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6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9" customWidth="1" style="8" min="5" max="5"/>
    <col width="12" customWidth="1" style="8" min="6" max="6"/>
    <col width="9" customWidth="1" style="8" min="7" max="7"/>
    <col width="13" customWidth="1" style="8" min="8" max="8"/>
    <col width="10" customWidth="1" style="8" min="9" max="9"/>
    <col width="11" customWidth="1" style="8" min="10" max="10"/>
    <col width="9" customWidth="1" style="8" min="11" max="11"/>
    <col width="8" customWidth="1" style="8" min="12" max="12"/>
    <col width="8" customWidth="1" style="8" min="13" max="13"/>
    <col width="13" customWidth="1" style="8" min="14" max="14"/>
    <col width="7" customWidth="1" style="8" min="15" max="15"/>
    <col width="7" customWidth="1" style="8" min="16" max="16"/>
    <col width="11" customWidth="1" style="8" min="17" max="17"/>
    <col width="14" customWidth="1" style="8" min="18" max="18"/>
    <col width="14" customWidth="1" style="8" min="19" max="19"/>
  </cols>
  <sheetData>
    <row r="1">
      <c r="A1" s="1" t="inlineStr">
        <is>
          <t>OMRRR: recurring operation, maintenance, repair, replacement and rehabilitation</t>
        </is>
      </c>
    </row>
    <row r="2">
      <c r="A2" s="2" t="inlineStr">
        <is>
          <t>Each item costs the amount per occurrence every N years from the first year to the last (blank: every N years through the period of analysis). Basis: FIXED amount, PERCENT of a first-cost category, or RATE x quantity.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Item</t>
        </is>
      </c>
      <c r="E4" s="12" t="inlineStr">
        <is>
          <t>Basis</t>
        </is>
      </c>
      <c r="F4" s="12" t="inlineStr">
        <is>
          <t>Amount</t>
        </is>
      </c>
      <c r="G4" s="12" t="inlineStr">
        <is>
          <t>Percent</t>
        </is>
      </c>
      <c r="H4" s="12" t="inlineStr">
        <is>
          <t>Category</t>
        </is>
      </c>
      <c r="I4" s="12" t="inlineStr">
        <is>
          <t>Unit rate</t>
        </is>
      </c>
      <c r="J4" s="12" t="inlineStr">
        <is>
          <t>Quantity</t>
        </is>
      </c>
      <c r="K4" s="12" t="inlineStr">
        <is>
          <t>Every N years</t>
        </is>
      </c>
      <c r="L4" s="12" t="inlineStr">
        <is>
          <t>First year</t>
        </is>
      </c>
      <c r="M4" s="12" t="inlineStr">
        <is>
          <t>Last year</t>
        </is>
      </c>
      <c r="N4" s="12" t="inlineStr">
        <is>
          <t>Amount per occurrence</t>
        </is>
      </c>
      <c r="O4" s="12" t="inlineStr">
        <is>
          <t>First</t>
        </is>
      </c>
      <c r="P4" s="12" t="inlineStr">
        <is>
          <t>Last</t>
        </is>
      </c>
      <c r="Q4" s="12" t="inlineStr">
        <is>
          <t>Occurrences</t>
        </is>
      </c>
      <c r="R4" s="12" t="inlineStr">
        <is>
          <t>Present value, end of year</t>
        </is>
      </c>
      <c r="S4" s="12" t="inlineStr">
        <is>
          <t>Present value</t>
        </is>
      </c>
    </row>
    <row r="5">
      <c r="A5" s="10">
        <f>B5&amp;"|"&amp;C5</f>
        <v/>
      </c>
      <c r="B5" s="4" t="inlineStr">
        <is>
          <t>17F2M</t>
        </is>
      </c>
      <c r="C5" s="4" t="inlineStr">
        <is>
          <t>Alternative1</t>
        </is>
      </c>
      <c r="D5" s="4" t="inlineStr">
        <is>
          <t>General maintenance</t>
        </is>
      </c>
      <c r="E5" s="4" t="inlineStr">
        <is>
          <t>FIXED</t>
        </is>
      </c>
      <c r="F5" s="27" t="n">
        <v>10000</v>
      </c>
      <c r="G5" s="10" t="n"/>
      <c r="H5" s="4" t="inlineStr"/>
      <c r="I5" s="10" t="n"/>
      <c r="J5" s="10" t="n"/>
      <c r="K5" s="14" t="n">
        <v>1</v>
      </c>
      <c r="L5" s="14" t="n"/>
      <c r="M5" s="14" t="n"/>
      <c r="N5" s="26">
        <f>IF(E5="FIXED",F5,IF(E5="PERCENT",G5*IFERROR(INDEX(Costs!$D$6:$F$36,MATCH(A5,Costs!$A$6:$A$36,0),MATCH(H5,Costs!$D$5:$F$5,0)),0),I5*J5))</f>
        <v/>
      </c>
      <c r="O5" s="6">
        <f>IF(ISNUMBER(L5),L5,K5)</f>
        <v/>
      </c>
      <c r="P5" s="6">
        <f>IF(ISNUMBER(M5),MIN(M5,in_poa),in_poa)</f>
        <v/>
      </c>
      <c r="Q5" s="6">
        <f>IF(P5&lt;O5,0,INT((P5-O5)/K5)+1)</f>
        <v/>
      </c>
      <c r="R5" s="26">
        <f>IF(Q5=0,0,IF(in_rate=0,N5*Q5,N5*(1+in_rate)^(-O5)*(1-(1+in_rate)^(-K5*Q5))/(1-(1+in_rate)^(-K5))))</f>
        <v/>
      </c>
      <c r="S5" s="26">
        <f>IF(in_timing="MID_YEAR",IF(O5=0,IF(Q5=0,0,N5+(R5-N5)*(1+in_rate)^0.5),R5*(1+in_rate)^0.5),R5)</f>
        <v/>
      </c>
    </row>
    <row r="6">
      <c r="A6" s="10">
        <f>B6&amp;"|"&amp;C6</f>
        <v/>
      </c>
      <c r="B6" s="4" t="inlineStr">
        <is>
          <t>17F2M</t>
        </is>
      </c>
      <c r="C6" s="4" t="inlineStr">
        <is>
          <t>Alternative1</t>
        </is>
      </c>
      <c r="D6" s="4" t="inlineStr">
        <is>
          <t>Inspection and trash removal</t>
        </is>
      </c>
      <c r="E6" s="4" t="inlineStr">
        <is>
          <t>RATE</t>
        </is>
      </c>
      <c r="F6" s="10" t="n"/>
      <c r="G6" s="10" t="n"/>
      <c r="H6" s="4" t="inlineStr"/>
      <c r="I6" s="27" t="n">
        <v>4</v>
      </c>
      <c r="J6" s="28" t="n">
        <v>2639.11</v>
      </c>
      <c r="K6" s="14" t="n">
        <v>2</v>
      </c>
      <c r="L6" s="14" t="n"/>
      <c r="M6" s="14" t="n"/>
      <c r="N6" s="26">
        <f>IF(E6="FIXED",F6,IF(E6="PERCENT",G6*IFERROR(INDEX(Costs!$D$6:$F$36,MATCH(A6,Costs!$A$6:$A$36,0),MATCH(H6,Costs!$D$5:$F$5,0)),0),I6*J6))</f>
        <v/>
      </c>
      <c r="O6" s="6">
        <f>IF(ISNUMBER(L6),L6,K6)</f>
        <v/>
      </c>
      <c r="P6" s="6">
        <f>IF(ISNUMBER(M6),MIN(M6,in_poa),in_poa)</f>
        <v/>
      </c>
      <c r="Q6" s="6">
        <f>IF(P6&lt;O6,0,INT((P6-O6)/K6)+1)</f>
        <v/>
      </c>
      <c r="R6" s="26">
        <f>IF(Q6=0,0,IF(in_rate=0,N6*Q6,N6*(1+in_rate)^(-O6)*(1-(1+in_rate)^(-K6*Q6))/(1-(1+in_rate)^(-K6))))</f>
        <v/>
      </c>
      <c r="S6" s="26">
        <f>IF(in_timing="MID_YEAR",IF(O6=0,IF(Q6=0,0,N6+(R6-N6)*(1+in_rate)^0.5),R6*(1+in_rate)^0.5),R6)</f>
        <v/>
      </c>
    </row>
    <row r="7">
      <c r="A7" s="10">
        <f>B7&amp;"|"&amp;C7</f>
        <v/>
      </c>
      <c r="B7" s="4" t="inlineStr">
        <is>
          <t>17F2M</t>
        </is>
      </c>
      <c r="C7" s="4" t="inlineStr">
        <is>
          <t>Alternative1</t>
        </is>
      </c>
      <c r="D7" s="4" t="inlineStr">
        <is>
          <t>Invasive species control</t>
        </is>
      </c>
      <c r="E7" s="4" t="inlineStr">
        <is>
          <t>FIXED</t>
        </is>
      </c>
      <c r="F7" s="27" t="n">
        <v>15000</v>
      </c>
      <c r="G7" s="10" t="n"/>
      <c r="H7" s="4" t="inlineStr"/>
      <c r="I7" s="10" t="n"/>
      <c r="J7" s="10" t="n"/>
      <c r="K7" s="14" t="n">
        <v>10</v>
      </c>
      <c r="L7" s="14" t="n"/>
      <c r="M7" s="14" t="n"/>
      <c r="N7" s="26">
        <f>IF(E7="FIXED",F7,IF(E7="PERCENT",G7*IFERROR(INDEX(Costs!$D$6:$F$36,MATCH(A7,Costs!$A$6:$A$36,0),MATCH(H7,Costs!$D$5:$F$5,0)),0),I7*J7))</f>
        <v/>
      </c>
      <c r="O7" s="6">
        <f>IF(ISNUMBER(L7),L7,K7)</f>
        <v/>
      </c>
      <c r="P7" s="6">
        <f>IF(ISNUMBER(M7),MIN(M7,in_poa),in_poa)</f>
        <v/>
      </c>
      <c r="Q7" s="6">
        <f>IF(P7&lt;O7,0,INT((P7-O7)/K7)+1)</f>
        <v/>
      </c>
      <c r="R7" s="26">
        <f>IF(Q7=0,0,IF(in_rate=0,N7*Q7,N7*(1+in_rate)^(-O7)*(1-(1+in_rate)^(-K7*Q7))/(1-(1+in_rate)^(-K7))))</f>
        <v/>
      </c>
      <c r="S7" s="26">
        <f>IF(in_timing="MID_YEAR",IF(O7=0,IF(Q7=0,0,N7+(R7-N7)*(1+in_rate)^0.5),R7*(1+in_rate)^0.5),R7)</f>
        <v/>
      </c>
    </row>
    <row r="8">
      <c r="A8" s="10">
        <f>B8&amp;"|"&amp;C8</f>
        <v/>
      </c>
      <c r="B8" s="4" t="inlineStr">
        <is>
          <t>17F2M</t>
        </is>
      </c>
      <c r="C8" s="4" t="inlineStr">
        <is>
          <t>Alternative1</t>
        </is>
      </c>
      <c r="D8" s="4" t="inlineStr">
        <is>
          <t>Wood, rock and earth repair</t>
        </is>
      </c>
      <c r="E8" s="4" t="inlineStr">
        <is>
          <t>PERCENT</t>
        </is>
      </c>
      <c r="F8" s="10" t="n"/>
      <c r="G8" s="29" t="n">
        <v>0.1</v>
      </c>
      <c r="H8" s="4" t="inlineStr">
        <is>
          <t>construction</t>
        </is>
      </c>
      <c r="I8" s="10" t="n"/>
      <c r="J8" s="10" t="n"/>
      <c r="K8" s="14" t="n">
        <v>25</v>
      </c>
      <c r="L8" s="14" t="n"/>
      <c r="M8" s="14" t="n"/>
      <c r="N8" s="26">
        <f>IF(E8="FIXED",F8,IF(E8="PERCENT",G8*IFERROR(INDEX(Costs!$D$6:$F$36,MATCH(A8,Costs!$A$6:$A$36,0),MATCH(H8,Costs!$D$5:$F$5,0)),0),I8*J8))</f>
        <v/>
      </c>
      <c r="O8" s="6">
        <f>IF(ISNUMBER(L8),L8,K8)</f>
        <v/>
      </c>
      <c r="P8" s="6">
        <f>IF(ISNUMBER(M8),MIN(M8,in_poa),in_poa)</f>
        <v/>
      </c>
      <c r="Q8" s="6">
        <f>IF(P8&lt;O8,0,INT((P8-O8)/K8)+1)</f>
        <v/>
      </c>
      <c r="R8" s="26">
        <f>IF(Q8=0,0,IF(in_rate=0,N8*Q8,N8*(1+in_rate)^(-O8)*(1-(1+in_rate)^(-K8*Q8))/(1-(1+in_rate)^(-K8))))</f>
        <v/>
      </c>
      <c r="S8" s="26">
        <f>IF(in_timing="MID_YEAR",IF(O8=0,IF(Q8=0,0,N8+(R8-N8)*(1+in_rate)^0.5),R8*(1+in_rate)^0.5),R8)</f>
        <v/>
      </c>
    </row>
    <row r="9">
      <c r="A9" s="10">
        <f>B9&amp;"|"&amp;C9</f>
        <v/>
      </c>
      <c r="B9" s="4" t="inlineStr">
        <is>
          <t>17F2M</t>
        </is>
      </c>
      <c r="C9" s="4" t="inlineStr">
        <is>
          <t>Alternative2</t>
        </is>
      </c>
      <c r="D9" s="4" t="inlineStr">
        <is>
          <t>General maintenance</t>
        </is>
      </c>
      <c r="E9" s="4" t="inlineStr">
        <is>
          <t>FIXED</t>
        </is>
      </c>
      <c r="F9" s="27" t="n">
        <v>10000</v>
      </c>
      <c r="G9" s="10" t="n"/>
      <c r="H9" s="4" t="inlineStr"/>
      <c r="I9" s="10" t="n"/>
      <c r="J9" s="10" t="n"/>
      <c r="K9" s="14" t="n">
        <v>1</v>
      </c>
      <c r="L9" s="14" t="n"/>
      <c r="M9" s="14" t="n"/>
      <c r="N9" s="26">
        <f>IF(E9="FIXED",F9,IF(E9="PERCENT",G9*IFERROR(INDEX(Costs!$D$6:$F$36,MATCH(A9,Costs!$A$6:$A$36,0),MATCH(H9,Costs!$D$5:$F$5,0)),0),I9*J9))</f>
        <v/>
      </c>
      <c r="O9" s="6">
        <f>IF(ISNUMBER(L9),L9,K9)</f>
        <v/>
      </c>
      <c r="P9" s="6">
        <f>IF(ISNUMBER(M9),MIN(M9,in_poa),in_poa)</f>
        <v/>
      </c>
      <c r="Q9" s="6">
        <f>IF(P9&lt;O9,0,INT((P9-O9)/K9)+1)</f>
        <v/>
      </c>
      <c r="R9" s="26">
        <f>IF(Q9=0,0,IF(in_rate=0,N9*Q9,N9*(1+in_rate)^(-O9)*(1-(1+in_rate)^(-K9*Q9))/(1-(1+in_rate)^(-K9))))</f>
        <v/>
      </c>
      <c r="S9" s="26">
        <f>IF(in_timing="MID_YEAR",IF(O9=0,IF(Q9=0,0,N9+(R9-N9)*(1+in_rate)^0.5),R9*(1+in_rate)^0.5),R9)</f>
        <v/>
      </c>
    </row>
    <row r="10">
      <c r="A10" s="10">
        <f>B10&amp;"|"&amp;C10</f>
        <v/>
      </c>
      <c r="B10" s="4" t="inlineStr">
        <is>
          <t>17F2M</t>
        </is>
      </c>
      <c r="C10" s="4" t="inlineStr">
        <is>
          <t>Alternative2</t>
        </is>
      </c>
      <c r="D10" s="4" t="inlineStr">
        <is>
          <t>Inspection and trash removal</t>
        </is>
      </c>
      <c r="E10" s="4" t="inlineStr">
        <is>
          <t>RATE</t>
        </is>
      </c>
      <c r="F10" s="10" t="n"/>
      <c r="G10" s="10" t="n"/>
      <c r="H10" s="4" t="inlineStr"/>
      <c r="I10" s="27" t="n">
        <v>4</v>
      </c>
      <c r="J10" s="28" t="n">
        <v>2378.15424</v>
      </c>
      <c r="K10" s="14" t="n">
        <v>2</v>
      </c>
      <c r="L10" s="14" t="n"/>
      <c r="M10" s="14" t="n"/>
      <c r="N10" s="26">
        <f>IF(E10="FIXED",F10,IF(E10="PERCENT",G10*IFERROR(INDEX(Costs!$D$6:$F$36,MATCH(A10,Costs!$A$6:$A$36,0),MATCH(H10,Costs!$D$5:$F$5,0)),0),I10*J10))</f>
        <v/>
      </c>
      <c r="O10" s="6">
        <f>IF(ISNUMBER(L10),L10,K10)</f>
        <v/>
      </c>
      <c r="P10" s="6">
        <f>IF(ISNUMBER(M10),MIN(M10,in_poa),in_poa)</f>
        <v/>
      </c>
      <c r="Q10" s="6">
        <f>IF(P10&lt;O10,0,INT((P10-O10)/K10)+1)</f>
        <v/>
      </c>
      <c r="R10" s="26">
        <f>IF(Q10=0,0,IF(in_rate=0,N10*Q10,N10*(1+in_rate)^(-O10)*(1-(1+in_rate)^(-K10*Q10))/(1-(1+in_rate)^(-K10))))</f>
        <v/>
      </c>
      <c r="S10" s="26">
        <f>IF(in_timing="MID_YEAR",IF(O10=0,IF(Q10=0,0,N10+(R10-N10)*(1+in_rate)^0.5),R10*(1+in_rate)^0.5),R10)</f>
        <v/>
      </c>
    </row>
    <row r="11">
      <c r="A11" s="10">
        <f>B11&amp;"|"&amp;C11</f>
        <v/>
      </c>
      <c r="B11" s="4" t="inlineStr">
        <is>
          <t>17F2M</t>
        </is>
      </c>
      <c r="C11" s="4" t="inlineStr">
        <is>
          <t>Alternative2</t>
        </is>
      </c>
      <c r="D11" s="4" t="inlineStr">
        <is>
          <t>Invasive species control</t>
        </is>
      </c>
      <c r="E11" s="4" t="inlineStr">
        <is>
          <t>FIXED</t>
        </is>
      </c>
      <c r="F11" s="27" t="n">
        <v>15000</v>
      </c>
      <c r="G11" s="10" t="n"/>
      <c r="H11" s="4" t="inlineStr"/>
      <c r="I11" s="10" t="n"/>
      <c r="J11" s="10" t="n"/>
      <c r="K11" s="14" t="n">
        <v>10</v>
      </c>
      <c r="L11" s="14" t="n"/>
      <c r="M11" s="14" t="n"/>
      <c r="N11" s="26">
        <f>IF(E11="FIXED",F11,IF(E11="PERCENT",G11*IFERROR(INDEX(Costs!$D$6:$F$36,MATCH(A11,Costs!$A$6:$A$36,0),MATCH(H11,Costs!$D$5:$F$5,0)),0),I11*J11))</f>
        <v/>
      </c>
      <c r="O11" s="6">
        <f>IF(ISNUMBER(L11),L11,K11)</f>
        <v/>
      </c>
      <c r="P11" s="6">
        <f>IF(ISNUMBER(M11),MIN(M11,in_poa),in_poa)</f>
        <v/>
      </c>
      <c r="Q11" s="6">
        <f>IF(P11&lt;O11,0,INT((P11-O11)/K11)+1)</f>
        <v/>
      </c>
      <c r="R11" s="26">
        <f>IF(Q11=0,0,IF(in_rate=0,N11*Q11,N11*(1+in_rate)^(-O11)*(1-(1+in_rate)^(-K11*Q11))/(1-(1+in_rate)^(-K11))))</f>
        <v/>
      </c>
      <c r="S11" s="26">
        <f>IF(in_timing="MID_YEAR",IF(O11=0,IF(Q11=0,0,N11+(R11-N11)*(1+in_rate)^0.5),R11*(1+in_rate)^0.5),R11)</f>
        <v/>
      </c>
    </row>
    <row r="12">
      <c r="A12" s="10">
        <f>B12&amp;"|"&amp;C12</f>
        <v/>
      </c>
      <c r="B12" s="4" t="inlineStr">
        <is>
          <t>17F2M</t>
        </is>
      </c>
      <c r="C12" s="4" t="inlineStr">
        <is>
          <t>Alternative2</t>
        </is>
      </c>
      <c r="D12" s="4" t="inlineStr">
        <is>
          <t>Wood, rock and earth repair</t>
        </is>
      </c>
      <c r="E12" s="4" t="inlineStr">
        <is>
          <t>PERCENT</t>
        </is>
      </c>
      <c r="F12" s="10" t="n"/>
      <c r="G12" s="29" t="n">
        <v>0.1</v>
      </c>
      <c r="H12" s="4" t="inlineStr">
        <is>
          <t>construction</t>
        </is>
      </c>
      <c r="I12" s="10" t="n"/>
      <c r="J12" s="10" t="n"/>
      <c r="K12" s="14" t="n">
        <v>25</v>
      </c>
      <c r="L12" s="14" t="n"/>
      <c r="M12" s="14" t="n"/>
      <c r="N12" s="26">
        <f>IF(E12="FIXED",F12,IF(E12="PERCENT",G12*IFERROR(INDEX(Costs!$D$6:$F$36,MATCH(A12,Costs!$A$6:$A$36,0),MATCH(H12,Costs!$D$5:$F$5,0)),0),I12*J12))</f>
        <v/>
      </c>
      <c r="O12" s="6">
        <f>IF(ISNUMBER(L12),L12,K12)</f>
        <v/>
      </c>
      <c r="P12" s="6">
        <f>IF(ISNUMBER(M12),MIN(M12,in_poa),in_poa)</f>
        <v/>
      </c>
      <c r="Q12" s="6">
        <f>IF(P12&lt;O12,0,INT((P12-O12)/K12)+1)</f>
        <v/>
      </c>
      <c r="R12" s="26">
        <f>IF(Q12=0,0,IF(in_rate=0,N12*Q12,N12*(1+in_rate)^(-O12)*(1-(1+in_rate)^(-K12*Q12))/(1-(1+in_rate)^(-K12))))</f>
        <v/>
      </c>
      <c r="S12" s="26">
        <f>IF(in_timing="MID_YEAR",IF(O12=0,IF(Q12=0,0,N12+(R12-N12)*(1+in_rate)^0.5),R12*(1+in_rate)^0.5),R12)</f>
        <v/>
      </c>
    </row>
    <row r="13">
      <c r="A13" s="10">
        <f>B13&amp;"|"&amp;C13</f>
        <v/>
      </c>
      <c r="B13" s="4" t="inlineStr">
        <is>
          <t>17F2M</t>
        </is>
      </c>
      <c r="C13" s="4" t="inlineStr">
        <is>
          <t>Alternative3</t>
        </is>
      </c>
      <c r="D13" s="4" t="inlineStr">
        <is>
          <t>General maintenance</t>
        </is>
      </c>
      <c r="E13" s="4" t="inlineStr">
        <is>
          <t>FIXED</t>
        </is>
      </c>
      <c r="F13" s="27" t="n">
        <v>10000</v>
      </c>
      <c r="G13" s="10" t="n"/>
      <c r="H13" s="4" t="inlineStr"/>
      <c r="I13" s="10" t="n"/>
      <c r="J13" s="10" t="n"/>
      <c r="K13" s="14" t="n">
        <v>1</v>
      </c>
      <c r="L13" s="14" t="n"/>
      <c r="M13" s="14" t="n"/>
      <c r="N13" s="26">
        <f>IF(E13="FIXED",F13,IF(E13="PERCENT",G13*IFERROR(INDEX(Costs!$D$6:$F$36,MATCH(A13,Costs!$A$6:$A$36,0),MATCH(H13,Costs!$D$5:$F$5,0)),0),I13*J13))</f>
        <v/>
      </c>
      <c r="O13" s="6">
        <f>IF(ISNUMBER(L13),L13,K13)</f>
        <v/>
      </c>
      <c r="P13" s="6">
        <f>IF(ISNUMBER(M13),MIN(M13,in_poa),in_poa)</f>
        <v/>
      </c>
      <c r="Q13" s="6">
        <f>IF(P13&lt;O13,0,INT((P13-O13)/K13)+1)</f>
        <v/>
      </c>
      <c r="R13" s="26">
        <f>IF(Q13=0,0,IF(in_rate=0,N13*Q13,N13*(1+in_rate)^(-O13)*(1-(1+in_rate)^(-K13*Q13))/(1-(1+in_rate)^(-K13))))</f>
        <v/>
      </c>
      <c r="S13" s="26">
        <f>IF(in_timing="MID_YEAR",IF(O13=0,IF(Q13=0,0,N13+(R13-N13)*(1+in_rate)^0.5),R13*(1+in_rate)^0.5),R13)</f>
        <v/>
      </c>
    </row>
    <row r="14">
      <c r="A14" s="10">
        <f>B14&amp;"|"&amp;C14</f>
        <v/>
      </c>
      <c r="B14" s="4" t="inlineStr">
        <is>
          <t>17F2M</t>
        </is>
      </c>
      <c r="C14" s="4" t="inlineStr">
        <is>
          <t>Alternative3</t>
        </is>
      </c>
      <c r="D14" s="4" t="inlineStr">
        <is>
          <t>Inspection and trash removal</t>
        </is>
      </c>
      <c r="E14" s="4" t="inlineStr">
        <is>
          <t>RATE</t>
        </is>
      </c>
      <c r="F14" s="10" t="n"/>
      <c r="G14" s="10" t="n"/>
      <c r="H14" s="4" t="inlineStr"/>
      <c r="I14" s="27" t="n">
        <v>4</v>
      </c>
      <c r="J14" s="28" t="n">
        <v>2639.11</v>
      </c>
      <c r="K14" s="14" t="n">
        <v>2</v>
      </c>
      <c r="L14" s="14" t="n"/>
      <c r="M14" s="14" t="n"/>
      <c r="N14" s="26">
        <f>IF(E14="FIXED",F14,IF(E14="PERCENT",G14*IFERROR(INDEX(Costs!$D$6:$F$36,MATCH(A14,Costs!$A$6:$A$36,0),MATCH(H14,Costs!$D$5:$F$5,0)),0),I14*J14))</f>
        <v/>
      </c>
      <c r="O14" s="6">
        <f>IF(ISNUMBER(L14),L14,K14)</f>
        <v/>
      </c>
      <c r="P14" s="6">
        <f>IF(ISNUMBER(M14),MIN(M14,in_poa),in_poa)</f>
        <v/>
      </c>
      <c r="Q14" s="6">
        <f>IF(P14&lt;O14,0,INT((P14-O14)/K14)+1)</f>
        <v/>
      </c>
      <c r="R14" s="26">
        <f>IF(Q14=0,0,IF(in_rate=0,N14*Q14,N14*(1+in_rate)^(-O14)*(1-(1+in_rate)^(-K14*Q14))/(1-(1+in_rate)^(-K14))))</f>
        <v/>
      </c>
      <c r="S14" s="26">
        <f>IF(in_timing="MID_YEAR",IF(O14=0,IF(Q14=0,0,N14+(R14-N14)*(1+in_rate)^0.5),R14*(1+in_rate)^0.5),R14)</f>
        <v/>
      </c>
    </row>
    <row r="15">
      <c r="A15" s="10">
        <f>B15&amp;"|"&amp;C15</f>
        <v/>
      </c>
      <c r="B15" s="4" t="inlineStr">
        <is>
          <t>17F2M</t>
        </is>
      </c>
      <c r="C15" s="4" t="inlineStr">
        <is>
          <t>Alternative3</t>
        </is>
      </c>
      <c r="D15" s="4" t="inlineStr">
        <is>
          <t>Invasive species control</t>
        </is>
      </c>
      <c r="E15" s="4" t="inlineStr">
        <is>
          <t>FIXED</t>
        </is>
      </c>
      <c r="F15" s="27" t="n">
        <v>15000</v>
      </c>
      <c r="G15" s="10" t="n"/>
      <c r="H15" s="4" t="inlineStr"/>
      <c r="I15" s="10" t="n"/>
      <c r="J15" s="10" t="n"/>
      <c r="K15" s="14" t="n">
        <v>10</v>
      </c>
      <c r="L15" s="14" t="n"/>
      <c r="M15" s="14" t="n"/>
      <c r="N15" s="26">
        <f>IF(E15="FIXED",F15,IF(E15="PERCENT",G15*IFERROR(INDEX(Costs!$D$6:$F$36,MATCH(A15,Costs!$A$6:$A$36,0),MATCH(H15,Costs!$D$5:$F$5,0)),0),I15*J15))</f>
        <v/>
      </c>
      <c r="O15" s="6">
        <f>IF(ISNUMBER(L15),L15,K15)</f>
        <v/>
      </c>
      <c r="P15" s="6">
        <f>IF(ISNUMBER(M15),MIN(M15,in_poa),in_poa)</f>
        <v/>
      </c>
      <c r="Q15" s="6">
        <f>IF(P15&lt;O15,0,INT((P15-O15)/K15)+1)</f>
        <v/>
      </c>
      <c r="R15" s="26">
        <f>IF(Q15=0,0,IF(in_rate=0,N15*Q15,N15*(1+in_rate)^(-O15)*(1-(1+in_rate)^(-K15*Q15))/(1-(1+in_rate)^(-K15))))</f>
        <v/>
      </c>
      <c r="S15" s="26">
        <f>IF(in_timing="MID_YEAR",IF(O15=0,IF(Q15=0,0,N15+(R15-N15)*(1+in_rate)^0.5),R15*(1+in_rate)^0.5),R15)</f>
        <v/>
      </c>
    </row>
    <row r="16">
      <c r="A16" s="10">
        <f>B16&amp;"|"&amp;C16</f>
        <v/>
      </c>
      <c r="B16" s="4" t="inlineStr">
        <is>
          <t>17F2M</t>
        </is>
      </c>
      <c r="C16" s="4" t="inlineStr">
        <is>
          <t>Alternative3</t>
        </is>
      </c>
      <c r="D16" s="4" t="inlineStr">
        <is>
          <t>Wood, rock and earth repair</t>
        </is>
      </c>
      <c r="E16" s="4" t="inlineStr">
        <is>
          <t>PERCENT</t>
        </is>
      </c>
      <c r="F16" s="10" t="n"/>
      <c r="G16" s="29" t="n">
        <v>0.1</v>
      </c>
      <c r="H16" s="4" t="inlineStr">
        <is>
          <t>construction</t>
        </is>
      </c>
      <c r="I16" s="10" t="n"/>
      <c r="J16" s="10" t="n"/>
      <c r="K16" s="14" t="n">
        <v>25</v>
      </c>
      <c r="L16" s="14" t="n"/>
      <c r="M16" s="14" t="n"/>
      <c r="N16" s="26">
        <f>IF(E16="FIXED",F16,IF(E16="PERCENT",G16*IFERROR(INDEX(Costs!$D$6:$F$36,MATCH(A16,Costs!$A$6:$A$36,0),MATCH(H16,Costs!$D$5:$F$5,0)),0),I16*J16))</f>
        <v/>
      </c>
      <c r="O16" s="6">
        <f>IF(ISNUMBER(L16),L16,K16)</f>
        <v/>
      </c>
      <c r="P16" s="6">
        <f>IF(ISNUMBER(M16),MIN(M16,in_poa),in_poa)</f>
        <v/>
      </c>
      <c r="Q16" s="6">
        <f>IF(P16&lt;O16,0,INT((P16-O16)/K16)+1)</f>
        <v/>
      </c>
      <c r="R16" s="26">
        <f>IF(Q16=0,0,IF(in_rate=0,N16*Q16,N16*(1+in_rate)^(-O16)*(1-(1+in_rate)^(-K16*Q16))/(1-(1+in_rate)^(-K16))))</f>
        <v/>
      </c>
      <c r="S16" s="26">
        <f>IF(in_timing="MID_YEAR",IF(O16=0,IF(Q16=0,0,N16+(R16-N16)*(1+in_rate)^0.5),R16*(1+in_rate)^0.5),R16)</f>
        <v/>
      </c>
    </row>
    <row r="17">
      <c r="A17" s="10">
        <f>B17&amp;"|"&amp;C17</f>
        <v/>
      </c>
      <c r="B17" s="4" t="inlineStr">
        <is>
          <t>17D2E</t>
        </is>
      </c>
      <c r="C17" s="4" t="inlineStr">
        <is>
          <t>Alternative1</t>
        </is>
      </c>
      <c r="D17" s="4" t="inlineStr">
        <is>
          <t>General maintenance</t>
        </is>
      </c>
      <c r="E17" s="4" t="inlineStr">
        <is>
          <t>FIXED</t>
        </is>
      </c>
      <c r="F17" s="27" t="n">
        <v>10000</v>
      </c>
      <c r="G17" s="10" t="n"/>
      <c r="H17" s="4" t="inlineStr"/>
      <c r="I17" s="10" t="n"/>
      <c r="J17" s="10" t="n"/>
      <c r="K17" s="14" t="n">
        <v>1</v>
      </c>
      <c r="L17" s="14" t="n"/>
      <c r="M17" s="14" t="n"/>
      <c r="N17" s="26">
        <f>IF(E17="FIXED",F17,IF(E17="PERCENT",G17*IFERROR(INDEX(Costs!$D$6:$F$36,MATCH(A17,Costs!$A$6:$A$36,0),MATCH(H17,Costs!$D$5:$F$5,0)),0),I17*J17))</f>
        <v/>
      </c>
      <c r="O17" s="6">
        <f>IF(ISNUMBER(L17),L17,K17)</f>
        <v/>
      </c>
      <c r="P17" s="6">
        <f>IF(ISNUMBER(M17),MIN(M17,in_poa),in_poa)</f>
        <v/>
      </c>
      <c r="Q17" s="6">
        <f>IF(P17&lt;O17,0,INT((P17-O17)/K17)+1)</f>
        <v/>
      </c>
      <c r="R17" s="26">
        <f>IF(Q17=0,0,IF(in_rate=0,N17*Q17,N17*(1+in_rate)^(-O17)*(1-(1+in_rate)^(-K17*Q17))/(1-(1+in_rate)^(-K17))))</f>
        <v/>
      </c>
      <c r="S17" s="26">
        <f>IF(in_timing="MID_YEAR",IF(O17=0,IF(Q17=0,0,N17+(R17-N17)*(1+in_rate)^0.5),R17*(1+in_rate)^0.5),R17)</f>
        <v/>
      </c>
    </row>
    <row r="18">
      <c r="A18" s="10">
        <f>B18&amp;"|"&amp;C18</f>
        <v/>
      </c>
      <c r="B18" s="4" t="inlineStr">
        <is>
          <t>17D2E</t>
        </is>
      </c>
      <c r="C18" s="4" t="inlineStr">
        <is>
          <t>Alternative1</t>
        </is>
      </c>
      <c r="D18" s="4" t="inlineStr">
        <is>
          <t>Inspection and trash removal</t>
        </is>
      </c>
      <c r="E18" s="4" t="inlineStr">
        <is>
          <t>RATE</t>
        </is>
      </c>
      <c r="F18" s="10" t="n"/>
      <c r="G18" s="10" t="n"/>
      <c r="H18" s="4" t="inlineStr"/>
      <c r="I18" s="27" t="n">
        <v>4</v>
      </c>
      <c r="J18" s="28" t="n">
        <v>3610.57488</v>
      </c>
      <c r="K18" s="14" t="n">
        <v>2</v>
      </c>
      <c r="L18" s="14" t="n"/>
      <c r="M18" s="14" t="n"/>
      <c r="N18" s="26">
        <f>IF(E18="FIXED",F18,IF(E18="PERCENT",G18*IFERROR(INDEX(Costs!$D$6:$F$36,MATCH(A18,Costs!$A$6:$A$36,0),MATCH(H18,Costs!$D$5:$F$5,0)),0),I18*J18))</f>
        <v/>
      </c>
      <c r="O18" s="6">
        <f>IF(ISNUMBER(L18),L18,K18)</f>
        <v/>
      </c>
      <c r="P18" s="6">
        <f>IF(ISNUMBER(M18),MIN(M18,in_poa),in_poa)</f>
        <v/>
      </c>
      <c r="Q18" s="6">
        <f>IF(P18&lt;O18,0,INT((P18-O18)/K18)+1)</f>
        <v/>
      </c>
      <c r="R18" s="26">
        <f>IF(Q18=0,0,IF(in_rate=0,N18*Q18,N18*(1+in_rate)^(-O18)*(1-(1+in_rate)^(-K18*Q18))/(1-(1+in_rate)^(-K18))))</f>
        <v/>
      </c>
      <c r="S18" s="26">
        <f>IF(in_timing="MID_YEAR",IF(O18=0,IF(Q18=0,0,N18+(R18-N18)*(1+in_rate)^0.5),R18*(1+in_rate)^0.5),R18)</f>
        <v/>
      </c>
    </row>
    <row r="19">
      <c r="A19" s="10">
        <f>B19&amp;"|"&amp;C19</f>
        <v/>
      </c>
      <c r="B19" s="4" t="inlineStr">
        <is>
          <t>17D2E</t>
        </is>
      </c>
      <c r="C19" s="4" t="inlineStr">
        <is>
          <t>Alternative1</t>
        </is>
      </c>
      <c r="D19" s="4" t="inlineStr">
        <is>
          <t>Invasive species control</t>
        </is>
      </c>
      <c r="E19" s="4" t="inlineStr">
        <is>
          <t>FIXED</t>
        </is>
      </c>
      <c r="F19" s="27" t="n">
        <v>15000</v>
      </c>
      <c r="G19" s="10" t="n"/>
      <c r="H19" s="4" t="inlineStr"/>
      <c r="I19" s="10" t="n"/>
      <c r="J19" s="10" t="n"/>
      <c r="K19" s="14" t="n">
        <v>10</v>
      </c>
      <c r="L19" s="14" t="n"/>
      <c r="M19" s="14" t="n"/>
      <c r="N19" s="26">
        <f>IF(E19="FIXED",F19,IF(E19="PERCENT",G19*IFERROR(INDEX(Costs!$D$6:$F$36,MATCH(A19,Costs!$A$6:$A$36,0),MATCH(H19,Costs!$D$5:$F$5,0)),0),I19*J19))</f>
        <v/>
      </c>
      <c r="O19" s="6">
        <f>IF(ISNUMBER(L19),L19,K19)</f>
        <v/>
      </c>
      <c r="P19" s="6">
        <f>IF(ISNUMBER(M19),MIN(M19,in_poa),in_poa)</f>
        <v/>
      </c>
      <c r="Q19" s="6">
        <f>IF(P19&lt;O19,0,INT((P19-O19)/K19)+1)</f>
        <v/>
      </c>
      <c r="R19" s="26">
        <f>IF(Q19=0,0,IF(in_rate=0,N19*Q19,N19*(1+in_rate)^(-O19)*(1-(1+in_rate)^(-K19*Q19))/(1-(1+in_rate)^(-K19))))</f>
        <v/>
      </c>
      <c r="S19" s="26">
        <f>IF(in_timing="MID_YEAR",IF(O19=0,IF(Q19=0,0,N19+(R19-N19)*(1+in_rate)^0.5),R19*(1+in_rate)^0.5),R19)</f>
        <v/>
      </c>
    </row>
    <row r="20">
      <c r="A20" s="10">
        <f>B20&amp;"|"&amp;C20</f>
        <v/>
      </c>
      <c r="B20" s="4" t="inlineStr">
        <is>
          <t>17D2E</t>
        </is>
      </c>
      <c r="C20" s="4" t="inlineStr">
        <is>
          <t>Alternative1</t>
        </is>
      </c>
      <c r="D20" s="4" t="inlineStr">
        <is>
          <t>Wood, rock and earth repair</t>
        </is>
      </c>
      <c r="E20" s="4" t="inlineStr">
        <is>
          <t>PERCENT</t>
        </is>
      </c>
      <c r="F20" s="10" t="n"/>
      <c r="G20" s="29" t="n">
        <v>0.1</v>
      </c>
      <c r="H20" s="4" t="inlineStr">
        <is>
          <t>construction</t>
        </is>
      </c>
      <c r="I20" s="10" t="n"/>
      <c r="J20" s="10" t="n"/>
      <c r="K20" s="14" t="n">
        <v>25</v>
      </c>
      <c r="L20" s="14" t="n"/>
      <c r="M20" s="14" t="n"/>
      <c r="N20" s="26">
        <f>IF(E20="FIXED",F20,IF(E20="PERCENT",G20*IFERROR(INDEX(Costs!$D$6:$F$36,MATCH(A20,Costs!$A$6:$A$36,0),MATCH(H20,Costs!$D$5:$F$5,0)),0),I20*J20))</f>
        <v/>
      </c>
      <c r="O20" s="6">
        <f>IF(ISNUMBER(L20),L20,K20)</f>
        <v/>
      </c>
      <c r="P20" s="6">
        <f>IF(ISNUMBER(M20),MIN(M20,in_poa),in_poa)</f>
        <v/>
      </c>
      <c r="Q20" s="6">
        <f>IF(P20&lt;O20,0,INT((P20-O20)/K20)+1)</f>
        <v/>
      </c>
      <c r="R20" s="26">
        <f>IF(Q20=0,0,IF(in_rate=0,N20*Q20,N20*(1+in_rate)^(-O20)*(1-(1+in_rate)^(-K20*Q20))/(1-(1+in_rate)^(-K20))))</f>
        <v/>
      </c>
      <c r="S20" s="26">
        <f>IF(in_timing="MID_YEAR",IF(O20=0,IF(Q20=0,0,N20+(R20-N20)*(1+in_rate)^0.5),R20*(1+in_rate)^0.5),R20)</f>
        <v/>
      </c>
    </row>
    <row r="21">
      <c r="A21" s="10">
        <f>B21&amp;"|"&amp;C21</f>
        <v/>
      </c>
      <c r="B21" s="4" t="inlineStr">
        <is>
          <t>17D2E</t>
        </is>
      </c>
      <c r="C21" s="4" t="inlineStr">
        <is>
          <t>Alternative2</t>
        </is>
      </c>
      <c r="D21" s="4" t="inlineStr">
        <is>
          <t>General maintenance</t>
        </is>
      </c>
      <c r="E21" s="4" t="inlineStr">
        <is>
          <t>FIXED</t>
        </is>
      </c>
      <c r="F21" s="27" t="n">
        <v>10000</v>
      </c>
      <c r="G21" s="10" t="n"/>
      <c r="H21" s="4" t="inlineStr"/>
      <c r="I21" s="10" t="n"/>
      <c r="J21" s="10" t="n"/>
      <c r="K21" s="14" t="n">
        <v>1</v>
      </c>
      <c r="L21" s="14" t="n"/>
      <c r="M21" s="14" t="n"/>
      <c r="N21" s="26">
        <f>IF(E21="FIXED",F21,IF(E21="PERCENT",G21*IFERROR(INDEX(Costs!$D$6:$F$36,MATCH(A21,Costs!$A$6:$A$36,0),MATCH(H21,Costs!$D$5:$F$5,0)),0),I21*J21))</f>
        <v/>
      </c>
      <c r="O21" s="6">
        <f>IF(ISNUMBER(L21),L21,K21)</f>
        <v/>
      </c>
      <c r="P21" s="6">
        <f>IF(ISNUMBER(M21),MIN(M21,in_poa),in_poa)</f>
        <v/>
      </c>
      <c r="Q21" s="6">
        <f>IF(P21&lt;O21,0,INT((P21-O21)/K21)+1)</f>
        <v/>
      </c>
      <c r="R21" s="26">
        <f>IF(Q21=0,0,IF(in_rate=0,N21*Q21,N21*(1+in_rate)^(-O21)*(1-(1+in_rate)^(-K21*Q21))/(1-(1+in_rate)^(-K21))))</f>
        <v/>
      </c>
      <c r="S21" s="26">
        <f>IF(in_timing="MID_YEAR",IF(O21=0,IF(Q21=0,0,N21+(R21-N21)*(1+in_rate)^0.5),R21*(1+in_rate)^0.5),R21)</f>
        <v/>
      </c>
    </row>
    <row r="22">
      <c r="A22" s="10">
        <f>B22&amp;"|"&amp;C22</f>
        <v/>
      </c>
      <c r="B22" s="4" t="inlineStr">
        <is>
          <t>17D2E</t>
        </is>
      </c>
      <c r="C22" s="4" t="inlineStr">
        <is>
          <t>Alternative2</t>
        </is>
      </c>
      <c r="D22" s="4" t="inlineStr">
        <is>
          <t>Inspection and trash removal</t>
        </is>
      </c>
      <c r="E22" s="4" t="inlineStr">
        <is>
          <t>RATE</t>
        </is>
      </c>
      <c r="F22" s="10" t="n"/>
      <c r="G22" s="10" t="n"/>
      <c r="H22" s="4" t="inlineStr"/>
      <c r="I22" s="27" t="n">
        <v>4</v>
      </c>
      <c r="J22" s="28" t="n">
        <v>3610.57488</v>
      </c>
      <c r="K22" s="14" t="n">
        <v>2</v>
      </c>
      <c r="L22" s="14" t="n"/>
      <c r="M22" s="14" t="n"/>
      <c r="N22" s="26">
        <f>IF(E22="FIXED",F22,IF(E22="PERCENT",G22*IFERROR(INDEX(Costs!$D$6:$F$36,MATCH(A22,Costs!$A$6:$A$36,0),MATCH(H22,Costs!$D$5:$F$5,0)),0),I22*J22))</f>
        <v/>
      </c>
      <c r="O22" s="6">
        <f>IF(ISNUMBER(L22),L22,K22)</f>
        <v/>
      </c>
      <c r="P22" s="6">
        <f>IF(ISNUMBER(M22),MIN(M22,in_poa),in_poa)</f>
        <v/>
      </c>
      <c r="Q22" s="6">
        <f>IF(P22&lt;O22,0,INT((P22-O22)/K22)+1)</f>
        <v/>
      </c>
      <c r="R22" s="26">
        <f>IF(Q22=0,0,IF(in_rate=0,N22*Q22,N22*(1+in_rate)^(-O22)*(1-(1+in_rate)^(-K22*Q22))/(1-(1+in_rate)^(-K22))))</f>
        <v/>
      </c>
      <c r="S22" s="26">
        <f>IF(in_timing="MID_YEAR",IF(O22=0,IF(Q22=0,0,N22+(R22-N22)*(1+in_rate)^0.5),R22*(1+in_rate)^0.5),R22)</f>
        <v/>
      </c>
    </row>
    <row r="23">
      <c r="A23" s="10">
        <f>B23&amp;"|"&amp;C23</f>
        <v/>
      </c>
      <c r="B23" s="4" t="inlineStr">
        <is>
          <t>17D2E</t>
        </is>
      </c>
      <c r="C23" s="4" t="inlineStr">
        <is>
          <t>Alternative2</t>
        </is>
      </c>
      <c r="D23" s="4" t="inlineStr">
        <is>
          <t>Invasive species control</t>
        </is>
      </c>
      <c r="E23" s="4" t="inlineStr">
        <is>
          <t>FIXED</t>
        </is>
      </c>
      <c r="F23" s="27" t="n">
        <v>15000</v>
      </c>
      <c r="G23" s="10" t="n"/>
      <c r="H23" s="4" t="inlineStr"/>
      <c r="I23" s="10" t="n"/>
      <c r="J23" s="10" t="n"/>
      <c r="K23" s="14" t="n">
        <v>10</v>
      </c>
      <c r="L23" s="14" t="n"/>
      <c r="M23" s="14" t="n"/>
      <c r="N23" s="26">
        <f>IF(E23="FIXED",F23,IF(E23="PERCENT",G23*IFERROR(INDEX(Costs!$D$6:$F$36,MATCH(A23,Costs!$A$6:$A$36,0),MATCH(H23,Costs!$D$5:$F$5,0)),0),I23*J23))</f>
        <v/>
      </c>
      <c r="O23" s="6">
        <f>IF(ISNUMBER(L23),L23,K23)</f>
        <v/>
      </c>
      <c r="P23" s="6">
        <f>IF(ISNUMBER(M23),MIN(M23,in_poa),in_poa)</f>
        <v/>
      </c>
      <c r="Q23" s="6">
        <f>IF(P23&lt;O23,0,INT((P23-O23)/K23)+1)</f>
        <v/>
      </c>
      <c r="R23" s="26">
        <f>IF(Q23=0,0,IF(in_rate=0,N23*Q23,N23*(1+in_rate)^(-O23)*(1-(1+in_rate)^(-K23*Q23))/(1-(1+in_rate)^(-K23))))</f>
        <v/>
      </c>
      <c r="S23" s="26">
        <f>IF(in_timing="MID_YEAR",IF(O23=0,IF(Q23=0,0,N23+(R23-N23)*(1+in_rate)^0.5),R23*(1+in_rate)^0.5),R23)</f>
        <v/>
      </c>
    </row>
    <row r="24">
      <c r="A24" s="10">
        <f>B24&amp;"|"&amp;C24</f>
        <v/>
      </c>
      <c r="B24" s="4" t="inlineStr">
        <is>
          <t>17D2E</t>
        </is>
      </c>
      <c r="C24" s="4" t="inlineStr">
        <is>
          <t>Alternative2</t>
        </is>
      </c>
      <c r="D24" s="4" t="inlineStr">
        <is>
          <t>Wood, rock and earth repair</t>
        </is>
      </c>
      <c r="E24" s="4" t="inlineStr">
        <is>
          <t>PERCENT</t>
        </is>
      </c>
      <c r="F24" s="10" t="n"/>
      <c r="G24" s="29" t="n">
        <v>0.1</v>
      </c>
      <c r="H24" s="4" t="inlineStr">
        <is>
          <t>construction</t>
        </is>
      </c>
      <c r="I24" s="10" t="n"/>
      <c r="J24" s="10" t="n"/>
      <c r="K24" s="14" t="n">
        <v>25</v>
      </c>
      <c r="L24" s="14" t="n"/>
      <c r="M24" s="14" t="n"/>
      <c r="N24" s="26">
        <f>IF(E24="FIXED",F24,IF(E24="PERCENT",G24*IFERROR(INDEX(Costs!$D$6:$F$36,MATCH(A24,Costs!$A$6:$A$36,0),MATCH(H24,Costs!$D$5:$F$5,0)),0),I24*J24))</f>
        <v/>
      </c>
      <c r="O24" s="6">
        <f>IF(ISNUMBER(L24),L24,K24)</f>
        <v/>
      </c>
      <c r="P24" s="6">
        <f>IF(ISNUMBER(M24),MIN(M24,in_poa),in_poa)</f>
        <v/>
      </c>
      <c r="Q24" s="6">
        <f>IF(P24&lt;O24,0,INT((P24-O24)/K24)+1)</f>
        <v/>
      </c>
      <c r="R24" s="26">
        <f>IF(Q24=0,0,IF(in_rate=0,N24*Q24,N24*(1+in_rate)^(-O24)*(1-(1+in_rate)^(-K24*Q24))/(1-(1+in_rate)^(-K24))))</f>
        <v/>
      </c>
      <c r="S24" s="26">
        <f>IF(in_timing="MID_YEAR",IF(O24=0,IF(Q24=0,0,N24+(R24-N24)*(1+in_rate)^0.5),R24*(1+in_rate)^0.5),R24)</f>
        <v/>
      </c>
    </row>
    <row r="25">
      <c r="A25" s="10">
        <f>B25&amp;"|"&amp;C25</f>
        <v/>
      </c>
      <c r="B25" s="4" t="inlineStr">
        <is>
          <t>17D2E</t>
        </is>
      </c>
      <c r="C25" s="4" t="inlineStr">
        <is>
          <t>Alternative3</t>
        </is>
      </c>
      <c r="D25" s="4" t="inlineStr">
        <is>
          <t>General maintenance</t>
        </is>
      </c>
      <c r="E25" s="4" t="inlineStr">
        <is>
          <t>FIXED</t>
        </is>
      </c>
      <c r="F25" s="27" t="n">
        <v>10000</v>
      </c>
      <c r="G25" s="10" t="n"/>
      <c r="H25" s="4" t="inlineStr"/>
      <c r="I25" s="10" t="n"/>
      <c r="J25" s="10" t="n"/>
      <c r="K25" s="14" t="n">
        <v>1</v>
      </c>
      <c r="L25" s="14" t="n"/>
      <c r="M25" s="14" t="n"/>
      <c r="N25" s="26">
        <f>IF(E25="FIXED",F25,IF(E25="PERCENT",G25*IFERROR(INDEX(Costs!$D$6:$F$36,MATCH(A25,Costs!$A$6:$A$36,0),MATCH(H25,Costs!$D$5:$F$5,0)),0),I25*J25))</f>
        <v/>
      </c>
      <c r="O25" s="6">
        <f>IF(ISNUMBER(L25),L25,K25)</f>
        <v/>
      </c>
      <c r="P25" s="6">
        <f>IF(ISNUMBER(M25),MIN(M25,in_poa),in_poa)</f>
        <v/>
      </c>
      <c r="Q25" s="6">
        <f>IF(P25&lt;O25,0,INT((P25-O25)/K25)+1)</f>
        <v/>
      </c>
      <c r="R25" s="26">
        <f>IF(Q25=0,0,IF(in_rate=0,N25*Q25,N25*(1+in_rate)^(-O25)*(1-(1+in_rate)^(-K25*Q25))/(1-(1+in_rate)^(-K25))))</f>
        <v/>
      </c>
      <c r="S25" s="26">
        <f>IF(in_timing="MID_YEAR",IF(O25=0,IF(Q25=0,0,N25+(R25-N25)*(1+in_rate)^0.5),R25*(1+in_rate)^0.5),R25)</f>
        <v/>
      </c>
    </row>
    <row r="26">
      <c r="A26" s="10">
        <f>B26&amp;"|"&amp;C26</f>
        <v/>
      </c>
      <c r="B26" s="4" t="inlineStr">
        <is>
          <t>17D2E</t>
        </is>
      </c>
      <c r="C26" s="4" t="inlineStr">
        <is>
          <t>Alternative3</t>
        </is>
      </c>
      <c r="D26" s="4" t="inlineStr">
        <is>
          <t>Inspection and trash removal</t>
        </is>
      </c>
      <c r="E26" s="4" t="inlineStr">
        <is>
          <t>RATE</t>
        </is>
      </c>
      <c r="F26" s="10" t="n"/>
      <c r="G26" s="10" t="n"/>
      <c r="H26" s="4" t="inlineStr"/>
      <c r="I26" s="27" t="n">
        <v>4</v>
      </c>
      <c r="J26" s="28" t="n">
        <v>3610.57488</v>
      </c>
      <c r="K26" s="14" t="n">
        <v>2</v>
      </c>
      <c r="L26" s="14" t="n"/>
      <c r="M26" s="14" t="n"/>
      <c r="N26" s="26">
        <f>IF(E26="FIXED",F26,IF(E26="PERCENT",G26*IFERROR(INDEX(Costs!$D$6:$F$36,MATCH(A26,Costs!$A$6:$A$36,0),MATCH(H26,Costs!$D$5:$F$5,0)),0),I26*J26))</f>
        <v/>
      </c>
      <c r="O26" s="6">
        <f>IF(ISNUMBER(L26),L26,K26)</f>
        <v/>
      </c>
      <c r="P26" s="6">
        <f>IF(ISNUMBER(M26),MIN(M26,in_poa),in_poa)</f>
        <v/>
      </c>
      <c r="Q26" s="6">
        <f>IF(P26&lt;O26,0,INT((P26-O26)/K26)+1)</f>
        <v/>
      </c>
      <c r="R26" s="26">
        <f>IF(Q26=0,0,IF(in_rate=0,N26*Q26,N26*(1+in_rate)^(-O26)*(1-(1+in_rate)^(-K26*Q26))/(1-(1+in_rate)^(-K26))))</f>
        <v/>
      </c>
      <c r="S26" s="26">
        <f>IF(in_timing="MID_YEAR",IF(O26=0,IF(Q26=0,0,N26+(R26-N26)*(1+in_rate)^0.5),R26*(1+in_rate)^0.5),R26)</f>
        <v/>
      </c>
    </row>
    <row r="27">
      <c r="A27" s="10">
        <f>B27&amp;"|"&amp;C27</f>
        <v/>
      </c>
      <c r="B27" s="4" t="inlineStr">
        <is>
          <t>17D2E</t>
        </is>
      </c>
      <c r="C27" s="4" t="inlineStr">
        <is>
          <t>Alternative3</t>
        </is>
      </c>
      <c r="D27" s="4" t="inlineStr">
        <is>
          <t>Invasive species control</t>
        </is>
      </c>
      <c r="E27" s="4" t="inlineStr">
        <is>
          <t>FIXED</t>
        </is>
      </c>
      <c r="F27" s="27" t="n">
        <v>15000</v>
      </c>
      <c r="G27" s="10" t="n"/>
      <c r="H27" s="4" t="inlineStr"/>
      <c r="I27" s="10" t="n"/>
      <c r="J27" s="10" t="n"/>
      <c r="K27" s="14" t="n">
        <v>10</v>
      </c>
      <c r="L27" s="14" t="n"/>
      <c r="M27" s="14" t="n"/>
      <c r="N27" s="26">
        <f>IF(E27="FIXED",F27,IF(E27="PERCENT",G27*IFERROR(INDEX(Costs!$D$6:$F$36,MATCH(A27,Costs!$A$6:$A$36,0),MATCH(H27,Costs!$D$5:$F$5,0)),0),I27*J27))</f>
        <v/>
      </c>
      <c r="O27" s="6">
        <f>IF(ISNUMBER(L27),L27,K27)</f>
        <v/>
      </c>
      <c r="P27" s="6">
        <f>IF(ISNUMBER(M27),MIN(M27,in_poa),in_poa)</f>
        <v/>
      </c>
      <c r="Q27" s="6">
        <f>IF(P27&lt;O27,0,INT((P27-O27)/K27)+1)</f>
        <v/>
      </c>
      <c r="R27" s="26">
        <f>IF(Q27=0,0,IF(in_rate=0,N27*Q27,N27*(1+in_rate)^(-O27)*(1-(1+in_rate)^(-K27*Q27))/(1-(1+in_rate)^(-K27))))</f>
        <v/>
      </c>
      <c r="S27" s="26">
        <f>IF(in_timing="MID_YEAR",IF(O27=0,IF(Q27=0,0,N27+(R27-N27)*(1+in_rate)^0.5),R27*(1+in_rate)^0.5),R27)</f>
        <v/>
      </c>
    </row>
    <row r="28">
      <c r="A28" s="10">
        <f>B28&amp;"|"&amp;C28</f>
        <v/>
      </c>
      <c r="B28" s="4" t="inlineStr">
        <is>
          <t>17D2E</t>
        </is>
      </c>
      <c r="C28" s="4" t="inlineStr">
        <is>
          <t>Alternative3</t>
        </is>
      </c>
      <c r="D28" s="4" t="inlineStr">
        <is>
          <t>Wood, rock and earth repair</t>
        </is>
      </c>
      <c r="E28" s="4" t="inlineStr">
        <is>
          <t>PERCENT</t>
        </is>
      </c>
      <c r="F28" s="10" t="n"/>
      <c r="G28" s="29" t="n">
        <v>0.1</v>
      </c>
      <c r="H28" s="4" t="inlineStr">
        <is>
          <t>construction</t>
        </is>
      </c>
      <c r="I28" s="10" t="n"/>
      <c r="J28" s="10" t="n"/>
      <c r="K28" s="14" t="n">
        <v>25</v>
      </c>
      <c r="L28" s="14" t="n"/>
      <c r="M28" s="14" t="n"/>
      <c r="N28" s="26">
        <f>IF(E28="FIXED",F28,IF(E28="PERCENT",G28*IFERROR(INDEX(Costs!$D$6:$F$36,MATCH(A28,Costs!$A$6:$A$36,0),MATCH(H28,Costs!$D$5:$F$5,0)),0),I28*J28))</f>
        <v/>
      </c>
      <c r="O28" s="6">
        <f>IF(ISNUMBER(L28),L28,K28)</f>
        <v/>
      </c>
      <c r="P28" s="6">
        <f>IF(ISNUMBER(M28),MIN(M28,in_poa),in_poa)</f>
        <v/>
      </c>
      <c r="Q28" s="6">
        <f>IF(P28&lt;O28,0,INT((P28-O28)/K28)+1)</f>
        <v/>
      </c>
      <c r="R28" s="26">
        <f>IF(Q28=0,0,IF(in_rate=0,N28*Q28,N28*(1+in_rate)^(-O28)*(1-(1+in_rate)^(-K28*Q28))/(1-(1+in_rate)^(-K28))))</f>
        <v/>
      </c>
      <c r="S28" s="26">
        <f>IF(in_timing="MID_YEAR",IF(O28=0,IF(Q28=0,0,N28+(R28-N28)*(1+in_rate)^0.5),R28*(1+in_rate)^0.5),R28)</f>
        <v/>
      </c>
    </row>
    <row r="29">
      <c r="A29" s="10">
        <f>B29&amp;"|"&amp;C29</f>
        <v/>
      </c>
      <c r="B29" s="4" t="inlineStr">
        <is>
          <t>17B</t>
        </is>
      </c>
      <c r="C29" s="4" t="inlineStr">
        <is>
          <t>Alternative1</t>
        </is>
      </c>
      <c r="D29" s="4" t="inlineStr">
        <is>
          <t>General maintenance</t>
        </is>
      </c>
      <c r="E29" s="4" t="inlineStr">
        <is>
          <t>FIXED</t>
        </is>
      </c>
      <c r="F29" s="27" t="n">
        <v>10000</v>
      </c>
      <c r="G29" s="10" t="n"/>
      <c r="H29" s="4" t="inlineStr"/>
      <c r="I29" s="10" t="n"/>
      <c r="J29" s="10" t="n"/>
      <c r="K29" s="14" t="n">
        <v>1</v>
      </c>
      <c r="L29" s="14" t="n"/>
      <c r="M29" s="14" t="n"/>
      <c r="N29" s="26">
        <f>IF(E29="FIXED",F29,IF(E29="PERCENT",G29*IFERROR(INDEX(Costs!$D$6:$F$36,MATCH(A29,Costs!$A$6:$A$36,0),MATCH(H29,Costs!$D$5:$F$5,0)),0),I29*J29))</f>
        <v/>
      </c>
      <c r="O29" s="6">
        <f>IF(ISNUMBER(L29),L29,K29)</f>
        <v/>
      </c>
      <c r="P29" s="6">
        <f>IF(ISNUMBER(M29),MIN(M29,in_poa),in_poa)</f>
        <v/>
      </c>
      <c r="Q29" s="6">
        <f>IF(P29&lt;O29,0,INT((P29-O29)/K29)+1)</f>
        <v/>
      </c>
      <c r="R29" s="26">
        <f>IF(Q29=0,0,IF(in_rate=0,N29*Q29,N29*(1+in_rate)^(-O29)*(1-(1+in_rate)^(-K29*Q29))/(1-(1+in_rate)^(-K29))))</f>
        <v/>
      </c>
      <c r="S29" s="26">
        <f>IF(in_timing="MID_YEAR",IF(O29=0,IF(Q29=0,0,N29+(R29-N29)*(1+in_rate)^0.5),R29*(1+in_rate)^0.5),R29)</f>
        <v/>
      </c>
    </row>
    <row r="30">
      <c r="A30" s="10">
        <f>B30&amp;"|"&amp;C30</f>
        <v/>
      </c>
      <c r="B30" s="4" t="inlineStr">
        <is>
          <t>17B</t>
        </is>
      </c>
      <c r="C30" s="4" t="inlineStr">
        <is>
          <t>Alternative1</t>
        </is>
      </c>
      <c r="D30" s="4" t="inlineStr">
        <is>
          <t>Inspection and trash removal</t>
        </is>
      </c>
      <c r="E30" s="4" t="inlineStr">
        <is>
          <t>RATE</t>
        </is>
      </c>
      <c r="F30" s="10" t="n"/>
      <c r="G30" s="10" t="n"/>
      <c r="H30" s="4" t="inlineStr"/>
      <c r="I30" s="27" t="n">
        <v>4</v>
      </c>
      <c r="J30" s="28" t="n">
        <v>6461.98608</v>
      </c>
      <c r="K30" s="14" t="n">
        <v>2</v>
      </c>
      <c r="L30" s="14" t="n"/>
      <c r="M30" s="14" t="n"/>
      <c r="N30" s="26">
        <f>IF(E30="FIXED",F30,IF(E30="PERCENT",G30*IFERROR(INDEX(Costs!$D$6:$F$36,MATCH(A30,Costs!$A$6:$A$36,0),MATCH(H30,Costs!$D$5:$F$5,0)),0),I30*J30))</f>
        <v/>
      </c>
      <c r="O30" s="6">
        <f>IF(ISNUMBER(L30),L30,K30)</f>
        <v/>
      </c>
      <c r="P30" s="6">
        <f>IF(ISNUMBER(M30),MIN(M30,in_poa),in_poa)</f>
        <v/>
      </c>
      <c r="Q30" s="6">
        <f>IF(P30&lt;O30,0,INT((P30-O30)/K30)+1)</f>
        <v/>
      </c>
      <c r="R30" s="26">
        <f>IF(Q30=0,0,IF(in_rate=0,N30*Q30,N30*(1+in_rate)^(-O30)*(1-(1+in_rate)^(-K30*Q30))/(1-(1+in_rate)^(-K30))))</f>
        <v/>
      </c>
      <c r="S30" s="26">
        <f>IF(in_timing="MID_YEAR",IF(O30=0,IF(Q30=0,0,N30+(R30-N30)*(1+in_rate)^0.5),R30*(1+in_rate)^0.5),R30)</f>
        <v/>
      </c>
    </row>
    <row r="31">
      <c r="A31" s="10">
        <f>B31&amp;"|"&amp;C31</f>
        <v/>
      </c>
      <c r="B31" s="4" t="inlineStr">
        <is>
          <t>17B</t>
        </is>
      </c>
      <c r="C31" s="4" t="inlineStr">
        <is>
          <t>Alternative1</t>
        </is>
      </c>
      <c r="D31" s="4" t="inlineStr">
        <is>
          <t>Invasive species control</t>
        </is>
      </c>
      <c r="E31" s="4" t="inlineStr">
        <is>
          <t>FIXED</t>
        </is>
      </c>
      <c r="F31" s="27" t="n">
        <v>15000</v>
      </c>
      <c r="G31" s="10" t="n"/>
      <c r="H31" s="4" t="inlineStr"/>
      <c r="I31" s="10" t="n"/>
      <c r="J31" s="10" t="n"/>
      <c r="K31" s="14" t="n">
        <v>10</v>
      </c>
      <c r="L31" s="14" t="n"/>
      <c r="M31" s="14" t="n"/>
      <c r="N31" s="26">
        <f>IF(E31="FIXED",F31,IF(E31="PERCENT",G31*IFERROR(INDEX(Costs!$D$6:$F$36,MATCH(A31,Costs!$A$6:$A$36,0),MATCH(H31,Costs!$D$5:$F$5,0)),0),I31*J31))</f>
        <v/>
      </c>
      <c r="O31" s="6">
        <f>IF(ISNUMBER(L31),L31,K31)</f>
        <v/>
      </c>
      <c r="P31" s="6">
        <f>IF(ISNUMBER(M31),MIN(M31,in_poa),in_poa)</f>
        <v/>
      </c>
      <c r="Q31" s="6">
        <f>IF(P31&lt;O31,0,INT((P31-O31)/K31)+1)</f>
        <v/>
      </c>
      <c r="R31" s="26">
        <f>IF(Q31=0,0,IF(in_rate=0,N31*Q31,N31*(1+in_rate)^(-O31)*(1-(1+in_rate)^(-K31*Q31))/(1-(1+in_rate)^(-K31))))</f>
        <v/>
      </c>
      <c r="S31" s="26">
        <f>IF(in_timing="MID_YEAR",IF(O31=0,IF(Q31=0,0,N31+(R31-N31)*(1+in_rate)^0.5),R31*(1+in_rate)^0.5),R31)</f>
        <v/>
      </c>
    </row>
    <row r="32">
      <c r="A32" s="10">
        <f>B32&amp;"|"&amp;C32</f>
        <v/>
      </c>
      <c r="B32" s="4" t="inlineStr">
        <is>
          <t>17B</t>
        </is>
      </c>
      <c r="C32" s="4" t="inlineStr">
        <is>
          <t>Alternative1</t>
        </is>
      </c>
      <c r="D32" s="4" t="inlineStr">
        <is>
          <t>Wood, rock and earth repair</t>
        </is>
      </c>
      <c r="E32" s="4" t="inlineStr">
        <is>
          <t>PERCENT</t>
        </is>
      </c>
      <c r="F32" s="10" t="n"/>
      <c r="G32" s="29" t="n">
        <v>0.1</v>
      </c>
      <c r="H32" s="4" t="inlineStr">
        <is>
          <t>construction</t>
        </is>
      </c>
      <c r="I32" s="10" t="n"/>
      <c r="J32" s="10" t="n"/>
      <c r="K32" s="14" t="n">
        <v>25</v>
      </c>
      <c r="L32" s="14" t="n"/>
      <c r="M32" s="14" t="n"/>
      <c r="N32" s="26">
        <f>IF(E32="FIXED",F32,IF(E32="PERCENT",G32*IFERROR(INDEX(Costs!$D$6:$F$36,MATCH(A32,Costs!$A$6:$A$36,0),MATCH(H32,Costs!$D$5:$F$5,0)),0),I32*J32))</f>
        <v/>
      </c>
      <c r="O32" s="6">
        <f>IF(ISNUMBER(L32),L32,K32)</f>
        <v/>
      </c>
      <c r="P32" s="6">
        <f>IF(ISNUMBER(M32),MIN(M32,in_poa),in_poa)</f>
        <v/>
      </c>
      <c r="Q32" s="6">
        <f>IF(P32&lt;O32,0,INT((P32-O32)/K32)+1)</f>
        <v/>
      </c>
      <c r="R32" s="26">
        <f>IF(Q32=0,0,IF(in_rate=0,N32*Q32,N32*(1+in_rate)^(-O32)*(1-(1+in_rate)^(-K32*Q32))/(1-(1+in_rate)^(-K32))))</f>
        <v/>
      </c>
      <c r="S32" s="26">
        <f>IF(in_timing="MID_YEAR",IF(O32=0,IF(Q32=0,0,N32+(R32-N32)*(1+in_rate)^0.5),R32*(1+in_rate)^0.5),R32)</f>
        <v/>
      </c>
    </row>
    <row r="33">
      <c r="A33" s="10">
        <f>B33&amp;"|"&amp;C33</f>
        <v/>
      </c>
      <c r="B33" s="4" t="inlineStr">
        <is>
          <t>17B</t>
        </is>
      </c>
      <c r="C33" s="4" t="inlineStr">
        <is>
          <t>Alternative2</t>
        </is>
      </c>
      <c r="D33" s="4" t="inlineStr">
        <is>
          <t>General maintenance</t>
        </is>
      </c>
      <c r="E33" s="4" t="inlineStr">
        <is>
          <t>FIXED</t>
        </is>
      </c>
      <c r="F33" s="27" t="n">
        <v>10000</v>
      </c>
      <c r="G33" s="10" t="n"/>
      <c r="H33" s="4" t="inlineStr"/>
      <c r="I33" s="10" t="n"/>
      <c r="J33" s="10" t="n"/>
      <c r="K33" s="14" t="n">
        <v>1</v>
      </c>
      <c r="L33" s="14" t="n"/>
      <c r="M33" s="14" t="n"/>
      <c r="N33" s="26">
        <f>IF(E33="FIXED",F33,IF(E33="PERCENT",G33*IFERROR(INDEX(Costs!$D$6:$F$36,MATCH(A33,Costs!$A$6:$A$36,0),MATCH(H33,Costs!$D$5:$F$5,0)),0),I33*J33))</f>
        <v/>
      </c>
      <c r="O33" s="6">
        <f>IF(ISNUMBER(L33),L33,K33)</f>
        <v/>
      </c>
      <c r="P33" s="6">
        <f>IF(ISNUMBER(M33),MIN(M33,in_poa),in_poa)</f>
        <v/>
      </c>
      <c r="Q33" s="6">
        <f>IF(P33&lt;O33,0,INT((P33-O33)/K33)+1)</f>
        <v/>
      </c>
      <c r="R33" s="26">
        <f>IF(Q33=0,0,IF(in_rate=0,N33*Q33,N33*(1+in_rate)^(-O33)*(1-(1+in_rate)^(-K33*Q33))/(1-(1+in_rate)^(-K33))))</f>
        <v/>
      </c>
      <c r="S33" s="26">
        <f>IF(in_timing="MID_YEAR",IF(O33=0,IF(Q33=0,0,N33+(R33-N33)*(1+in_rate)^0.5),R33*(1+in_rate)^0.5),R33)</f>
        <v/>
      </c>
    </row>
    <row r="34">
      <c r="A34" s="10">
        <f>B34&amp;"|"&amp;C34</f>
        <v/>
      </c>
      <c r="B34" s="4" t="inlineStr">
        <is>
          <t>17B</t>
        </is>
      </c>
      <c r="C34" s="4" t="inlineStr">
        <is>
          <t>Alternative2</t>
        </is>
      </c>
      <c r="D34" s="4" t="inlineStr">
        <is>
          <t>Inspection and trash removal</t>
        </is>
      </c>
      <c r="E34" s="4" t="inlineStr">
        <is>
          <t>RATE</t>
        </is>
      </c>
      <c r="F34" s="10" t="n"/>
      <c r="G34" s="10" t="n"/>
      <c r="H34" s="4" t="inlineStr"/>
      <c r="I34" s="27" t="n">
        <v>4</v>
      </c>
      <c r="J34" s="28" t="n">
        <v>6461.98608</v>
      </c>
      <c r="K34" s="14" t="n">
        <v>2</v>
      </c>
      <c r="L34" s="14" t="n"/>
      <c r="M34" s="14" t="n"/>
      <c r="N34" s="26">
        <f>IF(E34="FIXED",F34,IF(E34="PERCENT",G34*IFERROR(INDEX(Costs!$D$6:$F$36,MATCH(A34,Costs!$A$6:$A$36,0),MATCH(H34,Costs!$D$5:$F$5,0)),0),I34*J34))</f>
        <v/>
      </c>
      <c r="O34" s="6">
        <f>IF(ISNUMBER(L34),L34,K34)</f>
        <v/>
      </c>
      <c r="P34" s="6">
        <f>IF(ISNUMBER(M34),MIN(M34,in_poa),in_poa)</f>
        <v/>
      </c>
      <c r="Q34" s="6">
        <f>IF(P34&lt;O34,0,INT((P34-O34)/K34)+1)</f>
        <v/>
      </c>
      <c r="R34" s="26">
        <f>IF(Q34=0,0,IF(in_rate=0,N34*Q34,N34*(1+in_rate)^(-O34)*(1-(1+in_rate)^(-K34*Q34))/(1-(1+in_rate)^(-K34))))</f>
        <v/>
      </c>
      <c r="S34" s="26">
        <f>IF(in_timing="MID_YEAR",IF(O34=0,IF(Q34=0,0,N34+(R34-N34)*(1+in_rate)^0.5),R34*(1+in_rate)^0.5),R34)</f>
        <v/>
      </c>
    </row>
    <row r="35">
      <c r="A35" s="10">
        <f>B35&amp;"|"&amp;C35</f>
        <v/>
      </c>
      <c r="B35" s="4" t="inlineStr">
        <is>
          <t>17B</t>
        </is>
      </c>
      <c r="C35" s="4" t="inlineStr">
        <is>
          <t>Alternative2</t>
        </is>
      </c>
      <c r="D35" s="4" t="inlineStr">
        <is>
          <t>Invasive species control</t>
        </is>
      </c>
      <c r="E35" s="4" t="inlineStr">
        <is>
          <t>FIXED</t>
        </is>
      </c>
      <c r="F35" s="27" t="n">
        <v>15000</v>
      </c>
      <c r="G35" s="10" t="n"/>
      <c r="H35" s="4" t="inlineStr"/>
      <c r="I35" s="10" t="n"/>
      <c r="J35" s="10" t="n"/>
      <c r="K35" s="14" t="n">
        <v>10</v>
      </c>
      <c r="L35" s="14" t="n"/>
      <c r="M35" s="14" t="n"/>
      <c r="N35" s="26">
        <f>IF(E35="FIXED",F35,IF(E35="PERCENT",G35*IFERROR(INDEX(Costs!$D$6:$F$36,MATCH(A35,Costs!$A$6:$A$36,0),MATCH(H35,Costs!$D$5:$F$5,0)),0),I35*J35))</f>
        <v/>
      </c>
      <c r="O35" s="6">
        <f>IF(ISNUMBER(L35),L35,K35)</f>
        <v/>
      </c>
      <c r="P35" s="6">
        <f>IF(ISNUMBER(M35),MIN(M35,in_poa),in_poa)</f>
        <v/>
      </c>
      <c r="Q35" s="6">
        <f>IF(P35&lt;O35,0,INT((P35-O35)/K35)+1)</f>
        <v/>
      </c>
      <c r="R35" s="26">
        <f>IF(Q35=0,0,IF(in_rate=0,N35*Q35,N35*(1+in_rate)^(-O35)*(1-(1+in_rate)^(-K35*Q35))/(1-(1+in_rate)^(-K35))))</f>
        <v/>
      </c>
      <c r="S35" s="26">
        <f>IF(in_timing="MID_YEAR",IF(O35=0,IF(Q35=0,0,N35+(R35-N35)*(1+in_rate)^0.5),R35*(1+in_rate)^0.5),R35)</f>
        <v/>
      </c>
    </row>
    <row r="36">
      <c r="A36" s="10">
        <f>B36&amp;"|"&amp;C36</f>
        <v/>
      </c>
      <c r="B36" s="4" t="inlineStr">
        <is>
          <t>17B</t>
        </is>
      </c>
      <c r="C36" s="4" t="inlineStr">
        <is>
          <t>Alternative2</t>
        </is>
      </c>
      <c r="D36" s="4" t="inlineStr">
        <is>
          <t>Wood, rock and earth repair</t>
        </is>
      </c>
      <c r="E36" s="4" t="inlineStr">
        <is>
          <t>PERCENT</t>
        </is>
      </c>
      <c r="F36" s="10" t="n"/>
      <c r="G36" s="29" t="n">
        <v>0.1</v>
      </c>
      <c r="H36" s="4" t="inlineStr">
        <is>
          <t>construction</t>
        </is>
      </c>
      <c r="I36" s="10" t="n"/>
      <c r="J36" s="10" t="n"/>
      <c r="K36" s="14" t="n">
        <v>25</v>
      </c>
      <c r="L36" s="14" t="n"/>
      <c r="M36" s="14" t="n"/>
      <c r="N36" s="26">
        <f>IF(E36="FIXED",F36,IF(E36="PERCENT",G36*IFERROR(INDEX(Costs!$D$6:$F$36,MATCH(A36,Costs!$A$6:$A$36,0),MATCH(H36,Costs!$D$5:$F$5,0)),0),I36*J36))</f>
        <v/>
      </c>
      <c r="O36" s="6">
        <f>IF(ISNUMBER(L36),L36,K36)</f>
        <v/>
      </c>
      <c r="P36" s="6">
        <f>IF(ISNUMBER(M36),MIN(M36,in_poa),in_poa)</f>
        <v/>
      </c>
      <c r="Q36" s="6">
        <f>IF(P36&lt;O36,0,INT((P36-O36)/K36)+1)</f>
        <v/>
      </c>
      <c r="R36" s="26">
        <f>IF(Q36=0,0,IF(in_rate=0,N36*Q36,N36*(1+in_rate)^(-O36)*(1-(1+in_rate)^(-K36*Q36))/(1-(1+in_rate)^(-K36))))</f>
        <v/>
      </c>
      <c r="S36" s="26">
        <f>IF(in_timing="MID_YEAR",IF(O36=0,IF(Q36=0,0,N36+(R36-N36)*(1+in_rate)^0.5),R36*(1+in_rate)^0.5),R36)</f>
        <v/>
      </c>
    </row>
    <row r="37">
      <c r="A37" s="10">
        <f>B37&amp;"|"&amp;C37</f>
        <v/>
      </c>
      <c r="B37" s="4" t="inlineStr">
        <is>
          <t>17B</t>
        </is>
      </c>
      <c r="C37" s="4" t="inlineStr">
        <is>
          <t>Alternative3</t>
        </is>
      </c>
      <c r="D37" s="4" t="inlineStr">
        <is>
          <t>General maintenance</t>
        </is>
      </c>
      <c r="E37" s="4" t="inlineStr">
        <is>
          <t>FIXED</t>
        </is>
      </c>
      <c r="F37" s="27" t="n">
        <v>10000</v>
      </c>
      <c r="G37" s="10" t="n"/>
      <c r="H37" s="4" t="inlineStr"/>
      <c r="I37" s="10" t="n"/>
      <c r="J37" s="10" t="n"/>
      <c r="K37" s="14" t="n">
        <v>1</v>
      </c>
      <c r="L37" s="14" t="n"/>
      <c r="M37" s="14" t="n"/>
      <c r="N37" s="26">
        <f>IF(E37="FIXED",F37,IF(E37="PERCENT",G37*IFERROR(INDEX(Costs!$D$6:$F$36,MATCH(A37,Costs!$A$6:$A$36,0),MATCH(H37,Costs!$D$5:$F$5,0)),0),I37*J37))</f>
        <v/>
      </c>
      <c r="O37" s="6">
        <f>IF(ISNUMBER(L37),L37,K37)</f>
        <v/>
      </c>
      <c r="P37" s="6">
        <f>IF(ISNUMBER(M37),MIN(M37,in_poa),in_poa)</f>
        <v/>
      </c>
      <c r="Q37" s="6">
        <f>IF(P37&lt;O37,0,INT((P37-O37)/K37)+1)</f>
        <v/>
      </c>
      <c r="R37" s="26">
        <f>IF(Q37=0,0,IF(in_rate=0,N37*Q37,N37*(1+in_rate)^(-O37)*(1-(1+in_rate)^(-K37*Q37))/(1-(1+in_rate)^(-K37))))</f>
        <v/>
      </c>
      <c r="S37" s="26">
        <f>IF(in_timing="MID_YEAR",IF(O37=0,IF(Q37=0,0,N37+(R37-N37)*(1+in_rate)^0.5),R37*(1+in_rate)^0.5),R37)</f>
        <v/>
      </c>
    </row>
    <row r="38">
      <c r="A38" s="10">
        <f>B38&amp;"|"&amp;C38</f>
        <v/>
      </c>
      <c r="B38" s="4" t="inlineStr">
        <is>
          <t>17B</t>
        </is>
      </c>
      <c r="C38" s="4" t="inlineStr">
        <is>
          <t>Alternative3</t>
        </is>
      </c>
      <c r="D38" s="4" t="inlineStr">
        <is>
          <t>Inspection and trash removal</t>
        </is>
      </c>
      <c r="E38" s="4" t="inlineStr">
        <is>
          <t>RATE</t>
        </is>
      </c>
      <c r="F38" s="10" t="n"/>
      <c r="G38" s="10" t="n"/>
      <c r="H38" s="4" t="inlineStr"/>
      <c r="I38" s="27" t="n">
        <v>4</v>
      </c>
      <c r="J38" s="28" t="n">
        <v>6461.98608</v>
      </c>
      <c r="K38" s="14" t="n">
        <v>2</v>
      </c>
      <c r="L38" s="14" t="n"/>
      <c r="M38" s="14" t="n"/>
      <c r="N38" s="26">
        <f>IF(E38="FIXED",F38,IF(E38="PERCENT",G38*IFERROR(INDEX(Costs!$D$6:$F$36,MATCH(A38,Costs!$A$6:$A$36,0),MATCH(H38,Costs!$D$5:$F$5,0)),0),I38*J38))</f>
        <v/>
      </c>
      <c r="O38" s="6">
        <f>IF(ISNUMBER(L38),L38,K38)</f>
        <v/>
      </c>
      <c r="P38" s="6">
        <f>IF(ISNUMBER(M38),MIN(M38,in_poa),in_poa)</f>
        <v/>
      </c>
      <c r="Q38" s="6">
        <f>IF(P38&lt;O38,0,INT((P38-O38)/K38)+1)</f>
        <v/>
      </c>
      <c r="R38" s="26">
        <f>IF(Q38=0,0,IF(in_rate=0,N38*Q38,N38*(1+in_rate)^(-O38)*(1-(1+in_rate)^(-K38*Q38))/(1-(1+in_rate)^(-K38))))</f>
        <v/>
      </c>
      <c r="S38" s="26">
        <f>IF(in_timing="MID_YEAR",IF(O38=0,IF(Q38=0,0,N38+(R38-N38)*(1+in_rate)^0.5),R38*(1+in_rate)^0.5),R38)</f>
        <v/>
      </c>
    </row>
    <row r="39">
      <c r="A39" s="10">
        <f>B39&amp;"|"&amp;C39</f>
        <v/>
      </c>
      <c r="B39" s="4" t="inlineStr">
        <is>
          <t>17B</t>
        </is>
      </c>
      <c r="C39" s="4" t="inlineStr">
        <is>
          <t>Alternative3</t>
        </is>
      </c>
      <c r="D39" s="4" t="inlineStr">
        <is>
          <t>Invasive species control</t>
        </is>
      </c>
      <c r="E39" s="4" t="inlineStr">
        <is>
          <t>FIXED</t>
        </is>
      </c>
      <c r="F39" s="27" t="n">
        <v>15000</v>
      </c>
      <c r="G39" s="10" t="n"/>
      <c r="H39" s="4" t="inlineStr"/>
      <c r="I39" s="10" t="n"/>
      <c r="J39" s="10" t="n"/>
      <c r="K39" s="14" t="n">
        <v>10</v>
      </c>
      <c r="L39" s="14" t="n"/>
      <c r="M39" s="14" t="n"/>
      <c r="N39" s="26">
        <f>IF(E39="FIXED",F39,IF(E39="PERCENT",G39*IFERROR(INDEX(Costs!$D$6:$F$36,MATCH(A39,Costs!$A$6:$A$36,0),MATCH(H39,Costs!$D$5:$F$5,0)),0),I39*J39))</f>
        <v/>
      </c>
      <c r="O39" s="6">
        <f>IF(ISNUMBER(L39),L39,K39)</f>
        <v/>
      </c>
      <c r="P39" s="6">
        <f>IF(ISNUMBER(M39),MIN(M39,in_poa),in_poa)</f>
        <v/>
      </c>
      <c r="Q39" s="6">
        <f>IF(P39&lt;O39,0,INT((P39-O39)/K39)+1)</f>
        <v/>
      </c>
      <c r="R39" s="26">
        <f>IF(Q39=0,0,IF(in_rate=0,N39*Q39,N39*(1+in_rate)^(-O39)*(1-(1+in_rate)^(-K39*Q39))/(1-(1+in_rate)^(-K39))))</f>
        <v/>
      </c>
      <c r="S39" s="26">
        <f>IF(in_timing="MID_YEAR",IF(O39=0,IF(Q39=0,0,N39+(R39-N39)*(1+in_rate)^0.5),R39*(1+in_rate)^0.5),R39)</f>
        <v/>
      </c>
    </row>
    <row r="40">
      <c r="A40" s="10">
        <f>B40&amp;"|"&amp;C40</f>
        <v/>
      </c>
      <c r="B40" s="4" t="inlineStr">
        <is>
          <t>17B</t>
        </is>
      </c>
      <c r="C40" s="4" t="inlineStr">
        <is>
          <t>Alternative3</t>
        </is>
      </c>
      <c r="D40" s="4" t="inlineStr">
        <is>
          <t>Wood, rock and earth repair</t>
        </is>
      </c>
      <c r="E40" s="4" t="inlineStr">
        <is>
          <t>PERCENT</t>
        </is>
      </c>
      <c r="F40" s="10" t="n"/>
      <c r="G40" s="29" t="n">
        <v>0.1</v>
      </c>
      <c r="H40" s="4" t="inlineStr">
        <is>
          <t>construction</t>
        </is>
      </c>
      <c r="I40" s="10" t="n"/>
      <c r="J40" s="10" t="n"/>
      <c r="K40" s="14" t="n">
        <v>25</v>
      </c>
      <c r="L40" s="14" t="n"/>
      <c r="M40" s="14" t="n"/>
      <c r="N40" s="26">
        <f>IF(E40="FIXED",F40,IF(E40="PERCENT",G40*IFERROR(INDEX(Costs!$D$6:$F$36,MATCH(A40,Costs!$A$6:$A$36,0),MATCH(H40,Costs!$D$5:$F$5,0)),0),I40*J40))</f>
        <v/>
      </c>
      <c r="O40" s="6">
        <f>IF(ISNUMBER(L40),L40,K40)</f>
        <v/>
      </c>
      <c r="P40" s="6">
        <f>IF(ISNUMBER(M40),MIN(M40,in_poa),in_poa)</f>
        <v/>
      </c>
      <c r="Q40" s="6">
        <f>IF(P40&lt;O40,0,INT((P40-O40)/K40)+1)</f>
        <v/>
      </c>
      <c r="R40" s="26">
        <f>IF(Q40=0,0,IF(in_rate=0,N40*Q40,N40*(1+in_rate)^(-O40)*(1-(1+in_rate)^(-K40*Q40))/(1-(1+in_rate)^(-K40))))</f>
        <v/>
      </c>
      <c r="S40" s="26">
        <f>IF(in_timing="MID_YEAR",IF(O40=0,IF(Q40=0,0,N40+(R40-N40)*(1+in_rate)^0.5),R40*(1+in_rate)^0.5),R40)</f>
        <v/>
      </c>
    </row>
    <row r="41">
      <c r="A41" s="10">
        <f>B41&amp;"|"&amp;C41</f>
        <v/>
      </c>
      <c r="B41" s="4" t="inlineStr">
        <is>
          <t>2A</t>
        </is>
      </c>
      <c r="C41" s="4" t="inlineStr">
        <is>
          <t>Alternative1</t>
        </is>
      </c>
      <c r="D41" s="4" t="inlineStr">
        <is>
          <t>General maintenance</t>
        </is>
      </c>
      <c r="E41" s="4" t="inlineStr">
        <is>
          <t>FIXED</t>
        </is>
      </c>
      <c r="F41" s="27" t="n">
        <v>10000</v>
      </c>
      <c r="G41" s="10" t="n"/>
      <c r="H41" s="4" t="inlineStr"/>
      <c r="I41" s="10" t="n"/>
      <c r="J41" s="10" t="n"/>
      <c r="K41" s="14" t="n">
        <v>1</v>
      </c>
      <c r="L41" s="14" t="n"/>
      <c r="M41" s="14" t="n"/>
      <c r="N41" s="26">
        <f>IF(E41="FIXED",F41,IF(E41="PERCENT",G41*IFERROR(INDEX(Costs!$D$6:$F$36,MATCH(A41,Costs!$A$6:$A$36,0),MATCH(H41,Costs!$D$5:$F$5,0)),0),I41*J41))</f>
        <v/>
      </c>
      <c r="O41" s="6">
        <f>IF(ISNUMBER(L41),L41,K41)</f>
        <v/>
      </c>
      <c r="P41" s="6">
        <f>IF(ISNUMBER(M41),MIN(M41,in_poa),in_poa)</f>
        <v/>
      </c>
      <c r="Q41" s="6">
        <f>IF(P41&lt;O41,0,INT((P41-O41)/K41)+1)</f>
        <v/>
      </c>
      <c r="R41" s="26">
        <f>IF(Q41=0,0,IF(in_rate=0,N41*Q41,N41*(1+in_rate)^(-O41)*(1-(1+in_rate)^(-K41*Q41))/(1-(1+in_rate)^(-K41))))</f>
        <v/>
      </c>
      <c r="S41" s="26">
        <f>IF(in_timing="MID_YEAR",IF(O41=0,IF(Q41=0,0,N41+(R41-N41)*(1+in_rate)^0.5),R41*(1+in_rate)^0.5),R41)</f>
        <v/>
      </c>
    </row>
    <row r="42">
      <c r="A42" s="10">
        <f>B42&amp;"|"&amp;C42</f>
        <v/>
      </c>
      <c r="B42" s="4" t="inlineStr">
        <is>
          <t>2A</t>
        </is>
      </c>
      <c r="C42" s="4" t="inlineStr">
        <is>
          <t>Alternative1</t>
        </is>
      </c>
      <c r="D42" s="4" t="inlineStr">
        <is>
          <t>Inspection and trash removal</t>
        </is>
      </c>
      <c r="E42" s="4" t="inlineStr">
        <is>
          <t>RATE</t>
        </is>
      </c>
      <c r="F42" s="10" t="n"/>
      <c r="G42" s="10" t="n"/>
      <c r="H42" s="4" t="inlineStr"/>
      <c r="I42" s="27" t="n">
        <v>4</v>
      </c>
      <c r="J42" s="28" t="n">
        <v>3889</v>
      </c>
      <c r="K42" s="14" t="n">
        <v>2</v>
      </c>
      <c r="L42" s="14" t="n"/>
      <c r="M42" s="14" t="n"/>
      <c r="N42" s="26">
        <f>IF(E42="FIXED",F42,IF(E42="PERCENT",G42*IFERROR(INDEX(Costs!$D$6:$F$36,MATCH(A42,Costs!$A$6:$A$36,0),MATCH(H42,Costs!$D$5:$F$5,0)),0),I42*J42))</f>
        <v/>
      </c>
      <c r="O42" s="6">
        <f>IF(ISNUMBER(L42),L42,K42)</f>
        <v/>
      </c>
      <c r="P42" s="6">
        <f>IF(ISNUMBER(M42),MIN(M42,in_poa),in_poa)</f>
        <v/>
      </c>
      <c r="Q42" s="6">
        <f>IF(P42&lt;O42,0,INT((P42-O42)/K42)+1)</f>
        <v/>
      </c>
      <c r="R42" s="26">
        <f>IF(Q42=0,0,IF(in_rate=0,N42*Q42,N42*(1+in_rate)^(-O42)*(1-(1+in_rate)^(-K42*Q42))/(1-(1+in_rate)^(-K42))))</f>
        <v/>
      </c>
      <c r="S42" s="26">
        <f>IF(in_timing="MID_YEAR",IF(O42=0,IF(Q42=0,0,N42+(R42-N42)*(1+in_rate)^0.5),R42*(1+in_rate)^0.5),R42)</f>
        <v/>
      </c>
    </row>
    <row r="43">
      <c r="A43" s="10">
        <f>B43&amp;"|"&amp;C43</f>
        <v/>
      </c>
      <c r="B43" s="4" t="inlineStr">
        <is>
          <t>2A</t>
        </is>
      </c>
      <c r="C43" s="4" t="inlineStr">
        <is>
          <t>Alternative1</t>
        </is>
      </c>
      <c r="D43" s="4" t="inlineStr">
        <is>
          <t>Invasive species control</t>
        </is>
      </c>
      <c r="E43" s="4" t="inlineStr">
        <is>
          <t>FIXED</t>
        </is>
      </c>
      <c r="F43" s="27" t="n">
        <v>15000</v>
      </c>
      <c r="G43" s="10" t="n"/>
      <c r="H43" s="4" t="inlineStr"/>
      <c r="I43" s="10" t="n"/>
      <c r="J43" s="10" t="n"/>
      <c r="K43" s="14" t="n">
        <v>10</v>
      </c>
      <c r="L43" s="14" t="n"/>
      <c r="M43" s="14" t="n"/>
      <c r="N43" s="26">
        <f>IF(E43="FIXED",F43,IF(E43="PERCENT",G43*IFERROR(INDEX(Costs!$D$6:$F$36,MATCH(A43,Costs!$A$6:$A$36,0),MATCH(H43,Costs!$D$5:$F$5,0)),0),I43*J43))</f>
        <v/>
      </c>
      <c r="O43" s="6">
        <f>IF(ISNUMBER(L43),L43,K43)</f>
        <v/>
      </c>
      <c r="P43" s="6">
        <f>IF(ISNUMBER(M43),MIN(M43,in_poa),in_poa)</f>
        <v/>
      </c>
      <c r="Q43" s="6">
        <f>IF(P43&lt;O43,0,INT((P43-O43)/K43)+1)</f>
        <v/>
      </c>
      <c r="R43" s="26">
        <f>IF(Q43=0,0,IF(in_rate=0,N43*Q43,N43*(1+in_rate)^(-O43)*(1-(1+in_rate)^(-K43*Q43))/(1-(1+in_rate)^(-K43))))</f>
        <v/>
      </c>
      <c r="S43" s="26">
        <f>IF(in_timing="MID_YEAR",IF(O43=0,IF(Q43=0,0,N43+(R43-N43)*(1+in_rate)^0.5),R43*(1+in_rate)^0.5),R43)</f>
        <v/>
      </c>
    </row>
    <row r="44">
      <c r="A44" s="10">
        <f>B44&amp;"|"&amp;C44</f>
        <v/>
      </c>
      <c r="B44" s="4" t="inlineStr">
        <is>
          <t>2A</t>
        </is>
      </c>
      <c r="C44" s="4" t="inlineStr">
        <is>
          <t>Alternative1</t>
        </is>
      </c>
      <c r="D44" s="4" t="inlineStr">
        <is>
          <t>Wood, rock and earth repair</t>
        </is>
      </c>
      <c r="E44" s="4" t="inlineStr">
        <is>
          <t>PERCENT</t>
        </is>
      </c>
      <c r="F44" s="10" t="n"/>
      <c r="G44" s="29" t="n">
        <v>0.1</v>
      </c>
      <c r="H44" s="4" t="inlineStr">
        <is>
          <t>construction</t>
        </is>
      </c>
      <c r="I44" s="10" t="n"/>
      <c r="J44" s="10" t="n"/>
      <c r="K44" s="14" t="n">
        <v>25</v>
      </c>
      <c r="L44" s="14" t="n"/>
      <c r="M44" s="14" t="n"/>
      <c r="N44" s="26">
        <f>IF(E44="FIXED",F44,IF(E44="PERCENT",G44*IFERROR(INDEX(Costs!$D$6:$F$36,MATCH(A44,Costs!$A$6:$A$36,0),MATCH(H44,Costs!$D$5:$F$5,0)),0),I44*J44))</f>
        <v/>
      </c>
      <c r="O44" s="6">
        <f>IF(ISNUMBER(L44),L44,K44)</f>
        <v/>
      </c>
      <c r="P44" s="6">
        <f>IF(ISNUMBER(M44),MIN(M44,in_poa),in_poa)</f>
        <v/>
      </c>
      <c r="Q44" s="6">
        <f>IF(P44&lt;O44,0,INT((P44-O44)/K44)+1)</f>
        <v/>
      </c>
      <c r="R44" s="26">
        <f>IF(Q44=0,0,IF(in_rate=0,N44*Q44,N44*(1+in_rate)^(-O44)*(1-(1+in_rate)^(-K44*Q44))/(1-(1+in_rate)^(-K44))))</f>
        <v/>
      </c>
      <c r="S44" s="26">
        <f>IF(in_timing="MID_YEAR",IF(O44=0,IF(Q44=0,0,N44+(R44-N44)*(1+in_rate)^0.5),R44*(1+in_rate)^0.5),R44)</f>
        <v/>
      </c>
    </row>
    <row r="45">
      <c r="A45" s="10">
        <f>B45&amp;"|"&amp;C45</f>
        <v/>
      </c>
      <c r="B45" s="4" t="inlineStr">
        <is>
          <t>2A</t>
        </is>
      </c>
      <c r="C45" s="4" t="inlineStr">
        <is>
          <t>Alternative2</t>
        </is>
      </c>
      <c r="D45" s="4" t="inlineStr">
        <is>
          <t>General maintenance</t>
        </is>
      </c>
      <c r="E45" s="4" t="inlineStr">
        <is>
          <t>FIXED</t>
        </is>
      </c>
      <c r="F45" s="27" t="n">
        <v>10000</v>
      </c>
      <c r="G45" s="10" t="n"/>
      <c r="H45" s="4" t="inlineStr"/>
      <c r="I45" s="10" t="n"/>
      <c r="J45" s="10" t="n"/>
      <c r="K45" s="14" t="n">
        <v>1</v>
      </c>
      <c r="L45" s="14" t="n"/>
      <c r="M45" s="14" t="n"/>
      <c r="N45" s="26">
        <f>IF(E45="FIXED",F45,IF(E45="PERCENT",G45*IFERROR(INDEX(Costs!$D$6:$F$36,MATCH(A45,Costs!$A$6:$A$36,0),MATCH(H45,Costs!$D$5:$F$5,0)),0),I45*J45))</f>
        <v/>
      </c>
      <c r="O45" s="6">
        <f>IF(ISNUMBER(L45),L45,K45)</f>
        <v/>
      </c>
      <c r="P45" s="6">
        <f>IF(ISNUMBER(M45),MIN(M45,in_poa),in_poa)</f>
        <v/>
      </c>
      <c r="Q45" s="6">
        <f>IF(P45&lt;O45,0,INT((P45-O45)/K45)+1)</f>
        <v/>
      </c>
      <c r="R45" s="26">
        <f>IF(Q45=0,0,IF(in_rate=0,N45*Q45,N45*(1+in_rate)^(-O45)*(1-(1+in_rate)^(-K45*Q45))/(1-(1+in_rate)^(-K45))))</f>
        <v/>
      </c>
      <c r="S45" s="26">
        <f>IF(in_timing="MID_YEAR",IF(O45=0,IF(Q45=0,0,N45+(R45-N45)*(1+in_rate)^0.5),R45*(1+in_rate)^0.5),R45)</f>
        <v/>
      </c>
    </row>
    <row r="46">
      <c r="A46" s="10">
        <f>B46&amp;"|"&amp;C46</f>
        <v/>
      </c>
      <c r="B46" s="4" t="inlineStr">
        <is>
          <t>2A</t>
        </is>
      </c>
      <c r="C46" s="4" t="inlineStr">
        <is>
          <t>Alternative2</t>
        </is>
      </c>
      <c r="D46" s="4" t="inlineStr">
        <is>
          <t>Inspection and trash removal</t>
        </is>
      </c>
      <c r="E46" s="4" t="inlineStr">
        <is>
          <t>RATE</t>
        </is>
      </c>
      <c r="F46" s="10" t="n"/>
      <c r="G46" s="10" t="n"/>
      <c r="H46" s="4" t="inlineStr"/>
      <c r="I46" s="27" t="n">
        <v>4</v>
      </c>
      <c r="J46" s="28" t="n">
        <v>3739.6656</v>
      </c>
      <c r="K46" s="14" t="n">
        <v>2</v>
      </c>
      <c r="L46" s="14" t="n"/>
      <c r="M46" s="14" t="n"/>
      <c r="N46" s="26">
        <f>IF(E46="FIXED",F46,IF(E46="PERCENT",G46*IFERROR(INDEX(Costs!$D$6:$F$36,MATCH(A46,Costs!$A$6:$A$36,0),MATCH(H46,Costs!$D$5:$F$5,0)),0),I46*J46))</f>
        <v/>
      </c>
      <c r="O46" s="6">
        <f>IF(ISNUMBER(L46),L46,K46)</f>
        <v/>
      </c>
      <c r="P46" s="6">
        <f>IF(ISNUMBER(M46),MIN(M46,in_poa),in_poa)</f>
        <v/>
      </c>
      <c r="Q46" s="6">
        <f>IF(P46&lt;O46,0,INT((P46-O46)/K46)+1)</f>
        <v/>
      </c>
      <c r="R46" s="26">
        <f>IF(Q46=0,0,IF(in_rate=0,N46*Q46,N46*(1+in_rate)^(-O46)*(1-(1+in_rate)^(-K46*Q46))/(1-(1+in_rate)^(-K46))))</f>
        <v/>
      </c>
      <c r="S46" s="26">
        <f>IF(in_timing="MID_YEAR",IF(O46=0,IF(Q46=0,0,N46+(R46-N46)*(1+in_rate)^0.5),R46*(1+in_rate)^0.5),R46)</f>
        <v/>
      </c>
    </row>
    <row r="47">
      <c r="A47" s="10">
        <f>B47&amp;"|"&amp;C47</f>
        <v/>
      </c>
      <c r="B47" s="4" t="inlineStr">
        <is>
          <t>2A</t>
        </is>
      </c>
      <c r="C47" s="4" t="inlineStr">
        <is>
          <t>Alternative2</t>
        </is>
      </c>
      <c r="D47" s="4" t="inlineStr">
        <is>
          <t>Invasive species control</t>
        </is>
      </c>
      <c r="E47" s="4" t="inlineStr">
        <is>
          <t>FIXED</t>
        </is>
      </c>
      <c r="F47" s="27" t="n">
        <v>15000</v>
      </c>
      <c r="G47" s="10" t="n"/>
      <c r="H47" s="4" t="inlineStr"/>
      <c r="I47" s="10" t="n"/>
      <c r="J47" s="10" t="n"/>
      <c r="K47" s="14" t="n">
        <v>10</v>
      </c>
      <c r="L47" s="14" t="n"/>
      <c r="M47" s="14" t="n"/>
      <c r="N47" s="26">
        <f>IF(E47="FIXED",F47,IF(E47="PERCENT",G47*IFERROR(INDEX(Costs!$D$6:$F$36,MATCH(A47,Costs!$A$6:$A$36,0),MATCH(H47,Costs!$D$5:$F$5,0)),0),I47*J47))</f>
        <v/>
      </c>
      <c r="O47" s="6">
        <f>IF(ISNUMBER(L47),L47,K47)</f>
        <v/>
      </c>
      <c r="P47" s="6">
        <f>IF(ISNUMBER(M47),MIN(M47,in_poa),in_poa)</f>
        <v/>
      </c>
      <c r="Q47" s="6">
        <f>IF(P47&lt;O47,0,INT((P47-O47)/K47)+1)</f>
        <v/>
      </c>
      <c r="R47" s="26">
        <f>IF(Q47=0,0,IF(in_rate=0,N47*Q47,N47*(1+in_rate)^(-O47)*(1-(1+in_rate)^(-K47*Q47))/(1-(1+in_rate)^(-K47))))</f>
        <v/>
      </c>
      <c r="S47" s="26">
        <f>IF(in_timing="MID_YEAR",IF(O47=0,IF(Q47=0,0,N47+(R47-N47)*(1+in_rate)^0.5),R47*(1+in_rate)^0.5),R47)</f>
        <v/>
      </c>
    </row>
    <row r="48">
      <c r="A48" s="10">
        <f>B48&amp;"|"&amp;C48</f>
        <v/>
      </c>
      <c r="B48" s="4" t="inlineStr">
        <is>
          <t>2A</t>
        </is>
      </c>
      <c r="C48" s="4" t="inlineStr">
        <is>
          <t>Alternative2</t>
        </is>
      </c>
      <c r="D48" s="4" t="inlineStr">
        <is>
          <t>Wood, rock and earth repair</t>
        </is>
      </c>
      <c r="E48" s="4" t="inlineStr">
        <is>
          <t>PERCENT</t>
        </is>
      </c>
      <c r="F48" s="10" t="n"/>
      <c r="G48" s="29" t="n">
        <v>0.1</v>
      </c>
      <c r="H48" s="4" t="inlineStr">
        <is>
          <t>construction</t>
        </is>
      </c>
      <c r="I48" s="10" t="n"/>
      <c r="J48" s="10" t="n"/>
      <c r="K48" s="14" t="n">
        <v>25</v>
      </c>
      <c r="L48" s="14" t="n"/>
      <c r="M48" s="14" t="n"/>
      <c r="N48" s="26">
        <f>IF(E48="FIXED",F48,IF(E48="PERCENT",G48*IFERROR(INDEX(Costs!$D$6:$F$36,MATCH(A48,Costs!$A$6:$A$36,0),MATCH(H48,Costs!$D$5:$F$5,0)),0),I48*J48))</f>
        <v/>
      </c>
      <c r="O48" s="6">
        <f>IF(ISNUMBER(L48),L48,K48)</f>
        <v/>
      </c>
      <c r="P48" s="6">
        <f>IF(ISNUMBER(M48),MIN(M48,in_poa),in_poa)</f>
        <v/>
      </c>
      <c r="Q48" s="6">
        <f>IF(P48&lt;O48,0,INT((P48-O48)/K48)+1)</f>
        <v/>
      </c>
      <c r="R48" s="26">
        <f>IF(Q48=0,0,IF(in_rate=0,N48*Q48,N48*(1+in_rate)^(-O48)*(1-(1+in_rate)^(-K48*Q48))/(1-(1+in_rate)^(-K48))))</f>
        <v/>
      </c>
      <c r="S48" s="26">
        <f>IF(in_timing="MID_YEAR",IF(O48=0,IF(Q48=0,0,N48+(R48-N48)*(1+in_rate)^0.5),R48*(1+in_rate)^0.5),R48)</f>
        <v/>
      </c>
    </row>
    <row r="49">
      <c r="A49" s="10">
        <f>B49&amp;"|"&amp;C49</f>
        <v/>
      </c>
      <c r="B49" s="4" t="inlineStr">
        <is>
          <t>2A</t>
        </is>
      </c>
      <c r="C49" s="4" t="inlineStr">
        <is>
          <t>Alternative3</t>
        </is>
      </c>
      <c r="D49" s="4" t="inlineStr">
        <is>
          <t>General maintenance</t>
        </is>
      </c>
      <c r="E49" s="4" t="inlineStr">
        <is>
          <t>FIXED</t>
        </is>
      </c>
      <c r="F49" s="27" t="n">
        <v>10000</v>
      </c>
      <c r="G49" s="10" t="n"/>
      <c r="H49" s="4" t="inlineStr"/>
      <c r="I49" s="10" t="n"/>
      <c r="J49" s="10" t="n"/>
      <c r="K49" s="14" t="n">
        <v>1</v>
      </c>
      <c r="L49" s="14" t="n"/>
      <c r="M49" s="14" t="n"/>
      <c r="N49" s="26">
        <f>IF(E49="FIXED",F49,IF(E49="PERCENT",G49*IFERROR(INDEX(Costs!$D$6:$F$36,MATCH(A49,Costs!$A$6:$A$36,0),MATCH(H49,Costs!$D$5:$F$5,0)),0),I49*J49))</f>
        <v/>
      </c>
      <c r="O49" s="6">
        <f>IF(ISNUMBER(L49),L49,K49)</f>
        <v/>
      </c>
      <c r="P49" s="6">
        <f>IF(ISNUMBER(M49),MIN(M49,in_poa),in_poa)</f>
        <v/>
      </c>
      <c r="Q49" s="6">
        <f>IF(P49&lt;O49,0,INT((P49-O49)/K49)+1)</f>
        <v/>
      </c>
      <c r="R49" s="26">
        <f>IF(Q49=0,0,IF(in_rate=0,N49*Q49,N49*(1+in_rate)^(-O49)*(1-(1+in_rate)^(-K49*Q49))/(1-(1+in_rate)^(-K49))))</f>
        <v/>
      </c>
      <c r="S49" s="26">
        <f>IF(in_timing="MID_YEAR",IF(O49=0,IF(Q49=0,0,N49+(R49-N49)*(1+in_rate)^0.5),R49*(1+in_rate)^0.5),R49)</f>
        <v/>
      </c>
    </row>
    <row r="50">
      <c r="A50" s="10">
        <f>B50&amp;"|"&amp;C50</f>
        <v/>
      </c>
      <c r="B50" s="4" t="inlineStr">
        <is>
          <t>2A</t>
        </is>
      </c>
      <c r="C50" s="4" t="inlineStr">
        <is>
          <t>Alternative3</t>
        </is>
      </c>
      <c r="D50" s="4" t="inlineStr">
        <is>
          <t>Inspection and trash removal</t>
        </is>
      </c>
      <c r="E50" s="4" t="inlineStr">
        <is>
          <t>RATE</t>
        </is>
      </c>
      <c r="F50" s="10" t="n"/>
      <c r="G50" s="10" t="n"/>
      <c r="H50" s="4" t="inlineStr"/>
      <c r="I50" s="27" t="n">
        <v>4</v>
      </c>
      <c r="J50" s="28" t="n">
        <v>3739.6656</v>
      </c>
      <c r="K50" s="14" t="n">
        <v>2</v>
      </c>
      <c r="L50" s="14" t="n"/>
      <c r="M50" s="14" t="n"/>
      <c r="N50" s="26">
        <f>IF(E50="FIXED",F50,IF(E50="PERCENT",G50*IFERROR(INDEX(Costs!$D$6:$F$36,MATCH(A50,Costs!$A$6:$A$36,0),MATCH(H50,Costs!$D$5:$F$5,0)),0),I50*J50))</f>
        <v/>
      </c>
      <c r="O50" s="6">
        <f>IF(ISNUMBER(L50),L50,K50)</f>
        <v/>
      </c>
      <c r="P50" s="6">
        <f>IF(ISNUMBER(M50),MIN(M50,in_poa),in_poa)</f>
        <v/>
      </c>
      <c r="Q50" s="6">
        <f>IF(P50&lt;O50,0,INT((P50-O50)/K50)+1)</f>
        <v/>
      </c>
      <c r="R50" s="26">
        <f>IF(Q50=0,0,IF(in_rate=0,N50*Q50,N50*(1+in_rate)^(-O50)*(1-(1+in_rate)^(-K50*Q50))/(1-(1+in_rate)^(-K50))))</f>
        <v/>
      </c>
      <c r="S50" s="26">
        <f>IF(in_timing="MID_YEAR",IF(O50=0,IF(Q50=0,0,N50+(R50-N50)*(1+in_rate)^0.5),R50*(1+in_rate)^0.5),R50)</f>
        <v/>
      </c>
    </row>
    <row r="51">
      <c r="A51" s="10">
        <f>B51&amp;"|"&amp;C51</f>
        <v/>
      </c>
      <c r="B51" s="4" t="inlineStr">
        <is>
          <t>2A</t>
        </is>
      </c>
      <c r="C51" s="4" t="inlineStr">
        <is>
          <t>Alternative3</t>
        </is>
      </c>
      <c r="D51" s="4" t="inlineStr">
        <is>
          <t>Invasive species control</t>
        </is>
      </c>
      <c r="E51" s="4" t="inlineStr">
        <is>
          <t>FIXED</t>
        </is>
      </c>
      <c r="F51" s="27" t="n">
        <v>15000</v>
      </c>
      <c r="G51" s="10" t="n"/>
      <c r="H51" s="4" t="inlineStr"/>
      <c r="I51" s="10" t="n"/>
      <c r="J51" s="10" t="n"/>
      <c r="K51" s="14" t="n">
        <v>10</v>
      </c>
      <c r="L51" s="14" t="n"/>
      <c r="M51" s="14" t="n"/>
      <c r="N51" s="26">
        <f>IF(E51="FIXED",F51,IF(E51="PERCENT",G51*IFERROR(INDEX(Costs!$D$6:$F$36,MATCH(A51,Costs!$A$6:$A$36,0),MATCH(H51,Costs!$D$5:$F$5,0)),0),I51*J51))</f>
        <v/>
      </c>
      <c r="O51" s="6">
        <f>IF(ISNUMBER(L51),L51,K51)</f>
        <v/>
      </c>
      <c r="P51" s="6">
        <f>IF(ISNUMBER(M51),MIN(M51,in_poa),in_poa)</f>
        <v/>
      </c>
      <c r="Q51" s="6">
        <f>IF(P51&lt;O51,0,INT((P51-O51)/K51)+1)</f>
        <v/>
      </c>
      <c r="R51" s="26">
        <f>IF(Q51=0,0,IF(in_rate=0,N51*Q51,N51*(1+in_rate)^(-O51)*(1-(1+in_rate)^(-K51*Q51))/(1-(1+in_rate)^(-K51))))</f>
        <v/>
      </c>
      <c r="S51" s="26">
        <f>IF(in_timing="MID_YEAR",IF(O51=0,IF(Q51=0,0,N51+(R51-N51)*(1+in_rate)^0.5),R51*(1+in_rate)^0.5),R51)</f>
        <v/>
      </c>
    </row>
    <row r="52">
      <c r="A52" s="10">
        <f>B52&amp;"|"&amp;C52</f>
        <v/>
      </c>
      <c r="B52" s="4" t="inlineStr">
        <is>
          <t>2A</t>
        </is>
      </c>
      <c r="C52" s="4" t="inlineStr">
        <is>
          <t>Alternative3</t>
        </is>
      </c>
      <c r="D52" s="4" t="inlineStr">
        <is>
          <t>Wood, rock and earth repair</t>
        </is>
      </c>
      <c r="E52" s="4" t="inlineStr">
        <is>
          <t>PERCENT</t>
        </is>
      </c>
      <c r="F52" s="10" t="n"/>
      <c r="G52" s="29" t="n">
        <v>0.1</v>
      </c>
      <c r="H52" s="4" t="inlineStr">
        <is>
          <t>construction</t>
        </is>
      </c>
      <c r="I52" s="10" t="n"/>
      <c r="J52" s="10" t="n"/>
      <c r="K52" s="14" t="n">
        <v>25</v>
      </c>
      <c r="L52" s="14" t="n"/>
      <c r="M52" s="14" t="n"/>
      <c r="N52" s="26">
        <f>IF(E52="FIXED",F52,IF(E52="PERCENT",G52*IFERROR(INDEX(Costs!$D$6:$F$36,MATCH(A52,Costs!$A$6:$A$36,0),MATCH(H52,Costs!$D$5:$F$5,0)),0),I52*J52))</f>
        <v/>
      </c>
      <c r="O52" s="6">
        <f>IF(ISNUMBER(L52),L52,K52)</f>
        <v/>
      </c>
      <c r="P52" s="6">
        <f>IF(ISNUMBER(M52),MIN(M52,in_poa),in_poa)</f>
        <v/>
      </c>
      <c r="Q52" s="6">
        <f>IF(P52&lt;O52,0,INT((P52-O52)/K52)+1)</f>
        <v/>
      </c>
      <c r="R52" s="26">
        <f>IF(Q52=0,0,IF(in_rate=0,N52*Q52,N52*(1+in_rate)^(-O52)*(1-(1+in_rate)^(-K52*Q52))/(1-(1+in_rate)^(-K52))))</f>
        <v/>
      </c>
      <c r="S52" s="26">
        <f>IF(in_timing="MID_YEAR",IF(O52=0,IF(Q52=0,0,N52+(R52-N52)*(1+in_rate)^0.5),R52*(1+in_rate)^0.5),R52)</f>
        <v/>
      </c>
    </row>
    <row r="53">
      <c r="A53" s="10">
        <f>B53&amp;"|"&amp;C53</f>
        <v/>
      </c>
      <c r="B53" s="4" t="inlineStr">
        <is>
          <t>2B</t>
        </is>
      </c>
      <c r="C53" s="4" t="inlineStr">
        <is>
          <t>Alternative1</t>
        </is>
      </c>
      <c r="D53" s="4" t="inlineStr">
        <is>
          <t>General maintenance</t>
        </is>
      </c>
      <c r="E53" s="4" t="inlineStr">
        <is>
          <t>FIXED</t>
        </is>
      </c>
      <c r="F53" s="27" t="n">
        <v>10000</v>
      </c>
      <c r="G53" s="10" t="n"/>
      <c r="H53" s="4" t="inlineStr"/>
      <c r="I53" s="10" t="n"/>
      <c r="J53" s="10" t="n"/>
      <c r="K53" s="14" t="n">
        <v>1</v>
      </c>
      <c r="L53" s="14" t="n"/>
      <c r="M53" s="14" t="n"/>
      <c r="N53" s="26">
        <f>IF(E53="FIXED",F53,IF(E53="PERCENT",G53*IFERROR(INDEX(Costs!$D$6:$F$36,MATCH(A53,Costs!$A$6:$A$36,0),MATCH(H53,Costs!$D$5:$F$5,0)),0),I53*J53))</f>
        <v/>
      </c>
      <c r="O53" s="6">
        <f>IF(ISNUMBER(L53),L53,K53)</f>
        <v/>
      </c>
      <c r="P53" s="6">
        <f>IF(ISNUMBER(M53),MIN(M53,in_poa),in_poa)</f>
        <v/>
      </c>
      <c r="Q53" s="6">
        <f>IF(P53&lt;O53,0,INT((P53-O53)/K53)+1)</f>
        <v/>
      </c>
      <c r="R53" s="26">
        <f>IF(Q53=0,0,IF(in_rate=0,N53*Q53,N53*(1+in_rate)^(-O53)*(1-(1+in_rate)^(-K53*Q53))/(1-(1+in_rate)^(-K53))))</f>
        <v/>
      </c>
      <c r="S53" s="26">
        <f>IF(in_timing="MID_YEAR",IF(O53=0,IF(Q53=0,0,N53+(R53-N53)*(1+in_rate)^0.5),R53*(1+in_rate)^0.5),R53)</f>
        <v/>
      </c>
    </row>
    <row r="54">
      <c r="A54" s="10">
        <f>B54&amp;"|"&amp;C54</f>
        <v/>
      </c>
      <c r="B54" s="4" t="inlineStr">
        <is>
          <t>2B</t>
        </is>
      </c>
      <c r="C54" s="4" t="inlineStr">
        <is>
          <t>Alternative1</t>
        </is>
      </c>
      <c r="D54" s="4" t="inlineStr">
        <is>
          <t>Inspection and trash removal</t>
        </is>
      </c>
      <c r="E54" s="4" t="inlineStr">
        <is>
          <t>RATE</t>
        </is>
      </c>
      <c r="F54" s="10" t="n"/>
      <c r="G54" s="10" t="n"/>
      <c r="H54" s="4" t="inlineStr"/>
      <c r="I54" s="27" t="n">
        <v>4</v>
      </c>
      <c r="J54" s="28" t="n">
        <v>4504.98576</v>
      </c>
      <c r="K54" s="14" t="n">
        <v>2</v>
      </c>
      <c r="L54" s="14" t="n"/>
      <c r="M54" s="14" t="n"/>
      <c r="N54" s="26">
        <f>IF(E54="FIXED",F54,IF(E54="PERCENT",G54*IFERROR(INDEX(Costs!$D$6:$F$36,MATCH(A54,Costs!$A$6:$A$36,0),MATCH(H54,Costs!$D$5:$F$5,0)),0),I54*J54))</f>
        <v/>
      </c>
      <c r="O54" s="6">
        <f>IF(ISNUMBER(L54),L54,K54)</f>
        <v/>
      </c>
      <c r="P54" s="6">
        <f>IF(ISNUMBER(M54),MIN(M54,in_poa),in_poa)</f>
        <v/>
      </c>
      <c r="Q54" s="6">
        <f>IF(P54&lt;O54,0,INT((P54-O54)/K54)+1)</f>
        <v/>
      </c>
      <c r="R54" s="26">
        <f>IF(Q54=0,0,IF(in_rate=0,N54*Q54,N54*(1+in_rate)^(-O54)*(1-(1+in_rate)^(-K54*Q54))/(1-(1+in_rate)^(-K54))))</f>
        <v/>
      </c>
      <c r="S54" s="26">
        <f>IF(in_timing="MID_YEAR",IF(O54=0,IF(Q54=0,0,N54+(R54-N54)*(1+in_rate)^0.5),R54*(1+in_rate)^0.5),R54)</f>
        <v/>
      </c>
    </row>
    <row r="55">
      <c r="A55" s="10">
        <f>B55&amp;"|"&amp;C55</f>
        <v/>
      </c>
      <c r="B55" s="4" t="inlineStr">
        <is>
          <t>2B</t>
        </is>
      </c>
      <c r="C55" s="4" t="inlineStr">
        <is>
          <t>Alternative1</t>
        </is>
      </c>
      <c r="D55" s="4" t="inlineStr">
        <is>
          <t>Invasive species control</t>
        </is>
      </c>
      <c r="E55" s="4" t="inlineStr">
        <is>
          <t>FIXED</t>
        </is>
      </c>
      <c r="F55" s="27" t="n">
        <v>15000</v>
      </c>
      <c r="G55" s="10" t="n"/>
      <c r="H55" s="4" t="inlineStr"/>
      <c r="I55" s="10" t="n"/>
      <c r="J55" s="10" t="n"/>
      <c r="K55" s="14" t="n">
        <v>10</v>
      </c>
      <c r="L55" s="14" t="n"/>
      <c r="M55" s="14" t="n"/>
      <c r="N55" s="26">
        <f>IF(E55="FIXED",F55,IF(E55="PERCENT",G55*IFERROR(INDEX(Costs!$D$6:$F$36,MATCH(A55,Costs!$A$6:$A$36,0),MATCH(H55,Costs!$D$5:$F$5,0)),0),I55*J55))</f>
        <v/>
      </c>
      <c r="O55" s="6">
        <f>IF(ISNUMBER(L55),L55,K55)</f>
        <v/>
      </c>
      <c r="P55" s="6">
        <f>IF(ISNUMBER(M55),MIN(M55,in_poa),in_poa)</f>
        <v/>
      </c>
      <c r="Q55" s="6">
        <f>IF(P55&lt;O55,0,INT((P55-O55)/K55)+1)</f>
        <v/>
      </c>
      <c r="R55" s="26">
        <f>IF(Q55=0,0,IF(in_rate=0,N55*Q55,N55*(1+in_rate)^(-O55)*(1-(1+in_rate)^(-K55*Q55))/(1-(1+in_rate)^(-K55))))</f>
        <v/>
      </c>
      <c r="S55" s="26">
        <f>IF(in_timing="MID_YEAR",IF(O55=0,IF(Q55=0,0,N55+(R55-N55)*(1+in_rate)^0.5),R55*(1+in_rate)^0.5),R55)</f>
        <v/>
      </c>
    </row>
    <row r="56">
      <c r="A56" s="10">
        <f>B56&amp;"|"&amp;C56</f>
        <v/>
      </c>
      <c r="B56" s="4" t="inlineStr">
        <is>
          <t>2B</t>
        </is>
      </c>
      <c r="C56" s="4" t="inlineStr">
        <is>
          <t>Alternative1</t>
        </is>
      </c>
      <c r="D56" s="4" t="inlineStr">
        <is>
          <t>Wood, rock and earth repair</t>
        </is>
      </c>
      <c r="E56" s="4" t="inlineStr">
        <is>
          <t>PERCENT</t>
        </is>
      </c>
      <c r="F56" s="10" t="n"/>
      <c r="G56" s="29" t="n">
        <v>0.1</v>
      </c>
      <c r="H56" s="4" t="inlineStr">
        <is>
          <t>construction</t>
        </is>
      </c>
      <c r="I56" s="10" t="n"/>
      <c r="J56" s="10" t="n"/>
      <c r="K56" s="14" t="n">
        <v>25</v>
      </c>
      <c r="L56" s="14" t="n"/>
      <c r="M56" s="14" t="n"/>
      <c r="N56" s="26">
        <f>IF(E56="FIXED",F56,IF(E56="PERCENT",G56*IFERROR(INDEX(Costs!$D$6:$F$36,MATCH(A56,Costs!$A$6:$A$36,0),MATCH(H56,Costs!$D$5:$F$5,0)),0),I56*J56))</f>
        <v/>
      </c>
      <c r="O56" s="6">
        <f>IF(ISNUMBER(L56),L56,K56)</f>
        <v/>
      </c>
      <c r="P56" s="6">
        <f>IF(ISNUMBER(M56),MIN(M56,in_poa),in_poa)</f>
        <v/>
      </c>
      <c r="Q56" s="6">
        <f>IF(P56&lt;O56,0,INT((P56-O56)/K56)+1)</f>
        <v/>
      </c>
      <c r="R56" s="26">
        <f>IF(Q56=0,0,IF(in_rate=0,N56*Q56,N56*(1+in_rate)^(-O56)*(1-(1+in_rate)^(-K56*Q56))/(1-(1+in_rate)^(-K56))))</f>
        <v/>
      </c>
      <c r="S56" s="26">
        <f>IF(in_timing="MID_YEAR",IF(O56=0,IF(Q56=0,0,N56+(R56-N56)*(1+in_rate)^0.5),R56*(1+in_rate)^0.5),R56)</f>
        <v/>
      </c>
    </row>
    <row r="57">
      <c r="A57" s="10">
        <f>B57&amp;"|"&amp;C57</f>
        <v/>
      </c>
      <c r="B57" s="4" t="inlineStr">
        <is>
          <t>2B</t>
        </is>
      </c>
      <c r="C57" s="4" t="inlineStr">
        <is>
          <t>Alternative2</t>
        </is>
      </c>
      <c r="D57" s="4" t="inlineStr">
        <is>
          <t>General maintenance</t>
        </is>
      </c>
      <c r="E57" s="4" t="inlineStr">
        <is>
          <t>FIXED</t>
        </is>
      </c>
      <c r="F57" s="27" t="n">
        <v>10000</v>
      </c>
      <c r="G57" s="10" t="n"/>
      <c r="H57" s="4" t="inlineStr"/>
      <c r="I57" s="10" t="n"/>
      <c r="J57" s="10" t="n"/>
      <c r="K57" s="14" t="n">
        <v>1</v>
      </c>
      <c r="L57" s="14" t="n"/>
      <c r="M57" s="14" t="n"/>
      <c r="N57" s="26">
        <f>IF(E57="FIXED",F57,IF(E57="PERCENT",G57*IFERROR(INDEX(Costs!$D$6:$F$36,MATCH(A57,Costs!$A$6:$A$36,0),MATCH(H57,Costs!$D$5:$F$5,0)),0),I57*J57))</f>
        <v/>
      </c>
      <c r="O57" s="6">
        <f>IF(ISNUMBER(L57),L57,K57)</f>
        <v/>
      </c>
      <c r="P57" s="6">
        <f>IF(ISNUMBER(M57),MIN(M57,in_poa),in_poa)</f>
        <v/>
      </c>
      <c r="Q57" s="6">
        <f>IF(P57&lt;O57,0,INT((P57-O57)/K57)+1)</f>
        <v/>
      </c>
      <c r="R57" s="26">
        <f>IF(Q57=0,0,IF(in_rate=0,N57*Q57,N57*(1+in_rate)^(-O57)*(1-(1+in_rate)^(-K57*Q57))/(1-(1+in_rate)^(-K57))))</f>
        <v/>
      </c>
      <c r="S57" s="26">
        <f>IF(in_timing="MID_YEAR",IF(O57=0,IF(Q57=0,0,N57+(R57-N57)*(1+in_rate)^0.5),R57*(1+in_rate)^0.5),R57)</f>
        <v/>
      </c>
    </row>
    <row r="58">
      <c r="A58" s="10">
        <f>B58&amp;"|"&amp;C58</f>
        <v/>
      </c>
      <c r="B58" s="4" t="inlineStr">
        <is>
          <t>2B</t>
        </is>
      </c>
      <c r="C58" s="4" t="inlineStr">
        <is>
          <t>Alternative2</t>
        </is>
      </c>
      <c r="D58" s="4" t="inlineStr">
        <is>
          <t>Inspection and trash removal</t>
        </is>
      </c>
      <c r="E58" s="4" t="inlineStr">
        <is>
          <t>RATE</t>
        </is>
      </c>
      <c r="F58" s="10" t="n"/>
      <c r="G58" s="10" t="n"/>
      <c r="H58" s="4" t="inlineStr"/>
      <c r="I58" s="27" t="n">
        <v>4</v>
      </c>
      <c r="J58" s="28" t="n">
        <v>4504.98576</v>
      </c>
      <c r="K58" s="14" t="n">
        <v>2</v>
      </c>
      <c r="L58" s="14" t="n"/>
      <c r="M58" s="14" t="n"/>
      <c r="N58" s="26">
        <f>IF(E58="FIXED",F58,IF(E58="PERCENT",G58*IFERROR(INDEX(Costs!$D$6:$F$36,MATCH(A58,Costs!$A$6:$A$36,0),MATCH(H58,Costs!$D$5:$F$5,0)),0),I58*J58))</f>
        <v/>
      </c>
      <c r="O58" s="6">
        <f>IF(ISNUMBER(L58),L58,K58)</f>
        <v/>
      </c>
      <c r="P58" s="6">
        <f>IF(ISNUMBER(M58),MIN(M58,in_poa),in_poa)</f>
        <v/>
      </c>
      <c r="Q58" s="6">
        <f>IF(P58&lt;O58,0,INT((P58-O58)/K58)+1)</f>
        <v/>
      </c>
      <c r="R58" s="26">
        <f>IF(Q58=0,0,IF(in_rate=0,N58*Q58,N58*(1+in_rate)^(-O58)*(1-(1+in_rate)^(-K58*Q58))/(1-(1+in_rate)^(-K58))))</f>
        <v/>
      </c>
      <c r="S58" s="26">
        <f>IF(in_timing="MID_YEAR",IF(O58=0,IF(Q58=0,0,N58+(R58-N58)*(1+in_rate)^0.5),R58*(1+in_rate)^0.5),R58)</f>
        <v/>
      </c>
    </row>
    <row r="59">
      <c r="A59" s="10">
        <f>B59&amp;"|"&amp;C59</f>
        <v/>
      </c>
      <c r="B59" s="4" t="inlineStr">
        <is>
          <t>2B</t>
        </is>
      </c>
      <c r="C59" s="4" t="inlineStr">
        <is>
          <t>Alternative2</t>
        </is>
      </c>
      <c r="D59" s="4" t="inlineStr">
        <is>
          <t>Invasive species control</t>
        </is>
      </c>
      <c r="E59" s="4" t="inlineStr">
        <is>
          <t>FIXED</t>
        </is>
      </c>
      <c r="F59" s="27" t="n">
        <v>15000</v>
      </c>
      <c r="G59" s="10" t="n"/>
      <c r="H59" s="4" t="inlineStr"/>
      <c r="I59" s="10" t="n"/>
      <c r="J59" s="10" t="n"/>
      <c r="K59" s="14" t="n">
        <v>10</v>
      </c>
      <c r="L59" s="14" t="n"/>
      <c r="M59" s="14" t="n"/>
      <c r="N59" s="26">
        <f>IF(E59="FIXED",F59,IF(E59="PERCENT",G59*IFERROR(INDEX(Costs!$D$6:$F$36,MATCH(A59,Costs!$A$6:$A$36,0),MATCH(H59,Costs!$D$5:$F$5,0)),0),I59*J59))</f>
        <v/>
      </c>
      <c r="O59" s="6">
        <f>IF(ISNUMBER(L59),L59,K59)</f>
        <v/>
      </c>
      <c r="P59" s="6">
        <f>IF(ISNUMBER(M59),MIN(M59,in_poa),in_poa)</f>
        <v/>
      </c>
      <c r="Q59" s="6">
        <f>IF(P59&lt;O59,0,INT((P59-O59)/K59)+1)</f>
        <v/>
      </c>
      <c r="R59" s="26">
        <f>IF(Q59=0,0,IF(in_rate=0,N59*Q59,N59*(1+in_rate)^(-O59)*(1-(1+in_rate)^(-K59*Q59))/(1-(1+in_rate)^(-K59))))</f>
        <v/>
      </c>
      <c r="S59" s="26">
        <f>IF(in_timing="MID_YEAR",IF(O59=0,IF(Q59=0,0,N59+(R59-N59)*(1+in_rate)^0.5),R59*(1+in_rate)^0.5),R59)</f>
        <v/>
      </c>
    </row>
    <row r="60">
      <c r="A60" s="10">
        <f>B60&amp;"|"&amp;C60</f>
        <v/>
      </c>
      <c r="B60" s="4" t="inlineStr">
        <is>
          <t>2B</t>
        </is>
      </c>
      <c r="C60" s="4" t="inlineStr">
        <is>
          <t>Alternative2</t>
        </is>
      </c>
      <c r="D60" s="4" t="inlineStr">
        <is>
          <t>Wood, rock and earth repair</t>
        </is>
      </c>
      <c r="E60" s="4" t="inlineStr">
        <is>
          <t>PERCENT</t>
        </is>
      </c>
      <c r="F60" s="10" t="n"/>
      <c r="G60" s="29" t="n">
        <v>0.1</v>
      </c>
      <c r="H60" s="4" t="inlineStr">
        <is>
          <t>construction</t>
        </is>
      </c>
      <c r="I60" s="10" t="n"/>
      <c r="J60" s="10" t="n"/>
      <c r="K60" s="14" t="n">
        <v>25</v>
      </c>
      <c r="L60" s="14" t="n"/>
      <c r="M60" s="14" t="n"/>
      <c r="N60" s="26">
        <f>IF(E60="FIXED",F60,IF(E60="PERCENT",G60*IFERROR(INDEX(Costs!$D$6:$F$36,MATCH(A60,Costs!$A$6:$A$36,0),MATCH(H60,Costs!$D$5:$F$5,0)),0),I60*J60))</f>
        <v/>
      </c>
      <c r="O60" s="6">
        <f>IF(ISNUMBER(L60),L60,K60)</f>
        <v/>
      </c>
      <c r="P60" s="6">
        <f>IF(ISNUMBER(M60),MIN(M60,in_poa),in_poa)</f>
        <v/>
      </c>
      <c r="Q60" s="6">
        <f>IF(P60&lt;O60,0,INT((P60-O60)/K60)+1)</f>
        <v/>
      </c>
      <c r="R60" s="26">
        <f>IF(Q60=0,0,IF(in_rate=0,N60*Q60,N60*(1+in_rate)^(-O60)*(1-(1+in_rate)^(-K60*Q60))/(1-(1+in_rate)^(-K60))))</f>
        <v/>
      </c>
      <c r="S60" s="26">
        <f>IF(in_timing="MID_YEAR",IF(O60=0,IF(Q60=0,0,N60+(R60-N60)*(1+in_rate)^0.5),R60*(1+in_rate)^0.5),R60)</f>
        <v/>
      </c>
    </row>
    <row r="61">
      <c r="A61" s="10">
        <f>B61&amp;"|"&amp;C61</f>
        <v/>
      </c>
      <c r="B61" s="4" t="inlineStr">
        <is>
          <t>2B</t>
        </is>
      </c>
      <c r="C61" s="4" t="inlineStr">
        <is>
          <t>Alternative3</t>
        </is>
      </c>
      <c r="D61" s="4" t="inlineStr">
        <is>
          <t>General maintenance</t>
        </is>
      </c>
      <c r="E61" s="4" t="inlineStr">
        <is>
          <t>FIXED</t>
        </is>
      </c>
      <c r="F61" s="27" t="n">
        <v>10000</v>
      </c>
      <c r="G61" s="10" t="n"/>
      <c r="H61" s="4" t="inlineStr"/>
      <c r="I61" s="10" t="n"/>
      <c r="J61" s="10" t="n"/>
      <c r="K61" s="14" t="n">
        <v>1</v>
      </c>
      <c r="L61" s="14" t="n"/>
      <c r="M61" s="14" t="n"/>
      <c r="N61" s="26">
        <f>IF(E61="FIXED",F61,IF(E61="PERCENT",G61*IFERROR(INDEX(Costs!$D$6:$F$36,MATCH(A61,Costs!$A$6:$A$36,0),MATCH(H61,Costs!$D$5:$F$5,0)),0),I61*J61))</f>
        <v/>
      </c>
      <c r="O61" s="6">
        <f>IF(ISNUMBER(L61),L61,K61)</f>
        <v/>
      </c>
      <c r="P61" s="6">
        <f>IF(ISNUMBER(M61),MIN(M61,in_poa),in_poa)</f>
        <v/>
      </c>
      <c r="Q61" s="6">
        <f>IF(P61&lt;O61,0,INT((P61-O61)/K61)+1)</f>
        <v/>
      </c>
      <c r="R61" s="26">
        <f>IF(Q61=0,0,IF(in_rate=0,N61*Q61,N61*(1+in_rate)^(-O61)*(1-(1+in_rate)^(-K61*Q61))/(1-(1+in_rate)^(-K61))))</f>
        <v/>
      </c>
      <c r="S61" s="26">
        <f>IF(in_timing="MID_YEAR",IF(O61=0,IF(Q61=0,0,N61+(R61-N61)*(1+in_rate)^0.5),R61*(1+in_rate)^0.5),R61)</f>
        <v/>
      </c>
    </row>
    <row r="62">
      <c r="A62" s="10">
        <f>B62&amp;"|"&amp;C62</f>
        <v/>
      </c>
      <c r="B62" s="4" t="inlineStr">
        <is>
          <t>2B</t>
        </is>
      </c>
      <c r="C62" s="4" t="inlineStr">
        <is>
          <t>Alternative3</t>
        </is>
      </c>
      <c r="D62" s="4" t="inlineStr">
        <is>
          <t>Inspection and trash removal</t>
        </is>
      </c>
      <c r="E62" s="4" t="inlineStr">
        <is>
          <t>RATE</t>
        </is>
      </c>
      <c r="F62" s="10" t="n"/>
      <c r="G62" s="10" t="n"/>
      <c r="H62" s="4" t="inlineStr"/>
      <c r="I62" s="27" t="n">
        <v>4</v>
      </c>
      <c r="J62" s="28" t="n">
        <v>4504.98576</v>
      </c>
      <c r="K62" s="14" t="n">
        <v>2</v>
      </c>
      <c r="L62" s="14" t="n"/>
      <c r="M62" s="14" t="n"/>
      <c r="N62" s="26">
        <f>IF(E62="FIXED",F62,IF(E62="PERCENT",G62*IFERROR(INDEX(Costs!$D$6:$F$36,MATCH(A62,Costs!$A$6:$A$36,0),MATCH(H62,Costs!$D$5:$F$5,0)),0),I62*J62))</f>
        <v/>
      </c>
      <c r="O62" s="6">
        <f>IF(ISNUMBER(L62),L62,K62)</f>
        <v/>
      </c>
      <c r="P62" s="6">
        <f>IF(ISNUMBER(M62),MIN(M62,in_poa),in_poa)</f>
        <v/>
      </c>
      <c r="Q62" s="6">
        <f>IF(P62&lt;O62,0,INT((P62-O62)/K62)+1)</f>
        <v/>
      </c>
      <c r="R62" s="26">
        <f>IF(Q62=0,0,IF(in_rate=0,N62*Q62,N62*(1+in_rate)^(-O62)*(1-(1+in_rate)^(-K62*Q62))/(1-(1+in_rate)^(-K62))))</f>
        <v/>
      </c>
      <c r="S62" s="26">
        <f>IF(in_timing="MID_YEAR",IF(O62=0,IF(Q62=0,0,N62+(R62-N62)*(1+in_rate)^0.5),R62*(1+in_rate)^0.5),R62)</f>
        <v/>
      </c>
    </row>
    <row r="63">
      <c r="A63" s="10">
        <f>B63&amp;"|"&amp;C63</f>
        <v/>
      </c>
      <c r="B63" s="4" t="inlineStr">
        <is>
          <t>2B</t>
        </is>
      </c>
      <c r="C63" s="4" t="inlineStr">
        <is>
          <t>Alternative3</t>
        </is>
      </c>
      <c r="D63" s="4" t="inlineStr">
        <is>
          <t>Invasive species control</t>
        </is>
      </c>
      <c r="E63" s="4" t="inlineStr">
        <is>
          <t>FIXED</t>
        </is>
      </c>
      <c r="F63" s="27" t="n">
        <v>15000</v>
      </c>
      <c r="G63" s="10" t="n"/>
      <c r="H63" s="4" t="inlineStr"/>
      <c r="I63" s="10" t="n"/>
      <c r="J63" s="10" t="n"/>
      <c r="K63" s="14" t="n">
        <v>10</v>
      </c>
      <c r="L63" s="14" t="n"/>
      <c r="M63" s="14" t="n"/>
      <c r="N63" s="26">
        <f>IF(E63="FIXED",F63,IF(E63="PERCENT",G63*IFERROR(INDEX(Costs!$D$6:$F$36,MATCH(A63,Costs!$A$6:$A$36,0),MATCH(H63,Costs!$D$5:$F$5,0)),0),I63*J63))</f>
        <v/>
      </c>
      <c r="O63" s="6">
        <f>IF(ISNUMBER(L63),L63,K63)</f>
        <v/>
      </c>
      <c r="P63" s="6">
        <f>IF(ISNUMBER(M63),MIN(M63,in_poa),in_poa)</f>
        <v/>
      </c>
      <c r="Q63" s="6">
        <f>IF(P63&lt;O63,0,INT((P63-O63)/K63)+1)</f>
        <v/>
      </c>
      <c r="R63" s="26">
        <f>IF(Q63=0,0,IF(in_rate=0,N63*Q63,N63*(1+in_rate)^(-O63)*(1-(1+in_rate)^(-K63*Q63))/(1-(1+in_rate)^(-K63))))</f>
        <v/>
      </c>
      <c r="S63" s="26">
        <f>IF(in_timing="MID_YEAR",IF(O63=0,IF(Q63=0,0,N63+(R63-N63)*(1+in_rate)^0.5),R63*(1+in_rate)^0.5),R63)</f>
        <v/>
      </c>
    </row>
    <row r="64">
      <c r="A64" s="10">
        <f>B64&amp;"|"&amp;C64</f>
        <v/>
      </c>
      <c r="B64" s="4" t="inlineStr">
        <is>
          <t>2B</t>
        </is>
      </c>
      <c r="C64" s="4" t="inlineStr">
        <is>
          <t>Alternative3</t>
        </is>
      </c>
      <c r="D64" s="4" t="inlineStr">
        <is>
          <t>Wood, rock and earth repair</t>
        </is>
      </c>
      <c r="E64" s="4" t="inlineStr">
        <is>
          <t>PERCENT</t>
        </is>
      </c>
      <c r="F64" s="10" t="n"/>
      <c r="G64" s="29" t="n">
        <v>0.1</v>
      </c>
      <c r="H64" s="4" t="inlineStr">
        <is>
          <t>construction</t>
        </is>
      </c>
      <c r="I64" s="10" t="n"/>
      <c r="J64" s="10" t="n"/>
      <c r="K64" s="14" t="n">
        <v>25</v>
      </c>
      <c r="L64" s="14" t="n"/>
      <c r="M64" s="14" t="n"/>
      <c r="N64" s="26">
        <f>IF(E64="FIXED",F64,IF(E64="PERCENT",G64*IFERROR(INDEX(Costs!$D$6:$F$36,MATCH(A64,Costs!$A$6:$A$36,0),MATCH(H64,Costs!$D$5:$F$5,0)),0),I64*J64))</f>
        <v/>
      </c>
      <c r="O64" s="6">
        <f>IF(ISNUMBER(L64),L64,K64)</f>
        <v/>
      </c>
      <c r="P64" s="6">
        <f>IF(ISNUMBER(M64),MIN(M64,in_poa),in_poa)</f>
        <v/>
      </c>
      <c r="Q64" s="6">
        <f>IF(P64&lt;O64,0,INT((P64-O64)/K64)+1)</f>
        <v/>
      </c>
      <c r="R64" s="26">
        <f>IF(Q64=0,0,IF(in_rate=0,N64*Q64,N64*(1+in_rate)^(-O64)*(1-(1+in_rate)^(-K64*Q64))/(1-(1+in_rate)^(-K64))))</f>
        <v/>
      </c>
      <c r="S64" s="26">
        <f>IF(in_timing="MID_YEAR",IF(O64=0,IF(Q64=0,0,N64+(R64-N64)*(1+in_rate)^0.5),R64*(1+in_rate)^0.5),R64)</f>
        <v/>
      </c>
    </row>
    <row r="65">
      <c r="A65" s="10">
        <f>B65&amp;"|"&amp;C65</f>
        <v/>
      </c>
      <c r="B65" s="4" t="inlineStr">
        <is>
          <t>3E</t>
        </is>
      </c>
      <c r="C65" s="4" t="inlineStr">
        <is>
          <t>Alternative1</t>
        </is>
      </c>
      <c r="D65" s="4" t="inlineStr">
        <is>
          <t>General maintenance</t>
        </is>
      </c>
      <c r="E65" s="4" t="inlineStr">
        <is>
          <t>FIXED</t>
        </is>
      </c>
      <c r="F65" s="27" t="n">
        <v>10000</v>
      </c>
      <c r="G65" s="10" t="n"/>
      <c r="H65" s="4" t="inlineStr"/>
      <c r="I65" s="10" t="n"/>
      <c r="J65" s="10" t="n"/>
      <c r="K65" s="14" t="n">
        <v>1</v>
      </c>
      <c r="L65" s="14" t="n"/>
      <c r="M65" s="14" t="n"/>
      <c r="N65" s="26">
        <f>IF(E65="FIXED",F65,IF(E65="PERCENT",G65*IFERROR(INDEX(Costs!$D$6:$F$36,MATCH(A65,Costs!$A$6:$A$36,0),MATCH(H65,Costs!$D$5:$F$5,0)),0),I65*J65))</f>
        <v/>
      </c>
      <c r="O65" s="6">
        <f>IF(ISNUMBER(L65),L65,K65)</f>
        <v/>
      </c>
      <c r="P65" s="6">
        <f>IF(ISNUMBER(M65),MIN(M65,in_poa),in_poa)</f>
        <v/>
      </c>
      <c r="Q65" s="6">
        <f>IF(P65&lt;O65,0,INT((P65-O65)/K65)+1)</f>
        <v/>
      </c>
      <c r="R65" s="26">
        <f>IF(Q65=0,0,IF(in_rate=0,N65*Q65,N65*(1+in_rate)^(-O65)*(1-(1+in_rate)^(-K65*Q65))/(1-(1+in_rate)^(-K65))))</f>
        <v/>
      </c>
      <c r="S65" s="26">
        <f>IF(in_timing="MID_YEAR",IF(O65=0,IF(Q65=0,0,N65+(R65-N65)*(1+in_rate)^0.5),R65*(1+in_rate)^0.5),R65)</f>
        <v/>
      </c>
    </row>
    <row r="66">
      <c r="A66" s="10">
        <f>B66&amp;"|"&amp;C66</f>
        <v/>
      </c>
      <c r="B66" s="4" t="inlineStr">
        <is>
          <t>3E</t>
        </is>
      </c>
      <c r="C66" s="4" t="inlineStr">
        <is>
          <t>Alternative1</t>
        </is>
      </c>
      <c r="D66" s="4" t="inlineStr">
        <is>
          <t>Inspection and trash removal</t>
        </is>
      </c>
      <c r="E66" s="4" t="inlineStr">
        <is>
          <t>RATE</t>
        </is>
      </c>
      <c r="F66" s="10" t="n"/>
      <c r="G66" s="10" t="n"/>
      <c r="H66" s="4" t="inlineStr"/>
      <c r="I66" s="27" t="n">
        <v>4</v>
      </c>
      <c r="J66" s="28" t="n">
        <v>2494.04496</v>
      </c>
      <c r="K66" s="14" t="n">
        <v>2</v>
      </c>
      <c r="L66" s="14" t="n"/>
      <c r="M66" s="14" t="n"/>
      <c r="N66" s="26">
        <f>IF(E66="FIXED",F66,IF(E66="PERCENT",G66*IFERROR(INDEX(Costs!$D$6:$F$36,MATCH(A66,Costs!$A$6:$A$36,0),MATCH(H66,Costs!$D$5:$F$5,0)),0),I66*J66))</f>
        <v/>
      </c>
      <c r="O66" s="6">
        <f>IF(ISNUMBER(L66),L66,K66)</f>
        <v/>
      </c>
      <c r="P66" s="6">
        <f>IF(ISNUMBER(M66),MIN(M66,in_poa),in_poa)</f>
        <v/>
      </c>
      <c r="Q66" s="6">
        <f>IF(P66&lt;O66,0,INT((P66-O66)/K66)+1)</f>
        <v/>
      </c>
      <c r="R66" s="26">
        <f>IF(Q66=0,0,IF(in_rate=0,N66*Q66,N66*(1+in_rate)^(-O66)*(1-(1+in_rate)^(-K66*Q66))/(1-(1+in_rate)^(-K66))))</f>
        <v/>
      </c>
      <c r="S66" s="26">
        <f>IF(in_timing="MID_YEAR",IF(O66=0,IF(Q66=0,0,N66+(R66-N66)*(1+in_rate)^0.5),R66*(1+in_rate)^0.5),R66)</f>
        <v/>
      </c>
    </row>
    <row r="67">
      <c r="A67" s="10">
        <f>B67&amp;"|"&amp;C67</f>
        <v/>
      </c>
      <c r="B67" s="4" t="inlineStr">
        <is>
          <t>3E</t>
        </is>
      </c>
      <c r="C67" s="4" t="inlineStr">
        <is>
          <t>Alternative1</t>
        </is>
      </c>
      <c r="D67" s="4" t="inlineStr">
        <is>
          <t>Invasive species control</t>
        </is>
      </c>
      <c r="E67" s="4" t="inlineStr">
        <is>
          <t>FIXED</t>
        </is>
      </c>
      <c r="F67" s="27" t="n">
        <v>15000</v>
      </c>
      <c r="G67" s="10" t="n"/>
      <c r="H67" s="4" t="inlineStr"/>
      <c r="I67" s="10" t="n"/>
      <c r="J67" s="10" t="n"/>
      <c r="K67" s="14" t="n">
        <v>10</v>
      </c>
      <c r="L67" s="14" t="n"/>
      <c r="M67" s="14" t="n"/>
      <c r="N67" s="26">
        <f>IF(E67="FIXED",F67,IF(E67="PERCENT",G67*IFERROR(INDEX(Costs!$D$6:$F$36,MATCH(A67,Costs!$A$6:$A$36,0),MATCH(H67,Costs!$D$5:$F$5,0)),0),I67*J67))</f>
        <v/>
      </c>
      <c r="O67" s="6">
        <f>IF(ISNUMBER(L67),L67,K67)</f>
        <v/>
      </c>
      <c r="P67" s="6">
        <f>IF(ISNUMBER(M67),MIN(M67,in_poa),in_poa)</f>
        <v/>
      </c>
      <c r="Q67" s="6">
        <f>IF(P67&lt;O67,0,INT((P67-O67)/K67)+1)</f>
        <v/>
      </c>
      <c r="R67" s="26">
        <f>IF(Q67=0,0,IF(in_rate=0,N67*Q67,N67*(1+in_rate)^(-O67)*(1-(1+in_rate)^(-K67*Q67))/(1-(1+in_rate)^(-K67))))</f>
        <v/>
      </c>
      <c r="S67" s="26">
        <f>IF(in_timing="MID_YEAR",IF(O67=0,IF(Q67=0,0,N67+(R67-N67)*(1+in_rate)^0.5),R67*(1+in_rate)^0.5),R67)</f>
        <v/>
      </c>
    </row>
    <row r="68">
      <c r="A68" s="10">
        <f>B68&amp;"|"&amp;C68</f>
        <v/>
      </c>
      <c r="B68" s="4" t="inlineStr">
        <is>
          <t>3E</t>
        </is>
      </c>
      <c r="C68" s="4" t="inlineStr">
        <is>
          <t>Alternative1</t>
        </is>
      </c>
      <c r="D68" s="4" t="inlineStr">
        <is>
          <t>Wood, rock and earth repair</t>
        </is>
      </c>
      <c r="E68" s="4" t="inlineStr">
        <is>
          <t>PERCENT</t>
        </is>
      </c>
      <c r="F68" s="10" t="n"/>
      <c r="G68" s="29" t="n">
        <v>0.1</v>
      </c>
      <c r="H68" s="4" t="inlineStr">
        <is>
          <t>construction</t>
        </is>
      </c>
      <c r="I68" s="10" t="n"/>
      <c r="J68" s="10" t="n"/>
      <c r="K68" s="14" t="n">
        <v>25</v>
      </c>
      <c r="L68" s="14" t="n"/>
      <c r="M68" s="14" t="n"/>
      <c r="N68" s="26">
        <f>IF(E68="FIXED",F68,IF(E68="PERCENT",G68*IFERROR(INDEX(Costs!$D$6:$F$36,MATCH(A68,Costs!$A$6:$A$36,0),MATCH(H68,Costs!$D$5:$F$5,0)),0),I68*J68))</f>
        <v/>
      </c>
      <c r="O68" s="6">
        <f>IF(ISNUMBER(L68),L68,K68)</f>
        <v/>
      </c>
      <c r="P68" s="6">
        <f>IF(ISNUMBER(M68),MIN(M68,in_poa),in_poa)</f>
        <v/>
      </c>
      <c r="Q68" s="6">
        <f>IF(P68&lt;O68,0,INT((P68-O68)/K68)+1)</f>
        <v/>
      </c>
      <c r="R68" s="26">
        <f>IF(Q68=0,0,IF(in_rate=0,N68*Q68,N68*(1+in_rate)^(-O68)*(1-(1+in_rate)^(-K68*Q68))/(1-(1+in_rate)^(-K68))))</f>
        <v/>
      </c>
      <c r="S68" s="26">
        <f>IF(in_timing="MID_YEAR",IF(O68=0,IF(Q68=0,0,N68+(R68-N68)*(1+in_rate)^0.5),R68*(1+in_rate)^0.5),R68)</f>
        <v/>
      </c>
    </row>
    <row r="69">
      <c r="A69" s="10">
        <f>B69&amp;"|"&amp;C69</f>
        <v/>
      </c>
      <c r="B69" s="4" t="inlineStr">
        <is>
          <t>3E</t>
        </is>
      </c>
      <c r="C69" s="4" t="inlineStr">
        <is>
          <t>Alternative2</t>
        </is>
      </c>
      <c r="D69" s="4" t="inlineStr">
        <is>
          <t>General maintenance</t>
        </is>
      </c>
      <c r="E69" s="4" t="inlineStr">
        <is>
          <t>FIXED</t>
        </is>
      </c>
      <c r="F69" s="27" t="n">
        <v>10000</v>
      </c>
      <c r="G69" s="10" t="n"/>
      <c r="H69" s="4" t="inlineStr"/>
      <c r="I69" s="10" t="n"/>
      <c r="J69" s="10" t="n"/>
      <c r="K69" s="14" t="n">
        <v>1</v>
      </c>
      <c r="L69" s="14" t="n"/>
      <c r="M69" s="14" t="n"/>
      <c r="N69" s="26">
        <f>IF(E69="FIXED",F69,IF(E69="PERCENT",G69*IFERROR(INDEX(Costs!$D$6:$F$36,MATCH(A69,Costs!$A$6:$A$36,0),MATCH(H69,Costs!$D$5:$F$5,0)),0),I69*J69))</f>
        <v/>
      </c>
      <c r="O69" s="6">
        <f>IF(ISNUMBER(L69),L69,K69)</f>
        <v/>
      </c>
      <c r="P69" s="6">
        <f>IF(ISNUMBER(M69),MIN(M69,in_poa),in_poa)</f>
        <v/>
      </c>
      <c r="Q69" s="6">
        <f>IF(P69&lt;O69,0,INT((P69-O69)/K69)+1)</f>
        <v/>
      </c>
      <c r="R69" s="26">
        <f>IF(Q69=0,0,IF(in_rate=0,N69*Q69,N69*(1+in_rate)^(-O69)*(1-(1+in_rate)^(-K69*Q69))/(1-(1+in_rate)^(-K69))))</f>
        <v/>
      </c>
      <c r="S69" s="26">
        <f>IF(in_timing="MID_YEAR",IF(O69=0,IF(Q69=0,0,N69+(R69-N69)*(1+in_rate)^0.5),R69*(1+in_rate)^0.5),R69)</f>
        <v/>
      </c>
    </row>
    <row r="70">
      <c r="A70" s="10">
        <f>B70&amp;"|"&amp;C70</f>
        <v/>
      </c>
      <c r="B70" s="4" t="inlineStr">
        <is>
          <t>3E</t>
        </is>
      </c>
      <c r="C70" s="4" t="inlineStr">
        <is>
          <t>Alternative2</t>
        </is>
      </c>
      <c r="D70" s="4" t="inlineStr">
        <is>
          <t>Inspection and trash removal</t>
        </is>
      </c>
      <c r="E70" s="4" t="inlineStr">
        <is>
          <t>RATE</t>
        </is>
      </c>
      <c r="F70" s="10" t="n"/>
      <c r="G70" s="10" t="n"/>
      <c r="H70" s="4" t="inlineStr"/>
      <c r="I70" s="27" t="n">
        <v>4</v>
      </c>
      <c r="J70" s="28" t="n">
        <v>2494.04496</v>
      </c>
      <c r="K70" s="14" t="n">
        <v>2</v>
      </c>
      <c r="L70" s="14" t="n"/>
      <c r="M70" s="14" t="n"/>
      <c r="N70" s="26">
        <f>IF(E70="FIXED",F70,IF(E70="PERCENT",G70*IFERROR(INDEX(Costs!$D$6:$F$36,MATCH(A70,Costs!$A$6:$A$36,0),MATCH(H70,Costs!$D$5:$F$5,0)),0),I70*J70))</f>
        <v/>
      </c>
      <c r="O70" s="6">
        <f>IF(ISNUMBER(L70),L70,K70)</f>
        <v/>
      </c>
      <c r="P70" s="6">
        <f>IF(ISNUMBER(M70),MIN(M70,in_poa),in_poa)</f>
        <v/>
      </c>
      <c r="Q70" s="6">
        <f>IF(P70&lt;O70,0,INT((P70-O70)/K70)+1)</f>
        <v/>
      </c>
      <c r="R70" s="26">
        <f>IF(Q70=0,0,IF(in_rate=0,N70*Q70,N70*(1+in_rate)^(-O70)*(1-(1+in_rate)^(-K70*Q70))/(1-(1+in_rate)^(-K70))))</f>
        <v/>
      </c>
      <c r="S70" s="26">
        <f>IF(in_timing="MID_YEAR",IF(O70=0,IF(Q70=0,0,N70+(R70-N70)*(1+in_rate)^0.5),R70*(1+in_rate)^0.5),R70)</f>
        <v/>
      </c>
    </row>
    <row r="71">
      <c r="A71" s="10">
        <f>B71&amp;"|"&amp;C71</f>
        <v/>
      </c>
      <c r="B71" s="4" t="inlineStr">
        <is>
          <t>3E</t>
        </is>
      </c>
      <c r="C71" s="4" t="inlineStr">
        <is>
          <t>Alternative2</t>
        </is>
      </c>
      <c r="D71" s="4" t="inlineStr">
        <is>
          <t>Invasive species control</t>
        </is>
      </c>
      <c r="E71" s="4" t="inlineStr">
        <is>
          <t>FIXED</t>
        </is>
      </c>
      <c r="F71" s="27" t="n">
        <v>15000</v>
      </c>
      <c r="G71" s="10" t="n"/>
      <c r="H71" s="4" t="inlineStr"/>
      <c r="I71" s="10" t="n"/>
      <c r="J71" s="10" t="n"/>
      <c r="K71" s="14" t="n">
        <v>10</v>
      </c>
      <c r="L71" s="14" t="n"/>
      <c r="M71" s="14" t="n"/>
      <c r="N71" s="26">
        <f>IF(E71="FIXED",F71,IF(E71="PERCENT",G71*IFERROR(INDEX(Costs!$D$6:$F$36,MATCH(A71,Costs!$A$6:$A$36,0),MATCH(H71,Costs!$D$5:$F$5,0)),0),I71*J71))</f>
        <v/>
      </c>
      <c r="O71" s="6">
        <f>IF(ISNUMBER(L71),L71,K71)</f>
        <v/>
      </c>
      <c r="P71" s="6">
        <f>IF(ISNUMBER(M71),MIN(M71,in_poa),in_poa)</f>
        <v/>
      </c>
      <c r="Q71" s="6">
        <f>IF(P71&lt;O71,0,INT((P71-O71)/K71)+1)</f>
        <v/>
      </c>
      <c r="R71" s="26">
        <f>IF(Q71=0,0,IF(in_rate=0,N71*Q71,N71*(1+in_rate)^(-O71)*(1-(1+in_rate)^(-K71*Q71))/(1-(1+in_rate)^(-K71))))</f>
        <v/>
      </c>
      <c r="S71" s="26">
        <f>IF(in_timing="MID_YEAR",IF(O71=0,IF(Q71=0,0,N71+(R71-N71)*(1+in_rate)^0.5),R71*(1+in_rate)^0.5),R71)</f>
        <v/>
      </c>
    </row>
    <row r="72">
      <c r="A72" s="10">
        <f>B72&amp;"|"&amp;C72</f>
        <v/>
      </c>
      <c r="B72" s="4" t="inlineStr">
        <is>
          <t>3E</t>
        </is>
      </c>
      <c r="C72" s="4" t="inlineStr">
        <is>
          <t>Alternative2</t>
        </is>
      </c>
      <c r="D72" s="4" t="inlineStr">
        <is>
          <t>Wood, rock and earth repair</t>
        </is>
      </c>
      <c r="E72" s="4" t="inlineStr">
        <is>
          <t>PERCENT</t>
        </is>
      </c>
      <c r="F72" s="10" t="n"/>
      <c r="G72" s="29" t="n">
        <v>0.1</v>
      </c>
      <c r="H72" s="4" t="inlineStr">
        <is>
          <t>construction</t>
        </is>
      </c>
      <c r="I72" s="10" t="n"/>
      <c r="J72" s="10" t="n"/>
      <c r="K72" s="14" t="n">
        <v>25</v>
      </c>
      <c r="L72" s="14" t="n"/>
      <c r="M72" s="14" t="n"/>
      <c r="N72" s="26">
        <f>IF(E72="FIXED",F72,IF(E72="PERCENT",G72*IFERROR(INDEX(Costs!$D$6:$F$36,MATCH(A72,Costs!$A$6:$A$36,0),MATCH(H72,Costs!$D$5:$F$5,0)),0),I72*J72))</f>
        <v/>
      </c>
      <c r="O72" s="6">
        <f>IF(ISNUMBER(L72),L72,K72)</f>
        <v/>
      </c>
      <c r="P72" s="6">
        <f>IF(ISNUMBER(M72),MIN(M72,in_poa),in_poa)</f>
        <v/>
      </c>
      <c r="Q72" s="6">
        <f>IF(P72&lt;O72,0,INT((P72-O72)/K72)+1)</f>
        <v/>
      </c>
      <c r="R72" s="26">
        <f>IF(Q72=0,0,IF(in_rate=0,N72*Q72,N72*(1+in_rate)^(-O72)*(1-(1+in_rate)^(-K72*Q72))/(1-(1+in_rate)^(-K72))))</f>
        <v/>
      </c>
      <c r="S72" s="26">
        <f>IF(in_timing="MID_YEAR",IF(O72=0,IF(Q72=0,0,N72+(R72-N72)*(1+in_rate)^0.5),R72*(1+in_rate)^0.5),R72)</f>
        <v/>
      </c>
    </row>
    <row r="73">
      <c r="A73" s="10">
        <f>B73&amp;"|"&amp;C73</f>
        <v/>
      </c>
      <c r="B73" s="4" t="inlineStr">
        <is>
          <t>3E</t>
        </is>
      </c>
      <c r="C73" s="4" t="inlineStr">
        <is>
          <t>Alternative3</t>
        </is>
      </c>
      <c r="D73" s="4" t="inlineStr">
        <is>
          <t>General maintenance</t>
        </is>
      </c>
      <c r="E73" s="4" t="inlineStr">
        <is>
          <t>FIXED</t>
        </is>
      </c>
      <c r="F73" s="27" t="n">
        <v>10000</v>
      </c>
      <c r="G73" s="10" t="n"/>
      <c r="H73" s="4" t="inlineStr"/>
      <c r="I73" s="10" t="n"/>
      <c r="J73" s="10" t="n"/>
      <c r="K73" s="14" t="n">
        <v>1</v>
      </c>
      <c r="L73" s="14" t="n"/>
      <c r="M73" s="14" t="n"/>
      <c r="N73" s="26">
        <f>IF(E73="FIXED",F73,IF(E73="PERCENT",G73*IFERROR(INDEX(Costs!$D$6:$F$36,MATCH(A73,Costs!$A$6:$A$36,0),MATCH(H73,Costs!$D$5:$F$5,0)),0),I73*J73))</f>
        <v/>
      </c>
      <c r="O73" s="6">
        <f>IF(ISNUMBER(L73),L73,K73)</f>
        <v/>
      </c>
      <c r="P73" s="6">
        <f>IF(ISNUMBER(M73),MIN(M73,in_poa),in_poa)</f>
        <v/>
      </c>
      <c r="Q73" s="6">
        <f>IF(P73&lt;O73,0,INT((P73-O73)/K73)+1)</f>
        <v/>
      </c>
      <c r="R73" s="26">
        <f>IF(Q73=0,0,IF(in_rate=0,N73*Q73,N73*(1+in_rate)^(-O73)*(1-(1+in_rate)^(-K73*Q73))/(1-(1+in_rate)^(-K73))))</f>
        <v/>
      </c>
      <c r="S73" s="26">
        <f>IF(in_timing="MID_YEAR",IF(O73=0,IF(Q73=0,0,N73+(R73-N73)*(1+in_rate)^0.5),R73*(1+in_rate)^0.5),R73)</f>
        <v/>
      </c>
    </row>
    <row r="74">
      <c r="A74" s="10">
        <f>B74&amp;"|"&amp;C74</f>
        <v/>
      </c>
      <c r="B74" s="4" t="inlineStr">
        <is>
          <t>3E</t>
        </is>
      </c>
      <c r="C74" s="4" t="inlineStr">
        <is>
          <t>Alternative3</t>
        </is>
      </c>
      <c r="D74" s="4" t="inlineStr">
        <is>
          <t>Inspection and trash removal</t>
        </is>
      </c>
      <c r="E74" s="4" t="inlineStr">
        <is>
          <t>RATE</t>
        </is>
      </c>
      <c r="F74" s="10" t="n"/>
      <c r="G74" s="10" t="n"/>
      <c r="H74" s="4" t="inlineStr"/>
      <c r="I74" s="27" t="n">
        <v>4</v>
      </c>
      <c r="J74" s="28" t="n">
        <v>2494.04496</v>
      </c>
      <c r="K74" s="14" t="n">
        <v>2</v>
      </c>
      <c r="L74" s="14" t="n"/>
      <c r="M74" s="14" t="n"/>
      <c r="N74" s="26">
        <f>IF(E74="FIXED",F74,IF(E74="PERCENT",G74*IFERROR(INDEX(Costs!$D$6:$F$36,MATCH(A74,Costs!$A$6:$A$36,0),MATCH(H74,Costs!$D$5:$F$5,0)),0),I74*J74))</f>
        <v/>
      </c>
      <c r="O74" s="6">
        <f>IF(ISNUMBER(L74),L74,K74)</f>
        <v/>
      </c>
      <c r="P74" s="6">
        <f>IF(ISNUMBER(M74),MIN(M74,in_poa),in_poa)</f>
        <v/>
      </c>
      <c r="Q74" s="6">
        <f>IF(P74&lt;O74,0,INT((P74-O74)/K74)+1)</f>
        <v/>
      </c>
      <c r="R74" s="26">
        <f>IF(Q74=0,0,IF(in_rate=0,N74*Q74,N74*(1+in_rate)^(-O74)*(1-(1+in_rate)^(-K74*Q74))/(1-(1+in_rate)^(-K74))))</f>
        <v/>
      </c>
      <c r="S74" s="26">
        <f>IF(in_timing="MID_YEAR",IF(O74=0,IF(Q74=0,0,N74+(R74-N74)*(1+in_rate)^0.5),R74*(1+in_rate)^0.5),R74)</f>
        <v/>
      </c>
    </row>
    <row r="75">
      <c r="A75" s="10">
        <f>B75&amp;"|"&amp;C75</f>
        <v/>
      </c>
      <c r="B75" s="4" t="inlineStr">
        <is>
          <t>3E</t>
        </is>
      </c>
      <c r="C75" s="4" t="inlineStr">
        <is>
          <t>Alternative3</t>
        </is>
      </c>
      <c r="D75" s="4" t="inlineStr">
        <is>
          <t>Invasive species control</t>
        </is>
      </c>
      <c r="E75" s="4" t="inlineStr">
        <is>
          <t>FIXED</t>
        </is>
      </c>
      <c r="F75" s="27" t="n">
        <v>15000</v>
      </c>
      <c r="G75" s="10" t="n"/>
      <c r="H75" s="4" t="inlineStr"/>
      <c r="I75" s="10" t="n"/>
      <c r="J75" s="10" t="n"/>
      <c r="K75" s="14" t="n">
        <v>10</v>
      </c>
      <c r="L75" s="14" t="n"/>
      <c r="M75" s="14" t="n"/>
      <c r="N75" s="26">
        <f>IF(E75="FIXED",F75,IF(E75="PERCENT",G75*IFERROR(INDEX(Costs!$D$6:$F$36,MATCH(A75,Costs!$A$6:$A$36,0),MATCH(H75,Costs!$D$5:$F$5,0)),0),I75*J75))</f>
        <v/>
      </c>
      <c r="O75" s="6">
        <f>IF(ISNUMBER(L75),L75,K75)</f>
        <v/>
      </c>
      <c r="P75" s="6">
        <f>IF(ISNUMBER(M75),MIN(M75,in_poa),in_poa)</f>
        <v/>
      </c>
      <c r="Q75" s="6">
        <f>IF(P75&lt;O75,0,INT((P75-O75)/K75)+1)</f>
        <v/>
      </c>
      <c r="R75" s="26">
        <f>IF(Q75=0,0,IF(in_rate=0,N75*Q75,N75*(1+in_rate)^(-O75)*(1-(1+in_rate)^(-K75*Q75))/(1-(1+in_rate)^(-K75))))</f>
        <v/>
      </c>
      <c r="S75" s="26">
        <f>IF(in_timing="MID_YEAR",IF(O75=0,IF(Q75=0,0,N75+(R75-N75)*(1+in_rate)^0.5),R75*(1+in_rate)^0.5),R75)</f>
        <v/>
      </c>
    </row>
    <row r="76">
      <c r="A76" s="10">
        <f>B76&amp;"|"&amp;C76</f>
        <v/>
      </c>
      <c r="B76" s="4" t="inlineStr">
        <is>
          <t>3E</t>
        </is>
      </c>
      <c r="C76" s="4" t="inlineStr">
        <is>
          <t>Alternative3</t>
        </is>
      </c>
      <c r="D76" s="4" t="inlineStr">
        <is>
          <t>Wood, rock and earth repair</t>
        </is>
      </c>
      <c r="E76" s="4" t="inlineStr">
        <is>
          <t>PERCENT</t>
        </is>
      </c>
      <c r="F76" s="10" t="n"/>
      <c r="G76" s="29" t="n">
        <v>0.1</v>
      </c>
      <c r="H76" s="4" t="inlineStr">
        <is>
          <t>construction</t>
        </is>
      </c>
      <c r="I76" s="10" t="n"/>
      <c r="J76" s="10" t="n"/>
      <c r="K76" s="14" t="n">
        <v>25</v>
      </c>
      <c r="L76" s="14" t="n"/>
      <c r="M76" s="14" t="n"/>
      <c r="N76" s="26">
        <f>IF(E76="FIXED",F76,IF(E76="PERCENT",G76*IFERROR(INDEX(Costs!$D$6:$F$36,MATCH(A76,Costs!$A$6:$A$36,0),MATCH(H76,Costs!$D$5:$F$5,0)),0),I76*J76))</f>
        <v/>
      </c>
      <c r="O76" s="6">
        <f>IF(ISNUMBER(L76),L76,K76)</f>
        <v/>
      </c>
      <c r="P76" s="6">
        <f>IF(ISNUMBER(M76),MIN(M76,in_poa),in_poa)</f>
        <v/>
      </c>
      <c r="Q76" s="6">
        <f>IF(P76&lt;O76,0,INT((P76-O76)/K76)+1)</f>
        <v/>
      </c>
      <c r="R76" s="26">
        <f>IF(Q76=0,0,IF(in_rate=0,N76*Q76,N76*(1+in_rate)^(-O76)*(1-(1+in_rate)^(-K76*Q76))/(1-(1+in_rate)^(-K76))))</f>
        <v/>
      </c>
      <c r="S76" s="26">
        <f>IF(in_timing="MID_YEAR",IF(O76=0,IF(Q76=0,0,N76+(R76-N76)*(1+in_rate)^0.5),R76*(1+in_rate)^0.5),R76)</f>
        <v/>
      </c>
    </row>
    <row r="77">
      <c r="A77" s="10">
        <f>B77&amp;"|"&amp;C77</f>
        <v/>
      </c>
      <c r="B77" s="4" t="inlineStr">
        <is>
          <t>3F</t>
        </is>
      </c>
      <c r="C77" s="4" t="inlineStr">
        <is>
          <t>Alternative1</t>
        </is>
      </c>
      <c r="D77" s="4" t="inlineStr">
        <is>
          <t>General maintenance</t>
        </is>
      </c>
      <c r="E77" s="4" t="inlineStr">
        <is>
          <t>FIXED</t>
        </is>
      </c>
      <c r="F77" s="27" t="n">
        <v>10000</v>
      </c>
      <c r="G77" s="10" t="n"/>
      <c r="H77" s="4" t="inlineStr"/>
      <c r="I77" s="10" t="n"/>
      <c r="J77" s="10" t="n"/>
      <c r="K77" s="14" t="n">
        <v>1</v>
      </c>
      <c r="L77" s="14" t="n"/>
      <c r="M77" s="14" t="n"/>
      <c r="N77" s="26">
        <f>IF(E77="FIXED",F77,IF(E77="PERCENT",G77*IFERROR(INDEX(Costs!$D$6:$F$36,MATCH(A77,Costs!$A$6:$A$36,0),MATCH(H77,Costs!$D$5:$F$5,0)),0),I77*J77))</f>
        <v/>
      </c>
      <c r="O77" s="6">
        <f>IF(ISNUMBER(L77),L77,K77)</f>
        <v/>
      </c>
      <c r="P77" s="6">
        <f>IF(ISNUMBER(M77),MIN(M77,in_poa),in_poa)</f>
        <v/>
      </c>
      <c r="Q77" s="6">
        <f>IF(P77&lt;O77,0,INT((P77-O77)/K77)+1)</f>
        <v/>
      </c>
      <c r="R77" s="26">
        <f>IF(Q77=0,0,IF(in_rate=0,N77*Q77,N77*(1+in_rate)^(-O77)*(1-(1+in_rate)^(-K77*Q77))/(1-(1+in_rate)^(-K77))))</f>
        <v/>
      </c>
      <c r="S77" s="26">
        <f>IF(in_timing="MID_YEAR",IF(O77=0,IF(Q77=0,0,N77+(R77-N77)*(1+in_rate)^0.5),R77*(1+in_rate)^0.5),R77)</f>
        <v/>
      </c>
    </row>
    <row r="78">
      <c r="A78" s="10">
        <f>B78&amp;"|"&amp;C78</f>
        <v/>
      </c>
      <c r="B78" s="4" t="inlineStr">
        <is>
          <t>3F</t>
        </is>
      </c>
      <c r="C78" s="4" t="inlineStr">
        <is>
          <t>Alternative1</t>
        </is>
      </c>
      <c r="D78" s="4" t="inlineStr">
        <is>
          <t>Inspection and trash removal</t>
        </is>
      </c>
      <c r="E78" s="4" t="inlineStr">
        <is>
          <t>RATE</t>
        </is>
      </c>
      <c r="F78" s="10" t="n"/>
      <c r="G78" s="10" t="n"/>
      <c r="H78" s="4" t="inlineStr"/>
      <c r="I78" s="27" t="n">
        <v>4</v>
      </c>
      <c r="J78" s="28" t="n">
        <v>4381.59744</v>
      </c>
      <c r="K78" s="14" t="n">
        <v>2</v>
      </c>
      <c r="L78" s="14" t="n"/>
      <c r="M78" s="14" t="n"/>
      <c r="N78" s="26">
        <f>IF(E78="FIXED",F78,IF(E78="PERCENT",G78*IFERROR(INDEX(Costs!$D$6:$F$36,MATCH(A78,Costs!$A$6:$A$36,0),MATCH(H78,Costs!$D$5:$F$5,0)),0),I78*J78))</f>
        <v/>
      </c>
      <c r="O78" s="6">
        <f>IF(ISNUMBER(L78),L78,K78)</f>
        <v/>
      </c>
      <c r="P78" s="6">
        <f>IF(ISNUMBER(M78),MIN(M78,in_poa),in_poa)</f>
        <v/>
      </c>
      <c r="Q78" s="6">
        <f>IF(P78&lt;O78,0,INT((P78-O78)/K78)+1)</f>
        <v/>
      </c>
      <c r="R78" s="26">
        <f>IF(Q78=0,0,IF(in_rate=0,N78*Q78,N78*(1+in_rate)^(-O78)*(1-(1+in_rate)^(-K78*Q78))/(1-(1+in_rate)^(-K78))))</f>
        <v/>
      </c>
      <c r="S78" s="26">
        <f>IF(in_timing="MID_YEAR",IF(O78=0,IF(Q78=0,0,N78+(R78-N78)*(1+in_rate)^0.5),R78*(1+in_rate)^0.5),R78)</f>
        <v/>
      </c>
    </row>
    <row r="79">
      <c r="A79" s="10">
        <f>B79&amp;"|"&amp;C79</f>
        <v/>
      </c>
      <c r="B79" s="4" t="inlineStr">
        <is>
          <t>3F</t>
        </is>
      </c>
      <c r="C79" s="4" t="inlineStr">
        <is>
          <t>Alternative1</t>
        </is>
      </c>
      <c r="D79" s="4" t="inlineStr">
        <is>
          <t>Invasive species control</t>
        </is>
      </c>
      <c r="E79" s="4" t="inlineStr">
        <is>
          <t>FIXED</t>
        </is>
      </c>
      <c r="F79" s="27" t="n">
        <v>15000</v>
      </c>
      <c r="G79" s="10" t="n"/>
      <c r="H79" s="4" t="inlineStr"/>
      <c r="I79" s="10" t="n"/>
      <c r="J79" s="10" t="n"/>
      <c r="K79" s="14" t="n">
        <v>10</v>
      </c>
      <c r="L79" s="14" t="n"/>
      <c r="M79" s="14" t="n"/>
      <c r="N79" s="26">
        <f>IF(E79="FIXED",F79,IF(E79="PERCENT",G79*IFERROR(INDEX(Costs!$D$6:$F$36,MATCH(A79,Costs!$A$6:$A$36,0),MATCH(H79,Costs!$D$5:$F$5,0)),0),I79*J79))</f>
        <v/>
      </c>
      <c r="O79" s="6">
        <f>IF(ISNUMBER(L79),L79,K79)</f>
        <v/>
      </c>
      <c r="P79" s="6">
        <f>IF(ISNUMBER(M79),MIN(M79,in_poa),in_poa)</f>
        <v/>
      </c>
      <c r="Q79" s="6">
        <f>IF(P79&lt;O79,0,INT((P79-O79)/K79)+1)</f>
        <v/>
      </c>
      <c r="R79" s="26">
        <f>IF(Q79=0,0,IF(in_rate=0,N79*Q79,N79*(1+in_rate)^(-O79)*(1-(1+in_rate)^(-K79*Q79))/(1-(1+in_rate)^(-K79))))</f>
        <v/>
      </c>
      <c r="S79" s="26">
        <f>IF(in_timing="MID_YEAR",IF(O79=0,IF(Q79=0,0,N79+(R79-N79)*(1+in_rate)^0.5),R79*(1+in_rate)^0.5),R79)</f>
        <v/>
      </c>
    </row>
    <row r="80">
      <c r="A80" s="10">
        <f>B80&amp;"|"&amp;C80</f>
        <v/>
      </c>
      <c r="B80" s="4" t="inlineStr">
        <is>
          <t>3F</t>
        </is>
      </c>
      <c r="C80" s="4" t="inlineStr">
        <is>
          <t>Alternative1</t>
        </is>
      </c>
      <c r="D80" s="4" t="inlineStr">
        <is>
          <t>Wood, rock and earth repair</t>
        </is>
      </c>
      <c r="E80" s="4" t="inlineStr">
        <is>
          <t>PERCENT</t>
        </is>
      </c>
      <c r="F80" s="10" t="n"/>
      <c r="G80" s="29" t="n">
        <v>0.1</v>
      </c>
      <c r="H80" s="4" t="inlineStr">
        <is>
          <t>construction</t>
        </is>
      </c>
      <c r="I80" s="10" t="n"/>
      <c r="J80" s="10" t="n"/>
      <c r="K80" s="14" t="n">
        <v>25</v>
      </c>
      <c r="L80" s="14" t="n"/>
      <c r="M80" s="14" t="n"/>
      <c r="N80" s="26">
        <f>IF(E80="FIXED",F80,IF(E80="PERCENT",G80*IFERROR(INDEX(Costs!$D$6:$F$36,MATCH(A80,Costs!$A$6:$A$36,0),MATCH(H80,Costs!$D$5:$F$5,0)),0),I80*J80))</f>
        <v/>
      </c>
      <c r="O80" s="6">
        <f>IF(ISNUMBER(L80),L80,K80)</f>
        <v/>
      </c>
      <c r="P80" s="6">
        <f>IF(ISNUMBER(M80),MIN(M80,in_poa),in_poa)</f>
        <v/>
      </c>
      <c r="Q80" s="6">
        <f>IF(P80&lt;O80,0,INT((P80-O80)/K80)+1)</f>
        <v/>
      </c>
      <c r="R80" s="26">
        <f>IF(Q80=0,0,IF(in_rate=0,N80*Q80,N80*(1+in_rate)^(-O80)*(1-(1+in_rate)^(-K80*Q80))/(1-(1+in_rate)^(-K80))))</f>
        <v/>
      </c>
      <c r="S80" s="26">
        <f>IF(in_timing="MID_YEAR",IF(O80=0,IF(Q80=0,0,N80+(R80-N80)*(1+in_rate)^0.5),R80*(1+in_rate)^0.5),R80)</f>
        <v/>
      </c>
    </row>
    <row r="81">
      <c r="A81" s="10">
        <f>B81&amp;"|"&amp;C81</f>
        <v/>
      </c>
      <c r="B81" s="4" t="inlineStr">
        <is>
          <t>3F</t>
        </is>
      </c>
      <c r="C81" s="4" t="inlineStr">
        <is>
          <t>Alternative2</t>
        </is>
      </c>
      <c r="D81" s="4" t="inlineStr">
        <is>
          <t>General maintenance</t>
        </is>
      </c>
      <c r="E81" s="4" t="inlineStr">
        <is>
          <t>FIXED</t>
        </is>
      </c>
      <c r="F81" s="27" t="n">
        <v>10000</v>
      </c>
      <c r="G81" s="10" t="n"/>
      <c r="H81" s="4" t="inlineStr"/>
      <c r="I81" s="10" t="n"/>
      <c r="J81" s="10" t="n"/>
      <c r="K81" s="14" t="n">
        <v>1</v>
      </c>
      <c r="L81" s="14" t="n"/>
      <c r="M81" s="14" t="n"/>
      <c r="N81" s="26">
        <f>IF(E81="FIXED",F81,IF(E81="PERCENT",G81*IFERROR(INDEX(Costs!$D$6:$F$36,MATCH(A81,Costs!$A$6:$A$36,0),MATCH(H81,Costs!$D$5:$F$5,0)),0),I81*J81))</f>
        <v/>
      </c>
      <c r="O81" s="6">
        <f>IF(ISNUMBER(L81),L81,K81)</f>
        <v/>
      </c>
      <c r="P81" s="6">
        <f>IF(ISNUMBER(M81),MIN(M81,in_poa),in_poa)</f>
        <v/>
      </c>
      <c r="Q81" s="6">
        <f>IF(P81&lt;O81,0,INT((P81-O81)/K81)+1)</f>
        <v/>
      </c>
      <c r="R81" s="26">
        <f>IF(Q81=0,0,IF(in_rate=0,N81*Q81,N81*(1+in_rate)^(-O81)*(1-(1+in_rate)^(-K81*Q81))/(1-(1+in_rate)^(-K81))))</f>
        <v/>
      </c>
      <c r="S81" s="26">
        <f>IF(in_timing="MID_YEAR",IF(O81=0,IF(Q81=0,0,N81+(R81-N81)*(1+in_rate)^0.5),R81*(1+in_rate)^0.5),R81)</f>
        <v/>
      </c>
    </row>
    <row r="82">
      <c r="A82" s="10">
        <f>B82&amp;"|"&amp;C82</f>
        <v/>
      </c>
      <c r="B82" s="4" t="inlineStr">
        <is>
          <t>3F</t>
        </is>
      </c>
      <c r="C82" s="4" t="inlineStr">
        <is>
          <t>Alternative2</t>
        </is>
      </c>
      <c r="D82" s="4" t="inlineStr">
        <is>
          <t>Inspection and trash removal</t>
        </is>
      </c>
      <c r="E82" s="4" t="inlineStr">
        <is>
          <t>RATE</t>
        </is>
      </c>
      <c r="F82" s="10" t="n"/>
      <c r="G82" s="10" t="n"/>
      <c r="H82" s="4" t="inlineStr"/>
      <c r="I82" s="27" t="n">
        <v>4</v>
      </c>
      <c r="J82" s="28" t="n">
        <v>4381.59744</v>
      </c>
      <c r="K82" s="14" t="n">
        <v>2</v>
      </c>
      <c r="L82" s="14" t="n"/>
      <c r="M82" s="14" t="n"/>
      <c r="N82" s="26">
        <f>IF(E82="FIXED",F82,IF(E82="PERCENT",G82*IFERROR(INDEX(Costs!$D$6:$F$36,MATCH(A82,Costs!$A$6:$A$36,0),MATCH(H82,Costs!$D$5:$F$5,0)),0),I82*J82))</f>
        <v/>
      </c>
      <c r="O82" s="6">
        <f>IF(ISNUMBER(L82),L82,K82)</f>
        <v/>
      </c>
      <c r="P82" s="6">
        <f>IF(ISNUMBER(M82),MIN(M82,in_poa),in_poa)</f>
        <v/>
      </c>
      <c r="Q82" s="6">
        <f>IF(P82&lt;O82,0,INT((P82-O82)/K82)+1)</f>
        <v/>
      </c>
      <c r="R82" s="26">
        <f>IF(Q82=0,0,IF(in_rate=0,N82*Q82,N82*(1+in_rate)^(-O82)*(1-(1+in_rate)^(-K82*Q82))/(1-(1+in_rate)^(-K82))))</f>
        <v/>
      </c>
      <c r="S82" s="26">
        <f>IF(in_timing="MID_YEAR",IF(O82=0,IF(Q82=0,0,N82+(R82-N82)*(1+in_rate)^0.5),R82*(1+in_rate)^0.5),R82)</f>
        <v/>
      </c>
    </row>
    <row r="83">
      <c r="A83" s="10">
        <f>B83&amp;"|"&amp;C83</f>
        <v/>
      </c>
      <c r="B83" s="4" t="inlineStr">
        <is>
          <t>3F</t>
        </is>
      </c>
      <c r="C83" s="4" t="inlineStr">
        <is>
          <t>Alternative2</t>
        </is>
      </c>
      <c r="D83" s="4" t="inlineStr">
        <is>
          <t>Invasive species control</t>
        </is>
      </c>
      <c r="E83" s="4" t="inlineStr">
        <is>
          <t>FIXED</t>
        </is>
      </c>
      <c r="F83" s="27" t="n">
        <v>15000</v>
      </c>
      <c r="G83" s="10" t="n"/>
      <c r="H83" s="4" t="inlineStr"/>
      <c r="I83" s="10" t="n"/>
      <c r="J83" s="10" t="n"/>
      <c r="K83" s="14" t="n">
        <v>10</v>
      </c>
      <c r="L83" s="14" t="n"/>
      <c r="M83" s="14" t="n"/>
      <c r="N83" s="26">
        <f>IF(E83="FIXED",F83,IF(E83="PERCENT",G83*IFERROR(INDEX(Costs!$D$6:$F$36,MATCH(A83,Costs!$A$6:$A$36,0),MATCH(H83,Costs!$D$5:$F$5,0)),0),I83*J83))</f>
        <v/>
      </c>
      <c r="O83" s="6">
        <f>IF(ISNUMBER(L83),L83,K83)</f>
        <v/>
      </c>
      <c r="P83" s="6">
        <f>IF(ISNUMBER(M83),MIN(M83,in_poa),in_poa)</f>
        <v/>
      </c>
      <c r="Q83" s="6">
        <f>IF(P83&lt;O83,0,INT((P83-O83)/K83)+1)</f>
        <v/>
      </c>
      <c r="R83" s="26">
        <f>IF(Q83=0,0,IF(in_rate=0,N83*Q83,N83*(1+in_rate)^(-O83)*(1-(1+in_rate)^(-K83*Q83))/(1-(1+in_rate)^(-K83))))</f>
        <v/>
      </c>
      <c r="S83" s="26">
        <f>IF(in_timing="MID_YEAR",IF(O83=0,IF(Q83=0,0,N83+(R83-N83)*(1+in_rate)^0.5),R83*(1+in_rate)^0.5),R83)</f>
        <v/>
      </c>
    </row>
    <row r="84">
      <c r="A84" s="10">
        <f>B84&amp;"|"&amp;C84</f>
        <v/>
      </c>
      <c r="B84" s="4" t="inlineStr">
        <is>
          <t>3F</t>
        </is>
      </c>
      <c r="C84" s="4" t="inlineStr">
        <is>
          <t>Alternative2</t>
        </is>
      </c>
      <c r="D84" s="4" t="inlineStr">
        <is>
          <t>Wood, rock and earth repair</t>
        </is>
      </c>
      <c r="E84" s="4" t="inlineStr">
        <is>
          <t>PERCENT</t>
        </is>
      </c>
      <c r="F84" s="10" t="n"/>
      <c r="G84" s="29" t="n">
        <v>0.1</v>
      </c>
      <c r="H84" s="4" t="inlineStr">
        <is>
          <t>construction</t>
        </is>
      </c>
      <c r="I84" s="10" t="n"/>
      <c r="J84" s="10" t="n"/>
      <c r="K84" s="14" t="n">
        <v>25</v>
      </c>
      <c r="L84" s="14" t="n"/>
      <c r="M84" s="14" t="n"/>
      <c r="N84" s="26">
        <f>IF(E84="FIXED",F84,IF(E84="PERCENT",G84*IFERROR(INDEX(Costs!$D$6:$F$36,MATCH(A84,Costs!$A$6:$A$36,0),MATCH(H84,Costs!$D$5:$F$5,0)),0),I84*J84))</f>
        <v/>
      </c>
      <c r="O84" s="6">
        <f>IF(ISNUMBER(L84),L84,K84)</f>
        <v/>
      </c>
      <c r="P84" s="6">
        <f>IF(ISNUMBER(M84),MIN(M84,in_poa),in_poa)</f>
        <v/>
      </c>
      <c r="Q84" s="6">
        <f>IF(P84&lt;O84,0,INT((P84-O84)/K84)+1)</f>
        <v/>
      </c>
      <c r="R84" s="26">
        <f>IF(Q84=0,0,IF(in_rate=0,N84*Q84,N84*(1+in_rate)^(-O84)*(1-(1+in_rate)^(-K84*Q84))/(1-(1+in_rate)^(-K84))))</f>
        <v/>
      </c>
      <c r="S84" s="26">
        <f>IF(in_timing="MID_YEAR",IF(O84=0,IF(Q84=0,0,N84+(R84-N84)*(1+in_rate)^0.5),R84*(1+in_rate)^0.5),R84)</f>
        <v/>
      </c>
    </row>
    <row r="85">
      <c r="A85" s="10">
        <f>B85&amp;"|"&amp;C85</f>
        <v/>
      </c>
      <c r="B85" s="4" t="inlineStr">
        <is>
          <t>3F</t>
        </is>
      </c>
      <c r="C85" s="4" t="inlineStr">
        <is>
          <t>Alternative3</t>
        </is>
      </c>
      <c r="D85" s="4" t="inlineStr">
        <is>
          <t>General maintenance</t>
        </is>
      </c>
      <c r="E85" s="4" t="inlineStr">
        <is>
          <t>FIXED</t>
        </is>
      </c>
      <c r="F85" s="27" t="n">
        <v>10000</v>
      </c>
      <c r="G85" s="10" t="n"/>
      <c r="H85" s="4" t="inlineStr"/>
      <c r="I85" s="10" t="n"/>
      <c r="J85" s="10" t="n"/>
      <c r="K85" s="14" t="n">
        <v>1</v>
      </c>
      <c r="L85" s="14" t="n"/>
      <c r="M85" s="14" t="n"/>
      <c r="N85" s="26">
        <f>IF(E85="FIXED",F85,IF(E85="PERCENT",G85*IFERROR(INDEX(Costs!$D$6:$F$36,MATCH(A85,Costs!$A$6:$A$36,0),MATCH(H85,Costs!$D$5:$F$5,0)),0),I85*J85))</f>
        <v/>
      </c>
      <c r="O85" s="6">
        <f>IF(ISNUMBER(L85),L85,K85)</f>
        <v/>
      </c>
      <c r="P85" s="6">
        <f>IF(ISNUMBER(M85),MIN(M85,in_poa),in_poa)</f>
        <v/>
      </c>
      <c r="Q85" s="6">
        <f>IF(P85&lt;O85,0,INT((P85-O85)/K85)+1)</f>
        <v/>
      </c>
      <c r="R85" s="26">
        <f>IF(Q85=0,0,IF(in_rate=0,N85*Q85,N85*(1+in_rate)^(-O85)*(1-(1+in_rate)^(-K85*Q85))/(1-(1+in_rate)^(-K85))))</f>
        <v/>
      </c>
      <c r="S85" s="26">
        <f>IF(in_timing="MID_YEAR",IF(O85=0,IF(Q85=0,0,N85+(R85-N85)*(1+in_rate)^0.5),R85*(1+in_rate)^0.5),R85)</f>
        <v/>
      </c>
    </row>
    <row r="86">
      <c r="A86" s="10">
        <f>B86&amp;"|"&amp;C86</f>
        <v/>
      </c>
      <c r="B86" s="4" t="inlineStr">
        <is>
          <t>3F</t>
        </is>
      </c>
      <c r="C86" s="4" t="inlineStr">
        <is>
          <t>Alternative3</t>
        </is>
      </c>
      <c r="D86" s="4" t="inlineStr">
        <is>
          <t>Inspection and trash removal</t>
        </is>
      </c>
      <c r="E86" s="4" t="inlineStr">
        <is>
          <t>RATE</t>
        </is>
      </c>
      <c r="F86" s="10" t="n"/>
      <c r="G86" s="10" t="n"/>
      <c r="H86" s="4" t="inlineStr"/>
      <c r="I86" s="27" t="n">
        <v>4</v>
      </c>
      <c r="J86" s="28" t="n">
        <v>4381.59744</v>
      </c>
      <c r="K86" s="14" t="n">
        <v>2</v>
      </c>
      <c r="L86" s="14" t="n"/>
      <c r="M86" s="14" t="n"/>
      <c r="N86" s="26">
        <f>IF(E86="FIXED",F86,IF(E86="PERCENT",G86*IFERROR(INDEX(Costs!$D$6:$F$36,MATCH(A86,Costs!$A$6:$A$36,0),MATCH(H86,Costs!$D$5:$F$5,0)),0),I86*J86))</f>
        <v/>
      </c>
      <c r="O86" s="6">
        <f>IF(ISNUMBER(L86),L86,K86)</f>
        <v/>
      </c>
      <c r="P86" s="6">
        <f>IF(ISNUMBER(M86),MIN(M86,in_poa),in_poa)</f>
        <v/>
      </c>
      <c r="Q86" s="6">
        <f>IF(P86&lt;O86,0,INT((P86-O86)/K86)+1)</f>
        <v/>
      </c>
      <c r="R86" s="26">
        <f>IF(Q86=0,0,IF(in_rate=0,N86*Q86,N86*(1+in_rate)^(-O86)*(1-(1+in_rate)^(-K86*Q86))/(1-(1+in_rate)^(-K86))))</f>
        <v/>
      </c>
      <c r="S86" s="26">
        <f>IF(in_timing="MID_YEAR",IF(O86=0,IF(Q86=0,0,N86+(R86-N86)*(1+in_rate)^0.5),R86*(1+in_rate)^0.5),R86)</f>
        <v/>
      </c>
    </row>
    <row r="87">
      <c r="A87" s="10">
        <f>B87&amp;"|"&amp;C87</f>
        <v/>
      </c>
      <c r="B87" s="4" t="inlineStr">
        <is>
          <t>3F</t>
        </is>
      </c>
      <c r="C87" s="4" t="inlineStr">
        <is>
          <t>Alternative3</t>
        </is>
      </c>
      <c r="D87" s="4" t="inlineStr">
        <is>
          <t>Invasive species control</t>
        </is>
      </c>
      <c r="E87" s="4" t="inlineStr">
        <is>
          <t>FIXED</t>
        </is>
      </c>
      <c r="F87" s="27" t="n">
        <v>15000</v>
      </c>
      <c r="G87" s="10" t="n"/>
      <c r="H87" s="4" t="inlineStr"/>
      <c r="I87" s="10" t="n"/>
      <c r="J87" s="10" t="n"/>
      <c r="K87" s="14" t="n">
        <v>10</v>
      </c>
      <c r="L87" s="14" t="n"/>
      <c r="M87" s="14" t="n"/>
      <c r="N87" s="26">
        <f>IF(E87="FIXED",F87,IF(E87="PERCENT",G87*IFERROR(INDEX(Costs!$D$6:$F$36,MATCH(A87,Costs!$A$6:$A$36,0),MATCH(H87,Costs!$D$5:$F$5,0)),0),I87*J87))</f>
        <v/>
      </c>
      <c r="O87" s="6">
        <f>IF(ISNUMBER(L87),L87,K87)</f>
        <v/>
      </c>
      <c r="P87" s="6">
        <f>IF(ISNUMBER(M87),MIN(M87,in_poa),in_poa)</f>
        <v/>
      </c>
      <c r="Q87" s="6">
        <f>IF(P87&lt;O87,0,INT((P87-O87)/K87)+1)</f>
        <v/>
      </c>
      <c r="R87" s="26">
        <f>IF(Q87=0,0,IF(in_rate=0,N87*Q87,N87*(1+in_rate)^(-O87)*(1-(1+in_rate)^(-K87*Q87))/(1-(1+in_rate)^(-K87))))</f>
        <v/>
      </c>
      <c r="S87" s="26">
        <f>IF(in_timing="MID_YEAR",IF(O87=0,IF(Q87=0,0,N87+(R87-N87)*(1+in_rate)^0.5),R87*(1+in_rate)^0.5),R87)</f>
        <v/>
      </c>
    </row>
    <row r="88">
      <c r="A88" s="10">
        <f>B88&amp;"|"&amp;C88</f>
        <v/>
      </c>
      <c r="B88" s="4" t="inlineStr">
        <is>
          <t>3F</t>
        </is>
      </c>
      <c r="C88" s="4" t="inlineStr">
        <is>
          <t>Alternative3</t>
        </is>
      </c>
      <c r="D88" s="4" t="inlineStr">
        <is>
          <t>Wood, rock and earth repair</t>
        </is>
      </c>
      <c r="E88" s="4" t="inlineStr">
        <is>
          <t>PERCENT</t>
        </is>
      </c>
      <c r="F88" s="10" t="n"/>
      <c r="G88" s="29" t="n">
        <v>0.1</v>
      </c>
      <c r="H88" s="4" t="inlineStr">
        <is>
          <t>construction</t>
        </is>
      </c>
      <c r="I88" s="10" t="n"/>
      <c r="J88" s="10" t="n"/>
      <c r="K88" s="14" t="n">
        <v>25</v>
      </c>
      <c r="L88" s="14" t="n"/>
      <c r="M88" s="14" t="n"/>
      <c r="N88" s="26">
        <f>IF(E88="FIXED",F88,IF(E88="PERCENT",G88*IFERROR(INDEX(Costs!$D$6:$F$36,MATCH(A88,Costs!$A$6:$A$36,0),MATCH(H88,Costs!$D$5:$F$5,0)),0),I88*J88))</f>
        <v/>
      </c>
      <c r="O88" s="6">
        <f>IF(ISNUMBER(L88),L88,K88)</f>
        <v/>
      </c>
      <c r="P88" s="6">
        <f>IF(ISNUMBER(M88),MIN(M88,in_poa),in_poa)</f>
        <v/>
      </c>
      <c r="Q88" s="6">
        <f>IF(P88&lt;O88,0,INT((P88-O88)/K88)+1)</f>
        <v/>
      </c>
      <c r="R88" s="26">
        <f>IF(Q88=0,0,IF(in_rate=0,N88*Q88,N88*(1+in_rate)^(-O88)*(1-(1+in_rate)^(-K88*Q88))/(1-(1+in_rate)^(-K88))))</f>
        <v/>
      </c>
      <c r="S88" s="26">
        <f>IF(in_timing="MID_YEAR",IF(O88=0,IF(Q88=0,0,N88+(R88-N88)*(1+in_rate)^0.5),R88*(1+in_rate)^0.5),R88)</f>
        <v/>
      </c>
    </row>
    <row r="89">
      <c r="A89" s="10">
        <f>B89&amp;"|"&amp;C89</f>
        <v/>
      </c>
      <c r="B89" s="4" t="inlineStr">
        <is>
          <t>19A</t>
        </is>
      </c>
      <c r="C89" s="4" t="inlineStr">
        <is>
          <t>Alternative2</t>
        </is>
      </c>
      <c r="D89" s="4" t="inlineStr">
        <is>
          <t>General maintenance</t>
        </is>
      </c>
      <c r="E89" s="4" t="inlineStr">
        <is>
          <t>FIXED</t>
        </is>
      </c>
      <c r="F89" s="27" t="n">
        <v>10000</v>
      </c>
      <c r="G89" s="10" t="n"/>
      <c r="H89" s="4" t="inlineStr"/>
      <c r="I89" s="10" t="n"/>
      <c r="J89" s="10" t="n"/>
      <c r="K89" s="14" t="n">
        <v>1</v>
      </c>
      <c r="L89" s="14" t="n"/>
      <c r="M89" s="14" t="n"/>
      <c r="N89" s="26">
        <f>IF(E89="FIXED",F89,IF(E89="PERCENT",G89*IFERROR(INDEX(Costs!$D$6:$F$36,MATCH(A89,Costs!$A$6:$A$36,0),MATCH(H89,Costs!$D$5:$F$5,0)),0),I89*J89))</f>
        <v/>
      </c>
      <c r="O89" s="6">
        <f>IF(ISNUMBER(L89),L89,K89)</f>
        <v/>
      </c>
      <c r="P89" s="6">
        <f>IF(ISNUMBER(M89),MIN(M89,in_poa),in_poa)</f>
        <v/>
      </c>
      <c r="Q89" s="6">
        <f>IF(P89&lt;O89,0,INT((P89-O89)/K89)+1)</f>
        <v/>
      </c>
      <c r="R89" s="26">
        <f>IF(Q89=0,0,IF(in_rate=0,N89*Q89,N89*(1+in_rate)^(-O89)*(1-(1+in_rate)^(-K89*Q89))/(1-(1+in_rate)^(-K89))))</f>
        <v/>
      </c>
      <c r="S89" s="26">
        <f>IF(in_timing="MID_YEAR",IF(O89=0,IF(Q89=0,0,N89+(R89-N89)*(1+in_rate)^0.5),R89*(1+in_rate)^0.5),R89)</f>
        <v/>
      </c>
    </row>
    <row r="90">
      <c r="A90" s="10">
        <f>B90&amp;"|"&amp;C90</f>
        <v/>
      </c>
      <c r="B90" s="4" t="inlineStr">
        <is>
          <t>19A</t>
        </is>
      </c>
      <c r="C90" s="4" t="inlineStr">
        <is>
          <t>Alternative2</t>
        </is>
      </c>
      <c r="D90" s="4" t="inlineStr">
        <is>
          <t>Inspection and trash removal</t>
        </is>
      </c>
      <c r="E90" s="4" t="inlineStr">
        <is>
          <t>RATE</t>
        </is>
      </c>
      <c r="F90" s="10" t="n"/>
      <c r="G90" s="10" t="n"/>
      <c r="H90" s="4" t="inlineStr"/>
      <c r="I90" s="27" t="n">
        <v>4</v>
      </c>
      <c r="J90" s="28" t="n">
        <v>5026.9824</v>
      </c>
      <c r="K90" s="14" t="n">
        <v>2</v>
      </c>
      <c r="L90" s="14" t="n"/>
      <c r="M90" s="14" t="n"/>
      <c r="N90" s="26">
        <f>IF(E90="FIXED",F90,IF(E90="PERCENT",G90*IFERROR(INDEX(Costs!$D$6:$F$36,MATCH(A90,Costs!$A$6:$A$36,0),MATCH(H90,Costs!$D$5:$F$5,0)),0),I90*J90))</f>
        <v/>
      </c>
      <c r="O90" s="6">
        <f>IF(ISNUMBER(L90),L90,K90)</f>
        <v/>
      </c>
      <c r="P90" s="6">
        <f>IF(ISNUMBER(M90),MIN(M90,in_poa),in_poa)</f>
        <v/>
      </c>
      <c r="Q90" s="6">
        <f>IF(P90&lt;O90,0,INT((P90-O90)/K90)+1)</f>
        <v/>
      </c>
      <c r="R90" s="26">
        <f>IF(Q90=0,0,IF(in_rate=0,N90*Q90,N90*(1+in_rate)^(-O90)*(1-(1+in_rate)^(-K90*Q90))/(1-(1+in_rate)^(-K90))))</f>
        <v/>
      </c>
      <c r="S90" s="26">
        <f>IF(in_timing="MID_YEAR",IF(O90=0,IF(Q90=0,0,N90+(R90-N90)*(1+in_rate)^0.5),R90*(1+in_rate)^0.5),R90)</f>
        <v/>
      </c>
    </row>
    <row r="91">
      <c r="A91" s="10">
        <f>B91&amp;"|"&amp;C91</f>
        <v/>
      </c>
      <c r="B91" s="4" t="inlineStr">
        <is>
          <t>19A</t>
        </is>
      </c>
      <c r="C91" s="4" t="inlineStr">
        <is>
          <t>Alternative2</t>
        </is>
      </c>
      <c r="D91" s="4" t="inlineStr">
        <is>
          <t>Invasive species control</t>
        </is>
      </c>
      <c r="E91" s="4" t="inlineStr">
        <is>
          <t>FIXED</t>
        </is>
      </c>
      <c r="F91" s="27" t="n">
        <v>15000</v>
      </c>
      <c r="G91" s="10" t="n"/>
      <c r="H91" s="4" t="inlineStr"/>
      <c r="I91" s="10" t="n"/>
      <c r="J91" s="10" t="n"/>
      <c r="K91" s="14" t="n">
        <v>10</v>
      </c>
      <c r="L91" s="14" t="n"/>
      <c r="M91" s="14" t="n"/>
      <c r="N91" s="26">
        <f>IF(E91="FIXED",F91,IF(E91="PERCENT",G91*IFERROR(INDEX(Costs!$D$6:$F$36,MATCH(A91,Costs!$A$6:$A$36,0),MATCH(H91,Costs!$D$5:$F$5,0)),0),I91*J91))</f>
        <v/>
      </c>
      <c r="O91" s="6">
        <f>IF(ISNUMBER(L91),L91,K91)</f>
        <v/>
      </c>
      <c r="P91" s="6">
        <f>IF(ISNUMBER(M91),MIN(M91,in_poa),in_poa)</f>
        <v/>
      </c>
      <c r="Q91" s="6">
        <f>IF(P91&lt;O91,0,INT((P91-O91)/K91)+1)</f>
        <v/>
      </c>
      <c r="R91" s="26">
        <f>IF(Q91=0,0,IF(in_rate=0,N91*Q91,N91*(1+in_rate)^(-O91)*(1-(1+in_rate)^(-K91*Q91))/(1-(1+in_rate)^(-K91))))</f>
        <v/>
      </c>
      <c r="S91" s="26">
        <f>IF(in_timing="MID_YEAR",IF(O91=0,IF(Q91=0,0,N91+(R91-N91)*(1+in_rate)^0.5),R91*(1+in_rate)^0.5),R91)</f>
        <v/>
      </c>
    </row>
    <row r="92">
      <c r="A92" s="10">
        <f>B92&amp;"|"&amp;C92</f>
        <v/>
      </c>
      <c r="B92" s="4" t="inlineStr">
        <is>
          <t>19A</t>
        </is>
      </c>
      <c r="C92" s="4" t="inlineStr">
        <is>
          <t>Alternative2</t>
        </is>
      </c>
      <c r="D92" s="4" t="inlineStr">
        <is>
          <t>Wood, rock and earth repair</t>
        </is>
      </c>
      <c r="E92" s="4" t="inlineStr">
        <is>
          <t>PERCENT</t>
        </is>
      </c>
      <c r="F92" s="10" t="n"/>
      <c r="G92" s="29" t="n">
        <v>0.1</v>
      </c>
      <c r="H92" s="4" t="inlineStr">
        <is>
          <t>construction</t>
        </is>
      </c>
      <c r="I92" s="10" t="n"/>
      <c r="J92" s="10" t="n"/>
      <c r="K92" s="14" t="n">
        <v>25</v>
      </c>
      <c r="L92" s="14" t="n"/>
      <c r="M92" s="14" t="n"/>
      <c r="N92" s="26">
        <f>IF(E92="FIXED",F92,IF(E92="PERCENT",G92*IFERROR(INDEX(Costs!$D$6:$F$36,MATCH(A92,Costs!$A$6:$A$36,0),MATCH(H92,Costs!$D$5:$F$5,0)),0),I92*J92))</f>
        <v/>
      </c>
      <c r="O92" s="6">
        <f>IF(ISNUMBER(L92),L92,K92)</f>
        <v/>
      </c>
      <c r="P92" s="6">
        <f>IF(ISNUMBER(M92),MIN(M92,in_poa),in_poa)</f>
        <v/>
      </c>
      <c r="Q92" s="6">
        <f>IF(P92&lt;O92,0,INT((P92-O92)/K92)+1)</f>
        <v/>
      </c>
      <c r="R92" s="26">
        <f>IF(Q92=0,0,IF(in_rate=0,N92*Q92,N92*(1+in_rate)^(-O92)*(1-(1+in_rate)^(-K92*Q92))/(1-(1+in_rate)^(-K92))))</f>
        <v/>
      </c>
      <c r="S92" s="26">
        <f>IF(in_timing="MID_YEAR",IF(O92=0,IF(Q92=0,0,N92+(R92-N92)*(1+in_rate)^0.5),R92*(1+in_rate)^0.5),R92)</f>
        <v/>
      </c>
    </row>
    <row r="93">
      <c r="A93" s="10">
        <f>B93&amp;"|"&amp;C93</f>
        <v/>
      </c>
      <c r="B93" s="4" t="inlineStr">
        <is>
          <t>19A</t>
        </is>
      </c>
      <c r="C93" s="4" t="inlineStr">
        <is>
          <t>Alternative3</t>
        </is>
      </c>
      <c r="D93" s="4" t="inlineStr">
        <is>
          <t>General maintenance</t>
        </is>
      </c>
      <c r="E93" s="4" t="inlineStr">
        <is>
          <t>FIXED</t>
        </is>
      </c>
      <c r="F93" s="27" t="n">
        <v>10000</v>
      </c>
      <c r="G93" s="10" t="n"/>
      <c r="H93" s="4" t="inlineStr"/>
      <c r="I93" s="10" t="n"/>
      <c r="J93" s="10" t="n"/>
      <c r="K93" s="14" t="n">
        <v>1</v>
      </c>
      <c r="L93" s="14" t="n"/>
      <c r="M93" s="14" t="n"/>
      <c r="N93" s="26">
        <f>IF(E93="FIXED",F93,IF(E93="PERCENT",G93*IFERROR(INDEX(Costs!$D$6:$F$36,MATCH(A93,Costs!$A$6:$A$36,0),MATCH(H93,Costs!$D$5:$F$5,0)),0),I93*J93))</f>
        <v/>
      </c>
      <c r="O93" s="6">
        <f>IF(ISNUMBER(L93),L93,K93)</f>
        <v/>
      </c>
      <c r="P93" s="6">
        <f>IF(ISNUMBER(M93),MIN(M93,in_poa),in_poa)</f>
        <v/>
      </c>
      <c r="Q93" s="6">
        <f>IF(P93&lt;O93,0,INT((P93-O93)/K93)+1)</f>
        <v/>
      </c>
      <c r="R93" s="26">
        <f>IF(Q93=0,0,IF(in_rate=0,N93*Q93,N93*(1+in_rate)^(-O93)*(1-(1+in_rate)^(-K93*Q93))/(1-(1+in_rate)^(-K93))))</f>
        <v/>
      </c>
      <c r="S93" s="26">
        <f>IF(in_timing="MID_YEAR",IF(O93=0,IF(Q93=0,0,N93+(R93-N93)*(1+in_rate)^0.5),R93*(1+in_rate)^0.5),R93)</f>
        <v/>
      </c>
    </row>
    <row r="94">
      <c r="A94" s="10">
        <f>B94&amp;"|"&amp;C94</f>
        <v/>
      </c>
      <c r="B94" s="4" t="inlineStr">
        <is>
          <t>19A</t>
        </is>
      </c>
      <c r="C94" s="4" t="inlineStr">
        <is>
          <t>Alternative3</t>
        </is>
      </c>
      <c r="D94" s="4" t="inlineStr">
        <is>
          <t>Inspection and trash removal</t>
        </is>
      </c>
      <c r="E94" s="4" t="inlineStr">
        <is>
          <t>RATE</t>
        </is>
      </c>
      <c r="F94" s="10" t="n"/>
      <c r="G94" s="10" t="n"/>
      <c r="H94" s="4" t="inlineStr"/>
      <c r="I94" s="27" t="n">
        <v>4</v>
      </c>
      <c r="J94" s="28" t="n">
        <v>5026.9824</v>
      </c>
      <c r="K94" s="14" t="n">
        <v>2</v>
      </c>
      <c r="L94" s="14" t="n"/>
      <c r="M94" s="14" t="n"/>
      <c r="N94" s="26">
        <f>IF(E94="FIXED",F94,IF(E94="PERCENT",G94*IFERROR(INDEX(Costs!$D$6:$F$36,MATCH(A94,Costs!$A$6:$A$36,0),MATCH(H94,Costs!$D$5:$F$5,0)),0),I94*J94))</f>
        <v/>
      </c>
      <c r="O94" s="6">
        <f>IF(ISNUMBER(L94),L94,K94)</f>
        <v/>
      </c>
      <c r="P94" s="6">
        <f>IF(ISNUMBER(M94),MIN(M94,in_poa),in_poa)</f>
        <v/>
      </c>
      <c r="Q94" s="6">
        <f>IF(P94&lt;O94,0,INT((P94-O94)/K94)+1)</f>
        <v/>
      </c>
      <c r="R94" s="26">
        <f>IF(Q94=0,0,IF(in_rate=0,N94*Q94,N94*(1+in_rate)^(-O94)*(1-(1+in_rate)^(-K94*Q94))/(1-(1+in_rate)^(-K94))))</f>
        <v/>
      </c>
      <c r="S94" s="26">
        <f>IF(in_timing="MID_YEAR",IF(O94=0,IF(Q94=0,0,N94+(R94-N94)*(1+in_rate)^0.5),R94*(1+in_rate)^0.5),R94)</f>
        <v/>
      </c>
    </row>
    <row r="95">
      <c r="A95" s="10">
        <f>B95&amp;"|"&amp;C95</f>
        <v/>
      </c>
      <c r="B95" s="4" t="inlineStr">
        <is>
          <t>19A</t>
        </is>
      </c>
      <c r="C95" s="4" t="inlineStr">
        <is>
          <t>Alternative3</t>
        </is>
      </c>
      <c r="D95" s="4" t="inlineStr">
        <is>
          <t>Invasive species control</t>
        </is>
      </c>
      <c r="E95" s="4" t="inlineStr">
        <is>
          <t>FIXED</t>
        </is>
      </c>
      <c r="F95" s="27" t="n">
        <v>15000</v>
      </c>
      <c r="G95" s="10" t="n"/>
      <c r="H95" s="4" t="inlineStr"/>
      <c r="I95" s="10" t="n"/>
      <c r="J95" s="10" t="n"/>
      <c r="K95" s="14" t="n">
        <v>10</v>
      </c>
      <c r="L95" s="14" t="n"/>
      <c r="M95" s="14" t="n"/>
      <c r="N95" s="26">
        <f>IF(E95="FIXED",F95,IF(E95="PERCENT",G95*IFERROR(INDEX(Costs!$D$6:$F$36,MATCH(A95,Costs!$A$6:$A$36,0),MATCH(H95,Costs!$D$5:$F$5,0)),0),I95*J95))</f>
        <v/>
      </c>
      <c r="O95" s="6">
        <f>IF(ISNUMBER(L95),L95,K95)</f>
        <v/>
      </c>
      <c r="P95" s="6">
        <f>IF(ISNUMBER(M95),MIN(M95,in_poa),in_poa)</f>
        <v/>
      </c>
      <c r="Q95" s="6">
        <f>IF(P95&lt;O95,0,INT((P95-O95)/K95)+1)</f>
        <v/>
      </c>
      <c r="R95" s="26">
        <f>IF(Q95=0,0,IF(in_rate=0,N95*Q95,N95*(1+in_rate)^(-O95)*(1-(1+in_rate)^(-K95*Q95))/(1-(1+in_rate)^(-K95))))</f>
        <v/>
      </c>
      <c r="S95" s="26">
        <f>IF(in_timing="MID_YEAR",IF(O95=0,IF(Q95=0,0,N95+(R95-N95)*(1+in_rate)^0.5),R95*(1+in_rate)^0.5),R95)</f>
        <v/>
      </c>
    </row>
    <row r="96">
      <c r="A96" s="10">
        <f>B96&amp;"|"&amp;C96</f>
        <v/>
      </c>
      <c r="B96" s="4" t="inlineStr">
        <is>
          <t>19A</t>
        </is>
      </c>
      <c r="C96" s="4" t="inlineStr">
        <is>
          <t>Alternative3</t>
        </is>
      </c>
      <c r="D96" s="4" t="inlineStr">
        <is>
          <t>Wood, rock and earth repair</t>
        </is>
      </c>
      <c r="E96" s="4" t="inlineStr">
        <is>
          <t>PERCENT</t>
        </is>
      </c>
      <c r="F96" s="10" t="n"/>
      <c r="G96" s="29" t="n">
        <v>0.1</v>
      </c>
      <c r="H96" s="4" t="inlineStr">
        <is>
          <t>construction</t>
        </is>
      </c>
      <c r="I96" s="10" t="n"/>
      <c r="J96" s="10" t="n"/>
      <c r="K96" s="14" t="n">
        <v>25</v>
      </c>
      <c r="L96" s="14" t="n"/>
      <c r="M96" s="14" t="n"/>
      <c r="N96" s="26">
        <f>IF(E96="FIXED",F96,IF(E96="PERCENT",G96*IFERROR(INDEX(Costs!$D$6:$F$36,MATCH(A96,Costs!$A$6:$A$36,0),MATCH(H96,Costs!$D$5:$F$5,0)),0),I96*J96))</f>
        <v/>
      </c>
      <c r="O96" s="6">
        <f>IF(ISNUMBER(L96),L96,K96)</f>
        <v/>
      </c>
      <c r="P96" s="6">
        <f>IF(ISNUMBER(M96),MIN(M96,in_poa),in_poa)</f>
        <v/>
      </c>
      <c r="Q96" s="6">
        <f>IF(P96&lt;O96,0,INT((P96-O96)/K96)+1)</f>
        <v/>
      </c>
      <c r="R96" s="26">
        <f>IF(Q96=0,0,IF(in_rate=0,N96*Q96,N96*(1+in_rate)^(-O96)*(1-(1+in_rate)^(-K96*Q96))/(1-(1+in_rate)^(-K96))))</f>
        <v/>
      </c>
      <c r="S96" s="26">
        <f>IF(in_timing="MID_YEAR",IF(O96=0,IF(Q96=0,0,N96+(R96-N96)*(1+in_rate)^0.5),R96*(1+in_rate)^0.5),R96)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F5:M96">
    <cfRule type="expression" priority="1" dxfId="0" stopIfTrue="0">
      <formula>F5&lt;&gt;'snap OMRRR'!F5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8" customWidth="1" style="8" min="5" max="5"/>
    <col width="13" customWidth="1" style="8" min="6" max="6"/>
    <col width="12" customWidth="1" style="8" min="7" max="7"/>
    <col width="14" customWidth="1" style="8" min="8" max="8"/>
    <col width="14" customWidth="1" style="8" min="9" max="9"/>
    <col width="14" customWidth="1" style="8" min="10" max="10"/>
    <col width="14" customWidth="1" style="8" min="11" max="11"/>
    <col width="14" customWidth="1" style="8" min="12" max="12"/>
    <col width="14" customWidth="1" style="8" min="13" max="13"/>
    <col width="13" customWidth="1" style="8" min="14" max="14"/>
  </cols>
  <sheetData>
    <row r="1">
      <c r="A1" s="1" t="inlineStr">
        <is>
          <t>Summary of inputs to CE/ICA</t>
        </is>
      </c>
    </row>
    <row r="2">
      <c r="A2" s="2" t="inlineStr">
        <is>
          <t>Lift is each alternative's AAHU above No Action; the CE/ICA cost is its average annual cost above No Action.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Outputs (AAHU)</t>
        </is>
      </c>
      <c r="G4" s="12" t="inlineStr">
        <is>
          <t>Lift (AAHU)</t>
        </is>
      </c>
      <c r="H4" s="12" t="inlineStr">
        <is>
          <t>Construction cost</t>
        </is>
      </c>
      <c r="I4" s="12" t="inlineStr">
        <is>
          <t>First costs</t>
        </is>
      </c>
      <c r="J4" s="12" t="inlineStr">
        <is>
          <t>Interest during construction</t>
        </is>
      </c>
      <c r="K4" s="12" t="inlineStr">
        <is>
          <t>OMRRR present value</t>
        </is>
      </c>
      <c r="L4" s="12" t="inlineStr">
        <is>
          <t>Average annual cost</t>
        </is>
      </c>
      <c r="M4" s="12" t="inlineStr">
        <is>
          <t>Cost above No Action</t>
        </is>
      </c>
      <c r="N4" s="12" t="inlineStr">
        <is>
          <t>Unit cost ($/AAHU)</t>
        </is>
      </c>
    </row>
    <row r="5">
      <c r="A5" s="10">
        <f>B5&amp;"|"&amp;C5</f>
        <v/>
      </c>
      <c r="B5" s="4" t="inlineStr">
        <is>
          <t>17F2M</t>
        </is>
      </c>
      <c r="C5" s="4" t="inlineStr">
        <is>
          <t>FWOP</t>
        </is>
      </c>
      <c r="D5" s="4" t="inlineStr">
        <is>
          <t>No Action</t>
        </is>
      </c>
      <c r="E5" s="4" t="n">
        <v>1</v>
      </c>
      <c r="F5" s="21">
        <f>SUMIFS(Benefits!$R$6:$R$98,Benefits!$A$6:$A$98,A5)</f>
        <v/>
      </c>
      <c r="G5" s="21">
        <f>F5-$F$5</f>
        <v/>
      </c>
      <c r="H5" s="25">
        <f>Costs!D6</f>
        <v/>
      </c>
      <c r="I5" s="25">
        <f>SUM(Costs!D6:F6)</f>
        <v/>
      </c>
      <c r="J5" s="25">
        <f>Costs!I6</f>
        <v/>
      </c>
      <c r="K5" s="25">
        <f>Costs!J6</f>
        <v/>
      </c>
      <c r="L5" s="26">
        <f>Costs!M6</f>
        <v/>
      </c>
      <c r="M5" s="26">
        <f>L5-$L$5</f>
        <v/>
      </c>
      <c r="N5" s="25">
        <f>IF(G5&gt;0,M5/G5,"n/a")</f>
        <v/>
      </c>
    </row>
    <row r="6">
      <c r="A6" s="10">
        <f>B6&amp;"|"&amp;C6</f>
        <v/>
      </c>
      <c r="B6" s="4" t="inlineStr">
        <is>
          <t>17F2M</t>
        </is>
      </c>
      <c r="C6" s="4" t="inlineStr">
        <is>
          <t>Alternative1</t>
        </is>
      </c>
      <c r="D6" s="4" t="inlineStr">
        <is>
          <t>Alternative 1</t>
        </is>
      </c>
      <c r="E6" s="4" t="n">
        <v>0</v>
      </c>
      <c r="F6" s="21">
        <f>SUMIFS(Benefits!$R$6:$R$98,Benefits!$A$6:$A$98,A6)</f>
        <v/>
      </c>
      <c r="G6" s="21">
        <f>F6-$F$5</f>
        <v/>
      </c>
      <c r="H6" s="25">
        <f>Costs!D7</f>
        <v/>
      </c>
      <c r="I6" s="25">
        <f>SUM(Costs!D7:F7)</f>
        <v/>
      </c>
      <c r="J6" s="25">
        <f>Costs!I7</f>
        <v/>
      </c>
      <c r="K6" s="25">
        <f>Costs!J7</f>
        <v/>
      </c>
      <c r="L6" s="26">
        <f>Costs!M7</f>
        <v/>
      </c>
      <c r="M6" s="26">
        <f>L6-$L$5</f>
        <v/>
      </c>
      <c r="N6" s="25">
        <f>IF(G6&gt;0,M6/G6,"n/a")</f>
        <v/>
      </c>
    </row>
    <row r="7">
      <c r="A7" s="10">
        <f>B7&amp;"|"&amp;C7</f>
        <v/>
      </c>
      <c r="B7" s="4" t="inlineStr">
        <is>
          <t>17F2M</t>
        </is>
      </c>
      <c r="C7" s="4" t="inlineStr">
        <is>
          <t>Alternative2</t>
        </is>
      </c>
      <c r="D7" s="4" t="inlineStr">
        <is>
          <t>Alternative 2</t>
        </is>
      </c>
      <c r="E7" s="4" t="n">
        <v>0</v>
      </c>
      <c r="F7" s="21">
        <f>SUMIFS(Benefits!$R$6:$R$98,Benefits!$A$6:$A$98,A7)</f>
        <v/>
      </c>
      <c r="G7" s="21">
        <f>F7-$F$5</f>
        <v/>
      </c>
      <c r="H7" s="25">
        <f>Costs!D8</f>
        <v/>
      </c>
      <c r="I7" s="25">
        <f>SUM(Costs!D8:F8)</f>
        <v/>
      </c>
      <c r="J7" s="25">
        <f>Costs!I8</f>
        <v/>
      </c>
      <c r="K7" s="25">
        <f>Costs!J8</f>
        <v/>
      </c>
      <c r="L7" s="26">
        <f>Costs!M8</f>
        <v/>
      </c>
      <c r="M7" s="26">
        <f>L7-$L$5</f>
        <v/>
      </c>
      <c r="N7" s="25">
        <f>IF(G7&gt;0,M7/G7,"n/a")</f>
        <v/>
      </c>
    </row>
    <row r="8">
      <c r="A8" s="10">
        <f>B8&amp;"|"&amp;C8</f>
        <v/>
      </c>
      <c r="B8" s="4" t="inlineStr">
        <is>
          <t>17F2M</t>
        </is>
      </c>
      <c r="C8" s="4" t="inlineStr">
        <is>
          <t>Alternative3</t>
        </is>
      </c>
      <c r="D8" s="4" t="inlineStr">
        <is>
          <t>Alternative 3</t>
        </is>
      </c>
      <c r="E8" s="4" t="n">
        <v>0</v>
      </c>
      <c r="F8" s="21">
        <f>SUMIFS(Benefits!$R$6:$R$98,Benefits!$A$6:$A$98,A8)</f>
        <v/>
      </c>
      <c r="G8" s="21">
        <f>F8-$F$5</f>
        <v/>
      </c>
      <c r="H8" s="25">
        <f>Costs!D9</f>
        <v/>
      </c>
      <c r="I8" s="25">
        <f>SUM(Costs!D9:F9)</f>
        <v/>
      </c>
      <c r="J8" s="25">
        <f>Costs!I9</f>
        <v/>
      </c>
      <c r="K8" s="25">
        <f>Costs!J9</f>
        <v/>
      </c>
      <c r="L8" s="26">
        <f>Costs!M9</f>
        <v/>
      </c>
      <c r="M8" s="26">
        <f>L8-$L$5</f>
        <v/>
      </c>
      <c r="N8" s="25">
        <f>IF(G8&gt;0,M8/G8,"n/a")</f>
        <v/>
      </c>
    </row>
    <row r="9">
      <c r="A9" s="10">
        <f>B9&amp;"|"&amp;C9</f>
        <v/>
      </c>
      <c r="B9" s="4" t="inlineStr">
        <is>
          <t>17D2E</t>
        </is>
      </c>
      <c r="C9" s="4" t="inlineStr">
        <is>
          <t>FWOP</t>
        </is>
      </c>
      <c r="D9" s="4" t="inlineStr">
        <is>
          <t>No Action</t>
        </is>
      </c>
      <c r="E9" s="4" t="n">
        <v>1</v>
      </c>
      <c r="F9" s="21">
        <f>SUMIFS(Benefits!$R$6:$R$98,Benefits!$A$6:$A$98,A9)</f>
        <v/>
      </c>
      <c r="G9" s="21">
        <f>F9-$F$9</f>
        <v/>
      </c>
      <c r="H9" s="25">
        <f>Costs!D10</f>
        <v/>
      </c>
      <c r="I9" s="25">
        <f>SUM(Costs!D10:F10)</f>
        <v/>
      </c>
      <c r="J9" s="25">
        <f>Costs!I10</f>
        <v/>
      </c>
      <c r="K9" s="25">
        <f>Costs!J10</f>
        <v/>
      </c>
      <c r="L9" s="26">
        <f>Costs!M10</f>
        <v/>
      </c>
      <c r="M9" s="26">
        <f>L9-$L$9</f>
        <v/>
      </c>
      <c r="N9" s="25">
        <f>IF(G9&gt;0,M9/G9,"n/a")</f>
        <v/>
      </c>
    </row>
    <row r="10">
      <c r="A10" s="10">
        <f>B10&amp;"|"&amp;C10</f>
        <v/>
      </c>
      <c r="B10" s="4" t="inlineStr">
        <is>
          <t>17D2E</t>
        </is>
      </c>
      <c r="C10" s="4" t="inlineStr">
        <is>
          <t>Alternative1</t>
        </is>
      </c>
      <c r="D10" s="4" t="inlineStr">
        <is>
          <t>Alternative 1</t>
        </is>
      </c>
      <c r="E10" s="4" t="n">
        <v>0</v>
      </c>
      <c r="F10" s="21">
        <f>SUMIFS(Benefits!$R$6:$R$98,Benefits!$A$6:$A$98,A10)</f>
        <v/>
      </c>
      <c r="G10" s="21">
        <f>F10-$F$9</f>
        <v/>
      </c>
      <c r="H10" s="25">
        <f>Costs!D11</f>
        <v/>
      </c>
      <c r="I10" s="25">
        <f>SUM(Costs!D11:F11)</f>
        <v/>
      </c>
      <c r="J10" s="25">
        <f>Costs!I11</f>
        <v/>
      </c>
      <c r="K10" s="25">
        <f>Costs!J11</f>
        <v/>
      </c>
      <c r="L10" s="26">
        <f>Costs!M11</f>
        <v/>
      </c>
      <c r="M10" s="26">
        <f>L10-$L$9</f>
        <v/>
      </c>
      <c r="N10" s="25">
        <f>IF(G10&gt;0,M10/G10,"n/a")</f>
        <v/>
      </c>
    </row>
    <row r="11">
      <c r="A11" s="10">
        <f>B11&amp;"|"&amp;C11</f>
        <v/>
      </c>
      <c r="B11" s="4" t="inlineStr">
        <is>
          <t>17D2E</t>
        </is>
      </c>
      <c r="C11" s="4" t="inlineStr">
        <is>
          <t>Alternative2</t>
        </is>
      </c>
      <c r="D11" s="4" t="inlineStr">
        <is>
          <t>Alternative 2</t>
        </is>
      </c>
      <c r="E11" s="4" t="n">
        <v>0</v>
      </c>
      <c r="F11" s="21">
        <f>SUMIFS(Benefits!$R$6:$R$98,Benefits!$A$6:$A$98,A11)</f>
        <v/>
      </c>
      <c r="G11" s="21">
        <f>F11-$F$9</f>
        <v/>
      </c>
      <c r="H11" s="25">
        <f>Costs!D12</f>
        <v/>
      </c>
      <c r="I11" s="25">
        <f>SUM(Costs!D12:F12)</f>
        <v/>
      </c>
      <c r="J11" s="25">
        <f>Costs!I12</f>
        <v/>
      </c>
      <c r="K11" s="25">
        <f>Costs!J12</f>
        <v/>
      </c>
      <c r="L11" s="26">
        <f>Costs!M12</f>
        <v/>
      </c>
      <c r="M11" s="26">
        <f>L11-$L$9</f>
        <v/>
      </c>
      <c r="N11" s="25">
        <f>IF(G11&gt;0,M11/G11,"n/a")</f>
        <v/>
      </c>
    </row>
    <row r="12">
      <c r="A12" s="10">
        <f>B12&amp;"|"&amp;C12</f>
        <v/>
      </c>
      <c r="B12" s="4" t="inlineStr">
        <is>
          <t>17D2E</t>
        </is>
      </c>
      <c r="C12" s="4" t="inlineStr">
        <is>
          <t>Alternative3</t>
        </is>
      </c>
      <c r="D12" s="4" t="inlineStr">
        <is>
          <t>Alternative 3</t>
        </is>
      </c>
      <c r="E12" s="4" t="n">
        <v>0</v>
      </c>
      <c r="F12" s="21">
        <f>SUMIFS(Benefits!$R$6:$R$98,Benefits!$A$6:$A$98,A12)</f>
        <v/>
      </c>
      <c r="G12" s="21">
        <f>F12-$F$9</f>
        <v/>
      </c>
      <c r="H12" s="25">
        <f>Costs!D13</f>
        <v/>
      </c>
      <c r="I12" s="25">
        <f>SUM(Costs!D13:F13)</f>
        <v/>
      </c>
      <c r="J12" s="25">
        <f>Costs!I13</f>
        <v/>
      </c>
      <c r="K12" s="25">
        <f>Costs!J13</f>
        <v/>
      </c>
      <c r="L12" s="26">
        <f>Costs!M13</f>
        <v/>
      </c>
      <c r="M12" s="26">
        <f>L12-$L$9</f>
        <v/>
      </c>
      <c r="N12" s="25">
        <f>IF(G12&gt;0,M12/G12,"n/a")</f>
        <v/>
      </c>
    </row>
    <row r="13">
      <c r="A13" s="10">
        <f>B13&amp;"|"&amp;C13</f>
        <v/>
      </c>
      <c r="B13" s="4" t="inlineStr">
        <is>
          <t>17B</t>
        </is>
      </c>
      <c r="C13" s="4" t="inlineStr">
        <is>
          <t>FWOP</t>
        </is>
      </c>
      <c r="D13" s="4" t="inlineStr">
        <is>
          <t>No Action</t>
        </is>
      </c>
      <c r="E13" s="4" t="n">
        <v>1</v>
      </c>
      <c r="F13" s="21">
        <f>SUMIFS(Benefits!$R$6:$R$98,Benefits!$A$6:$A$98,A13)</f>
        <v/>
      </c>
      <c r="G13" s="21">
        <f>F13-$F$13</f>
        <v/>
      </c>
      <c r="H13" s="25">
        <f>Costs!D14</f>
        <v/>
      </c>
      <c r="I13" s="25">
        <f>SUM(Costs!D14:F14)</f>
        <v/>
      </c>
      <c r="J13" s="25">
        <f>Costs!I14</f>
        <v/>
      </c>
      <c r="K13" s="25">
        <f>Costs!J14</f>
        <v/>
      </c>
      <c r="L13" s="26">
        <f>Costs!M14</f>
        <v/>
      </c>
      <c r="M13" s="26">
        <f>L13-$L$13</f>
        <v/>
      </c>
      <c r="N13" s="25">
        <f>IF(G13&gt;0,M13/G13,"n/a")</f>
        <v/>
      </c>
    </row>
    <row r="14">
      <c r="A14" s="10">
        <f>B14&amp;"|"&amp;C14</f>
        <v/>
      </c>
      <c r="B14" s="4" t="inlineStr">
        <is>
          <t>17B</t>
        </is>
      </c>
      <c r="C14" s="4" t="inlineStr">
        <is>
          <t>Alternative1</t>
        </is>
      </c>
      <c r="D14" s="4" t="inlineStr">
        <is>
          <t>Alternative 1</t>
        </is>
      </c>
      <c r="E14" s="4" t="n">
        <v>0</v>
      </c>
      <c r="F14" s="21">
        <f>SUMIFS(Benefits!$R$6:$R$98,Benefits!$A$6:$A$98,A14)</f>
        <v/>
      </c>
      <c r="G14" s="21">
        <f>F14-$F$13</f>
        <v/>
      </c>
      <c r="H14" s="25">
        <f>Costs!D15</f>
        <v/>
      </c>
      <c r="I14" s="25">
        <f>SUM(Costs!D15:F15)</f>
        <v/>
      </c>
      <c r="J14" s="25">
        <f>Costs!I15</f>
        <v/>
      </c>
      <c r="K14" s="25">
        <f>Costs!J15</f>
        <v/>
      </c>
      <c r="L14" s="26">
        <f>Costs!M15</f>
        <v/>
      </c>
      <c r="M14" s="26">
        <f>L14-$L$13</f>
        <v/>
      </c>
      <c r="N14" s="25">
        <f>IF(G14&gt;0,M14/G14,"n/a")</f>
        <v/>
      </c>
    </row>
    <row r="15">
      <c r="A15" s="10">
        <f>B15&amp;"|"&amp;C15</f>
        <v/>
      </c>
      <c r="B15" s="4" t="inlineStr">
        <is>
          <t>17B</t>
        </is>
      </c>
      <c r="C15" s="4" t="inlineStr">
        <is>
          <t>Alternative2</t>
        </is>
      </c>
      <c r="D15" s="4" t="inlineStr">
        <is>
          <t>Alternative 2</t>
        </is>
      </c>
      <c r="E15" s="4" t="n">
        <v>0</v>
      </c>
      <c r="F15" s="21">
        <f>SUMIFS(Benefits!$R$6:$R$98,Benefits!$A$6:$A$98,A15)</f>
        <v/>
      </c>
      <c r="G15" s="21">
        <f>F15-$F$13</f>
        <v/>
      </c>
      <c r="H15" s="25">
        <f>Costs!D16</f>
        <v/>
      </c>
      <c r="I15" s="25">
        <f>SUM(Costs!D16:F16)</f>
        <v/>
      </c>
      <c r="J15" s="25">
        <f>Costs!I16</f>
        <v/>
      </c>
      <c r="K15" s="25">
        <f>Costs!J16</f>
        <v/>
      </c>
      <c r="L15" s="26">
        <f>Costs!M16</f>
        <v/>
      </c>
      <c r="M15" s="26">
        <f>L15-$L$13</f>
        <v/>
      </c>
      <c r="N15" s="25">
        <f>IF(G15&gt;0,M15/G15,"n/a")</f>
        <v/>
      </c>
    </row>
    <row r="16">
      <c r="A16" s="10">
        <f>B16&amp;"|"&amp;C16</f>
        <v/>
      </c>
      <c r="B16" s="4" t="inlineStr">
        <is>
          <t>17B</t>
        </is>
      </c>
      <c r="C16" s="4" t="inlineStr">
        <is>
          <t>Alternative3</t>
        </is>
      </c>
      <c r="D16" s="4" t="inlineStr">
        <is>
          <t>Alternative 3</t>
        </is>
      </c>
      <c r="E16" s="4" t="n">
        <v>0</v>
      </c>
      <c r="F16" s="21">
        <f>SUMIFS(Benefits!$R$6:$R$98,Benefits!$A$6:$A$98,A16)</f>
        <v/>
      </c>
      <c r="G16" s="21">
        <f>F16-$F$13</f>
        <v/>
      </c>
      <c r="H16" s="25">
        <f>Costs!D17</f>
        <v/>
      </c>
      <c r="I16" s="25">
        <f>SUM(Costs!D17:F17)</f>
        <v/>
      </c>
      <c r="J16" s="25">
        <f>Costs!I17</f>
        <v/>
      </c>
      <c r="K16" s="25">
        <f>Costs!J17</f>
        <v/>
      </c>
      <c r="L16" s="26">
        <f>Costs!M17</f>
        <v/>
      </c>
      <c r="M16" s="26">
        <f>L16-$L$13</f>
        <v/>
      </c>
      <c r="N16" s="25">
        <f>IF(G16&gt;0,M16/G16,"n/a")</f>
        <v/>
      </c>
    </row>
    <row r="17">
      <c r="A17" s="10">
        <f>B17&amp;"|"&amp;C17</f>
        <v/>
      </c>
      <c r="B17" s="4" t="inlineStr">
        <is>
          <t>2A</t>
        </is>
      </c>
      <c r="C17" s="4" t="inlineStr">
        <is>
          <t>FWOP</t>
        </is>
      </c>
      <c r="D17" s="4" t="inlineStr">
        <is>
          <t>No Action</t>
        </is>
      </c>
      <c r="E17" s="4" t="n">
        <v>1</v>
      </c>
      <c r="F17" s="21">
        <f>SUMIFS(Benefits!$R$6:$R$98,Benefits!$A$6:$A$98,A17)</f>
        <v/>
      </c>
      <c r="G17" s="21">
        <f>F17-$F$17</f>
        <v/>
      </c>
      <c r="H17" s="25">
        <f>Costs!D18</f>
        <v/>
      </c>
      <c r="I17" s="25">
        <f>SUM(Costs!D18:F18)</f>
        <v/>
      </c>
      <c r="J17" s="25">
        <f>Costs!I18</f>
        <v/>
      </c>
      <c r="K17" s="25">
        <f>Costs!J18</f>
        <v/>
      </c>
      <c r="L17" s="26">
        <f>Costs!M18</f>
        <v/>
      </c>
      <c r="M17" s="26">
        <f>L17-$L$17</f>
        <v/>
      </c>
      <c r="N17" s="25">
        <f>IF(G17&gt;0,M17/G17,"n/a")</f>
        <v/>
      </c>
    </row>
    <row r="18">
      <c r="A18" s="10">
        <f>B18&amp;"|"&amp;C18</f>
        <v/>
      </c>
      <c r="B18" s="4" t="inlineStr">
        <is>
          <t>2A</t>
        </is>
      </c>
      <c r="C18" s="4" t="inlineStr">
        <is>
          <t>Alternative1</t>
        </is>
      </c>
      <c r="D18" s="4" t="inlineStr">
        <is>
          <t>Alternative 1</t>
        </is>
      </c>
      <c r="E18" s="4" t="n">
        <v>0</v>
      </c>
      <c r="F18" s="21">
        <f>SUMIFS(Benefits!$R$6:$R$98,Benefits!$A$6:$A$98,A18)</f>
        <v/>
      </c>
      <c r="G18" s="21">
        <f>F18-$F$17</f>
        <v/>
      </c>
      <c r="H18" s="25">
        <f>Costs!D19</f>
        <v/>
      </c>
      <c r="I18" s="25">
        <f>SUM(Costs!D19:F19)</f>
        <v/>
      </c>
      <c r="J18" s="25">
        <f>Costs!I19</f>
        <v/>
      </c>
      <c r="K18" s="25">
        <f>Costs!J19</f>
        <v/>
      </c>
      <c r="L18" s="26">
        <f>Costs!M19</f>
        <v/>
      </c>
      <c r="M18" s="26">
        <f>L18-$L$17</f>
        <v/>
      </c>
      <c r="N18" s="25">
        <f>IF(G18&gt;0,M18/G18,"n/a")</f>
        <v/>
      </c>
    </row>
    <row r="19">
      <c r="A19" s="10">
        <f>B19&amp;"|"&amp;C19</f>
        <v/>
      </c>
      <c r="B19" s="4" t="inlineStr">
        <is>
          <t>2A</t>
        </is>
      </c>
      <c r="C19" s="4" t="inlineStr">
        <is>
          <t>Alternative2</t>
        </is>
      </c>
      <c r="D19" s="4" t="inlineStr">
        <is>
          <t>Alternative 2</t>
        </is>
      </c>
      <c r="E19" s="4" t="n">
        <v>0</v>
      </c>
      <c r="F19" s="21">
        <f>SUMIFS(Benefits!$R$6:$R$98,Benefits!$A$6:$A$98,A19)</f>
        <v/>
      </c>
      <c r="G19" s="21">
        <f>F19-$F$17</f>
        <v/>
      </c>
      <c r="H19" s="25">
        <f>Costs!D20</f>
        <v/>
      </c>
      <c r="I19" s="25">
        <f>SUM(Costs!D20:F20)</f>
        <v/>
      </c>
      <c r="J19" s="25">
        <f>Costs!I20</f>
        <v/>
      </c>
      <c r="K19" s="25">
        <f>Costs!J20</f>
        <v/>
      </c>
      <c r="L19" s="26">
        <f>Costs!M20</f>
        <v/>
      </c>
      <c r="M19" s="26">
        <f>L19-$L$17</f>
        <v/>
      </c>
      <c r="N19" s="25">
        <f>IF(G19&gt;0,M19/G19,"n/a")</f>
        <v/>
      </c>
    </row>
    <row r="20">
      <c r="A20" s="10">
        <f>B20&amp;"|"&amp;C20</f>
        <v/>
      </c>
      <c r="B20" s="4" t="inlineStr">
        <is>
          <t>2A</t>
        </is>
      </c>
      <c r="C20" s="4" t="inlineStr">
        <is>
          <t>Alternative3</t>
        </is>
      </c>
      <c r="D20" s="4" t="inlineStr">
        <is>
          <t>Alternative 3</t>
        </is>
      </c>
      <c r="E20" s="4" t="n">
        <v>0</v>
      </c>
      <c r="F20" s="21">
        <f>SUMIFS(Benefits!$R$6:$R$98,Benefits!$A$6:$A$98,A20)</f>
        <v/>
      </c>
      <c r="G20" s="21">
        <f>F20-$F$17</f>
        <v/>
      </c>
      <c r="H20" s="25">
        <f>Costs!D21</f>
        <v/>
      </c>
      <c r="I20" s="25">
        <f>SUM(Costs!D21:F21)</f>
        <v/>
      </c>
      <c r="J20" s="25">
        <f>Costs!I21</f>
        <v/>
      </c>
      <c r="K20" s="25">
        <f>Costs!J21</f>
        <v/>
      </c>
      <c r="L20" s="26">
        <f>Costs!M21</f>
        <v/>
      </c>
      <c r="M20" s="26">
        <f>L20-$L$17</f>
        <v/>
      </c>
      <c r="N20" s="25">
        <f>IF(G20&gt;0,M20/G20,"n/a")</f>
        <v/>
      </c>
    </row>
    <row r="21">
      <c r="A21" s="10">
        <f>B21&amp;"|"&amp;C21</f>
        <v/>
      </c>
      <c r="B21" s="4" t="inlineStr">
        <is>
          <t>2B</t>
        </is>
      </c>
      <c r="C21" s="4" t="inlineStr">
        <is>
          <t>FWOP</t>
        </is>
      </c>
      <c r="D21" s="4" t="inlineStr">
        <is>
          <t>No Action</t>
        </is>
      </c>
      <c r="E21" s="4" t="n">
        <v>1</v>
      </c>
      <c r="F21" s="21">
        <f>SUMIFS(Benefits!$R$6:$R$98,Benefits!$A$6:$A$98,A21)</f>
        <v/>
      </c>
      <c r="G21" s="21">
        <f>F21-$F$21</f>
        <v/>
      </c>
      <c r="H21" s="25">
        <f>Costs!D22</f>
        <v/>
      </c>
      <c r="I21" s="25">
        <f>SUM(Costs!D22:F22)</f>
        <v/>
      </c>
      <c r="J21" s="25">
        <f>Costs!I22</f>
        <v/>
      </c>
      <c r="K21" s="25">
        <f>Costs!J22</f>
        <v/>
      </c>
      <c r="L21" s="26">
        <f>Costs!M22</f>
        <v/>
      </c>
      <c r="M21" s="26">
        <f>L21-$L$21</f>
        <v/>
      </c>
      <c r="N21" s="25">
        <f>IF(G21&gt;0,M21/G21,"n/a")</f>
        <v/>
      </c>
    </row>
    <row r="22">
      <c r="A22" s="10">
        <f>B22&amp;"|"&amp;C22</f>
        <v/>
      </c>
      <c r="B22" s="4" t="inlineStr">
        <is>
          <t>2B</t>
        </is>
      </c>
      <c r="C22" s="4" t="inlineStr">
        <is>
          <t>Alternative1</t>
        </is>
      </c>
      <c r="D22" s="4" t="inlineStr">
        <is>
          <t>Alternative 1</t>
        </is>
      </c>
      <c r="E22" s="4" t="n">
        <v>0</v>
      </c>
      <c r="F22" s="21">
        <f>SUMIFS(Benefits!$R$6:$R$98,Benefits!$A$6:$A$98,A22)</f>
        <v/>
      </c>
      <c r="G22" s="21">
        <f>F22-$F$21</f>
        <v/>
      </c>
      <c r="H22" s="25">
        <f>Costs!D23</f>
        <v/>
      </c>
      <c r="I22" s="25">
        <f>SUM(Costs!D23:F23)</f>
        <v/>
      </c>
      <c r="J22" s="25">
        <f>Costs!I23</f>
        <v/>
      </c>
      <c r="K22" s="25">
        <f>Costs!J23</f>
        <v/>
      </c>
      <c r="L22" s="26">
        <f>Costs!M23</f>
        <v/>
      </c>
      <c r="M22" s="26">
        <f>L22-$L$21</f>
        <v/>
      </c>
      <c r="N22" s="25">
        <f>IF(G22&gt;0,M22/G22,"n/a")</f>
        <v/>
      </c>
    </row>
    <row r="23">
      <c r="A23" s="10">
        <f>B23&amp;"|"&amp;C23</f>
        <v/>
      </c>
      <c r="B23" s="4" t="inlineStr">
        <is>
          <t>2B</t>
        </is>
      </c>
      <c r="C23" s="4" t="inlineStr">
        <is>
          <t>Alternative2</t>
        </is>
      </c>
      <c r="D23" s="4" t="inlineStr">
        <is>
          <t>Alternative 2</t>
        </is>
      </c>
      <c r="E23" s="4" t="n">
        <v>0</v>
      </c>
      <c r="F23" s="21">
        <f>SUMIFS(Benefits!$R$6:$R$98,Benefits!$A$6:$A$98,A23)</f>
        <v/>
      </c>
      <c r="G23" s="21">
        <f>F23-$F$21</f>
        <v/>
      </c>
      <c r="H23" s="25">
        <f>Costs!D24</f>
        <v/>
      </c>
      <c r="I23" s="25">
        <f>SUM(Costs!D24:F24)</f>
        <v/>
      </c>
      <c r="J23" s="25">
        <f>Costs!I24</f>
        <v/>
      </c>
      <c r="K23" s="25">
        <f>Costs!J24</f>
        <v/>
      </c>
      <c r="L23" s="26">
        <f>Costs!M24</f>
        <v/>
      </c>
      <c r="M23" s="26">
        <f>L23-$L$21</f>
        <v/>
      </c>
      <c r="N23" s="25">
        <f>IF(G23&gt;0,M23/G23,"n/a")</f>
        <v/>
      </c>
    </row>
    <row r="24">
      <c r="A24" s="10">
        <f>B24&amp;"|"&amp;C24</f>
        <v/>
      </c>
      <c r="B24" s="4" t="inlineStr">
        <is>
          <t>2B</t>
        </is>
      </c>
      <c r="C24" s="4" t="inlineStr">
        <is>
          <t>Alternative3</t>
        </is>
      </c>
      <c r="D24" s="4" t="inlineStr">
        <is>
          <t>Alternative 3</t>
        </is>
      </c>
      <c r="E24" s="4" t="n">
        <v>0</v>
      </c>
      <c r="F24" s="21">
        <f>SUMIFS(Benefits!$R$6:$R$98,Benefits!$A$6:$A$98,A24)</f>
        <v/>
      </c>
      <c r="G24" s="21">
        <f>F24-$F$21</f>
        <v/>
      </c>
      <c r="H24" s="25">
        <f>Costs!D25</f>
        <v/>
      </c>
      <c r="I24" s="25">
        <f>SUM(Costs!D25:F25)</f>
        <v/>
      </c>
      <c r="J24" s="25">
        <f>Costs!I25</f>
        <v/>
      </c>
      <c r="K24" s="25">
        <f>Costs!J25</f>
        <v/>
      </c>
      <c r="L24" s="26">
        <f>Costs!M25</f>
        <v/>
      </c>
      <c r="M24" s="26">
        <f>L24-$L$21</f>
        <v/>
      </c>
      <c r="N24" s="25">
        <f>IF(G24&gt;0,M24/G24,"n/a")</f>
        <v/>
      </c>
    </row>
    <row r="25">
      <c r="A25" s="10">
        <f>B25&amp;"|"&amp;C25</f>
        <v/>
      </c>
      <c r="B25" s="4" t="inlineStr">
        <is>
          <t>3E</t>
        </is>
      </c>
      <c r="C25" s="4" t="inlineStr">
        <is>
          <t>FWOP</t>
        </is>
      </c>
      <c r="D25" s="4" t="inlineStr">
        <is>
          <t>No Action</t>
        </is>
      </c>
      <c r="E25" s="4" t="n">
        <v>1</v>
      </c>
      <c r="F25" s="21">
        <f>SUMIFS(Benefits!$R$6:$R$98,Benefits!$A$6:$A$98,A25)</f>
        <v/>
      </c>
      <c r="G25" s="21">
        <f>F25-$F$25</f>
        <v/>
      </c>
      <c r="H25" s="25">
        <f>Costs!D26</f>
        <v/>
      </c>
      <c r="I25" s="25">
        <f>SUM(Costs!D26:F26)</f>
        <v/>
      </c>
      <c r="J25" s="25">
        <f>Costs!I26</f>
        <v/>
      </c>
      <c r="K25" s="25">
        <f>Costs!J26</f>
        <v/>
      </c>
      <c r="L25" s="26">
        <f>Costs!M26</f>
        <v/>
      </c>
      <c r="M25" s="26">
        <f>L25-$L$25</f>
        <v/>
      </c>
      <c r="N25" s="25">
        <f>IF(G25&gt;0,M25/G25,"n/a")</f>
        <v/>
      </c>
    </row>
    <row r="26">
      <c r="A26" s="10">
        <f>B26&amp;"|"&amp;C26</f>
        <v/>
      </c>
      <c r="B26" s="4" t="inlineStr">
        <is>
          <t>3E</t>
        </is>
      </c>
      <c r="C26" s="4" t="inlineStr">
        <is>
          <t>Alternative1</t>
        </is>
      </c>
      <c r="D26" s="4" t="inlineStr">
        <is>
          <t>Alternative 1</t>
        </is>
      </c>
      <c r="E26" s="4" t="n">
        <v>0</v>
      </c>
      <c r="F26" s="21">
        <f>SUMIFS(Benefits!$R$6:$R$98,Benefits!$A$6:$A$98,A26)</f>
        <v/>
      </c>
      <c r="G26" s="21">
        <f>F26-$F$25</f>
        <v/>
      </c>
      <c r="H26" s="25">
        <f>Costs!D27</f>
        <v/>
      </c>
      <c r="I26" s="25">
        <f>SUM(Costs!D27:F27)</f>
        <v/>
      </c>
      <c r="J26" s="25">
        <f>Costs!I27</f>
        <v/>
      </c>
      <c r="K26" s="25">
        <f>Costs!J27</f>
        <v/>
      </c>
      <c r="L26" s="26">
        <f>Costs!M27</f>
        <v/>
      </c>
      <c r="M26" s="26">
        <f>L26-$L$25</f>
        <v/>
      </c>
      <c r="N26" s="25">
        <f>IF(G26&gt;0,M26/G26,"n/a")</f>
        <v/>
      </c>
    </row>
    <row r="27">
      <c r="A27" s="10">
        <f>B27&amp;"|"&amp;C27</f>
        <v/>
      </c>
      <c r="B27" s="4" t="inlineStr">
        <is>
          <t>3E</t>
        </is>
      </c>
      <c r="C27" s="4" t="inlineStr">
        <is>
          <t>Alternative2</t>
        </is>
      </c>
      <c r="D27" s="4" t="inlineStr">
        <is>
          <t>Alternative 2</t>
        </is>
      </c>
      <c r="E27" s="4" t="n">
        <v>0</v>
      </c>
      <c r="F27" s="21">
        <f>SUMIFS(Benefits!$R$6:$R$98,Benefits!$A$6:$A$98,A27)</f>
        <v/>
      </c>
      <c r="G27" s="21">
        <f>F27-$F$25</f>
        <v/>
      </c>
      <c r="H27" s="25">
        <f>Costs!D28</f>
        <v/>
      </c>
      <c r="I27" s="25">
        <f>SUM(Costs!D28:F28)</f>
        <v/>
      </c>
      <c r="J27" s="25">
        <f>Costs!I28</f>
        <v/>
      </c>
      <c r="K27" s="25">
        <f>Costs!J28</f>
        <v/>
      </c>
      <c r="L27" s="26">
        <f>Costs!M28</f>
        <v/>
      </c>
      <c r="M27" s="26">
        <f>L27-$L$25</f>
        <v/>
      </c>
      <c r="N27" s="25">
        <f>IF(G27&gt;0,M27/G27,"n/a")</f>
        <v/>
      </c>
    </row>
    <row r="28">
      <c r="A28" s="10">
        <f>B28&amp;"|"&amp;C28</f>
        <v/>
      </c>
      <c r="B28" s="4" t="inlineStr">
        <is>
          <t>3E</t>
        </is>
      </c>
      <c r="C28" s="4" t="inlineStr">
        <is>
          <t>Alternative3</t>
        </is>
      </c>
      <c r="D28" s="4" t="inlineStr">
        <is>
          <t>Alternative 3</t>
        </is>
      </c>
      <c r="E28" s="4" t="n">
        <v>0</v>
      </c>
      <c r="F28" s="21">
        <f>SUMIFS(Benefits!$R$6:$R$98,Benefits!$A$6:$A$98,A28)</f>
        <v/>
      </c>
      <c r="G28" s="21">
        <f>F28-$F$25</f>
        <v/>
      </c>
      <c r="H28" s="25">
        <f>Costs!D29</f>
        <v/>
      </c>
      <c r="I28" s="25">
        <f>SUM(Costs!D29:F29)</f>
        <v/>
      </c>
      <c r="J28" s="25">
        <f>Costs!I29</f>
        <v/>
      </c>
      <c r="K28" s="25">
        <f>Costs!J29</f>
        <v/>
      </c>
      <c r="L28" s="26">
        <f>Costs!M29</f>
        <v/>
      </c>
      <c r="M28" s="26">
        <f>L28-$L$25</f>
        <v/>
      </c>
      <c r="N28" s="25">
        <f>IF(G28&gt;0,M28/G28,"n/a")</f>
        <v/>
      </c>
    </row>
    <row r="29">
      <c r="A29" s="10">
        <f>B29&amp;"|"&amp;C29</f>
        <v/>
      </c>
      <c r="B29" s="4" t="inlineStr">
        <is>
          <t>3F</t>
        </is>
      </c>
      <c r="C29" s="4" t="inlineStr">
        <is>
          <t>FWOP</t>
        </is>
      </c>
      <c r="D29" s="4" t="inlineStr">
        <is>
          <t>No Action</t>
        </is>
      </c>
      <c r="E29" s="4" t="n">
        <v>1</v>
      </c>
      <c r="F29" s="21">
        <f>SUMIFS(Benefits!$R$6:$R$98,Benefits!$A$6:$A$98,A29)</f>
        <v/>
      </c>
      <c r="G29" s="21">
        <f>F29-$F$29</f>
        <v/>
      </c>
      <c r="H29" s="25">
        <f>Costs!D30</f>
        <v/>
      </c>
      <c r="I29" s="25">
        <f>SUM(Costs!D30:F30)</f>
        <v/>
      </c>
      <c r="J29" s="25">
        <f>Costs!I30</f>
        <v/>
      </c>
      <c r="K29" s="25">
        <f>Costs!J30</f>
        <v/>
      </c>
      <c r="L29" s="26">
        <f>Costs!M30</f>
        <v/>
      </c>
      <c r="M29" s="26">
        <f>L29-$L$29</f>
        <v/>
      </c>
      <c r="N29" s="25">
        <f>IF(G29&gt;0,M29/G29,"n/a")</f>
        <v/>
      </c>
    </row>
    <row r="30">
      <c r="A30" s="10">
        <f>B30&amp;"|"&amp;C30</f>
        <v/>
      </c>
      <c r="B30" s="4" t="inlineStr">
        <is>
          <t>3F</t>
        </is>
      </c>
      <c r="C30" s="4" t="inlineStr">
        <is>
          <t>Alternative1</t>
        </is>
      </c>
      <c r="D30" s="4" t="inlineStr">
        <is>
          <t>Alternative 1</t>
        </is>
      </c>
      <c r="E30" s="4" t="n">
        <v>0</v>
      </c>
      <c r="F30" s="21">
        <f>SUMIFS(Benefits!$R$6:$R$98,Benefits!$A$6:$A$98,A30)</f>
        <v/>
      </c>
      <c r="G30" s="21">
        <f>F30-$F$29</f>
        <v/>
      </c>
      <c r="H30" s="25">
        <f>Costs!D31</f>
        <v/>
      </c>
      <c r="I30" s="25">
        <f>SUM(Costs!D31:F31)</f>
        <v/>
      </c>
      <c r="J30" s="25">
        <f>Costs!I31</f>
        <v/>
      </c>
      <c r="K30" s="25">
        <f>Costs!J31</f>
        <v/>
      </c>
      <c r="L30" s="26">
        <f>Costs!M31</f>
        <v/>
      </c>
      <c r="M30" s="26">
        <f>L30-$L$29</f>
        <v/>
      </c>
      <c r="N30" s="25">
        <f>IF(G30&gt;0,M30/G30,"n/a")</f>
        <v/>
      </c>
    </row>
    <row r="31">
      <c r="A31" s="10">
        <f>B31&amp;"|"&amp;C31</f>
        <v/>
      </c>
      <c r="B31" s="4" t="inlineStr">
        <is>
          <t>3F</t>
        </is>
      </c>
      <c r="C31" s="4" t="inlineStr">
        <is>
          <t>Alternative2</t>
        </is>
      </c>
      <c r="D31" s="4" t="inlineStr">
        <is>
          <t>Alternative 2</t>
        </is>
      </c>
      <c r="E31" s="4" t="n">
        <v>0</v>
      </c>
      <c r="F31" s="21">
        <f>SUMIFS(Benefits!$R$6:$R$98,Benefits!$A$6:$A$98,A31)</f>
        <v/>
      </c>
      <c r="G31" s="21">
        <f>F31-$F$29</f>
        <v/>
      </c>
      <c r="H31" s="25">
        <f>Costs!D32</f>
        <v/>
      </c>
      <c r="I31" s="25">
        <f>SUM(Costs!D32:F32)</f>
        <v/>
      </c>
      <c r="J31" s="25">
        <f>Costs!I32</f>
        <v/>
      </c>
      <c r="K31" s="25">
        <f>Costs!J32</f>
        <v/>
      </c>
      <c r="L31" s="26">
        <f>Costs!M32</f>
        <v/>
      </c>
      <c r="M31" s="26">
        <f>L31-$L$29</f>
        <v/>
      </c>
      <c r="N31" s="25">
        <f>IF(G31&gt;0,M31/G31,"n/a")</f>
        <v/>
      </c>
    </row>
    <row r="32">
      <c r="A32" s="10">
        <f>B32&amp;"|"&amp;C32</f>
        <v/>
      </c>
      <c r="B32" s="4" t="inlineStr">
        <is>
          <t>3F</t>
        </is>
      </c>
      <c r="C32" s="4" t="inlineStr">
        <is>
          <t>Alternative3</t>
        </is>
      </c>
      <c r="D32" s="4" t="inlineStr">
        <is>
          <t>Alternative 3</t>
        </is>
      </c>
      <c r="E32" s="4" t="n">
        <v>0</v>
      </c>
      <c r="F32" s="21">
        <f>SUMIFS(Benefits!$R$6:$R$98,Benefits!$A$6:$A$98,A32)</f>
        <v/>
      </c>
      <c r="G32" s="21">
        <f>F32-$F$29</f>
        <v/>
      </c>
      <c r="H32" s="25">
        <f>Costs!D33</f>
        <v/>
      </c>
      <c r="I32" s="25">
        <f>SUM(Costs!D33:F33)</f>
        <v/>
      </c>
      <c r="J32" s="25">
        <f>Costs!I33</f>
        <v/>
      </c>
      <c r="K32" s="25">
        <f>Costs!J33</f>
        <v/>
      </c>
      <c r="L32" s="26">
        <f>Costs!M33</f>
        <v/>
      </c>
      <c r="M32" s="26">
        <f>L32-$L$29</f>
        <v/>
      </c>
      <c r="N32" s="25">
        <f>IF(G32&gt;0,M32/G32,"n/a")</f>
        <v/>
      </c>
    </row>
    <row r="33">
      <c r="A33" s="10">
        <f>B33&amp;"|"&amp;C33</f>
        <v/>
      </c>
      <c r="B33" s="4" t="inlineStr">
        <is>
          <t>19A</t>
        </is>
      </c>
      <c r="C33" s="4" t="inlineStr">
        <is>
          <t>FWOP</t>
        </is>
      </c>
      <c r="D33" s="4" t="inlineStr">
        <is>
          <t>No Action</t>
        </is>
      </c>
      <c r="E33" s="4" t="n">
        <v>1</v>
      </c>
      <c r="F33" s="21">
        <f>SUMIFS(Benefits!$R$6:$R$98,Benefits!$A$6:$A$98,A33)</f>
        <v/>
      </c>
      <c r="G33" s="21">
        <f>F33-$F$33</f>
        <v/>
      </c>
      <c r="H33" s="25">
        <f>Costs!D34</f>
        <v/>
      </c>
      <c r="I33" s="25">
        <f>SUM(Costs!D34:F34)</f>
        <v/>
      </c>
      <c r="J33" s="25">
        <f>Costs!I34</f>
        <v/>
      </c>
      <c r="K33" s="25">
        <f>Costs!J34</f>
        <v/>
      </c>
      <c r="L33" s="26">
        <f>Costs!M34</f>
        <v/>
      </c>
      <c r="M33" s="26">
        <f>L33-$L$33</f>
        <v/>
      </c>
      <c r="N33" s="25">
        <f>IF(G33&gt;0,M33/G33,"n/a")</f>
        <v/>
      </c>
    </row>
    <row r="34">
      <c r="A34" s="10">
        <f>B34&amp;"|"&amp;C34</f>
        <v/>
      </c>
      <c r="B34" s="4" t="inlineStr">
        <is>
          <t>19A</t>
        </is>
      </c>
      <c r="C34" s="4" t="inlineStr">
        <is>
          <t>Alternative2</t>
        </is>
      </c>
      <c r="D34" s="4" t="inlineStr">
        <is>
          <t>Alternative 2</t>
        </is>
      </c>
      <c r="E34" s="4" t="n">
        <v>0</v>
      </c>
      <c r="F34" s="21">
        <f>SUMIFS(Benefits!$R$6:$R$98,Benefits!$A$6:$A$98,A34)</f>
        <v/>
      </c>
      <c r="G34" s="21">
        <f>F34-$F$33</f>
        <v/>
      </c>
      <c r="H34" s="25">
        <f>Costs!D35</f>
        <v/>
      </c>
      <c r="I34" s="25">
        <f>SUM(Costs!D35:F35)</f>
        <v/>
      </c>
      <c r="J34" s="25">
        <f>Costs!I35</f>
        <v/>
      </c>
      <c r="K34" s="25">
        <f>Costs!J35</f>
        <v/>
      </c>
      <c r="L34" s="26">
        <f>Costs!M35</f>
        <v/>
      </c>
      <c r="M34" s="26">
        <f>L34-$L$33</f>
        <v/>
      </c>
      <c r="N34" s="25">
        <f>IF(G34&gt;0,M34/G34,"n/a")</f>
        <v/>
      </c>
    </row>
    <row r="35">
      <c r="A35" s="10">
        <f>B35&amp;"|"&amp;C35</f>
        <v/>
      </c>
      <c r="B35" s="4" t="inlineStr">
        <is>
          <t>19A</t>
        </is>
      </c>
      <c r="C35" s="4" t="inlineStr">
        <is>
          <t>Alternative3</t>
        </is>
      </c>
      <c r="D35" s="4" t="inlineStr">
        <is>
          <t>Alternative 3</t>
        </is>
      </c>
      <c r="E35" s="4" t="n">
        <v>0</v>
      </c>
      <c r="F35" s="21">
        <f>SUMIFS(Benefits!$R$6:$R$98,Benefits!$A$6:$A$98,A35)</f>
        <v/>
      </c>
      <c r="G35" s="21">
        <f>F35-$F$33</f>
        <v/>
      </c>
      <c r="H35" s="25">
        <f>Costs!D36</f>
        <v/>
      </c>
      <c r="I35" s="25">
        <f>SUM(Costs!D36:F36)</f>
        <v/>
      </c>
      <c r="J35" s="25">
        <f>Costs!I36</f>
        <v/>
      </c>
      <c r="K35" s="25">
        <f>Costs!J36</f>
        <v/>
      </c>
      <c r="L35" s="26">
        <f>Costs!M36</f>
        <v/>
      </c>
      <c r="M35" s="26">
        <f>L35-$L$33</f>
        <v/>
      </c>
      <c r="N35" s="25">
        <f>IF(G35&gt;0,M35/G35,"n/a")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4" customWidth="1" style="8" min="4" max="4"/>
    <col width="8" customWidth="1" style="8" min="5" max="5"/>
    <col width="7" customWidth="1" style="8" min="6" max="6"/>
    <col width="11" customWidth="1" style="8" min="7" max="7"/>
    <col width="13" customWidth="1" style="8" min="8" max="8"/>
    <col hidden="1" width="11" customWidth="1" style="8" min="9" max="9"/>
    <col hidden="1" width="11" customWidth="1" style="8" min="10" max="10"/>
    <col hidden="1" width="8" customWidth="1" style="8" min="11" max="11"/>
    <col width="9" customWidth="1" style="8" min="12" max="12"/>
    <col hidden="1" width="8" customWidth="1" style="8" min="13" max="13"/>
    <col hidden="1" width="11" customWidth="1" style="8" min="14" max="14"/>
    <col hidden="1" width="11" customWidth="1" style="8" min="15" max="15"/>
    <col width="7" customWidth="1" style="8" min="16" max="16"/>
    <col hidden="1" width="8" customWidth="1" style="8" min="17" max="17"/>
    <col hidden="1" width="11" customWidth="1" style="8" min="18" max="18"/>
    <col hidden="1" width="11" customWidth="1" style="8" min="19" max="19"/>
    <col width="11" customWidth="1" style="8" min="20" max="20"/>
    <col width="13" customWidth="1" style="8" min="21" max="21"/>
    <col width="13" customWidth="1" style="8" min="22" max="22"/>
    <col width="11" customWidth="1" style="8" min="23" max="23"/>
    <col width="11" customWidth="1" style="8" min="24" max="24"/>
  </cols>
  <sheetData>
    <row r="1">
      <c r="A1" s="1" t="inlineStr">
        <is>
          <t>Site-by-site CE/ICA</t>
        </is>
      </c>
    </row>
    <row r="2">
      <c r="A2" s="2" t="inlineStr">
        <is>
          <t>Cost-effective: no alternative gives the same output for less, or more output for no more. Best buy: on the lower hull from No Action (IWR Planning Suite II rules).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Ordinal</t>
        </is>
      </c>
      <c r="G4" s="12" t="inlineStr">
        <is>
          <t>Lift (AAHU)</t>
        </is>
      </c>
      <c r="H4" s="12" t="inlineStr">
        <is>
          <t>Cost above No Action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Dominated by</t>
        </is>
      </c>
      <c r="L4" s="12" t="inlineStr">
        <is>
          <t>Cost-effective</t>
        </is>
      </c>
      <c r="M4" s="12" t="inlineStr">
        <is>
          <t>Candidate</t>
        </is>
      </c>
      <c r="N4" s="12" t="inlineStr">
        <is>
          <t>Slope in (max)</t>
        </is>
      </c>
      <c r="O4" s="12" t="inlineStr">
        <is>
          <t>Slope out (min)</t>
        </is>
      </c>
      <c r="P4" s="12" t="inlineStr">
        <is>
          <t>Best buy</t>
        </is>
      </c>
      <c r="Q4" s="12" t="inlineStr">
        <is>
          <t>Best-buy step</t>
        </is>
      </c>
      <c r="R4" s="12" t="inlineStr">
        <is>
          <t>Previous lift (scaled)</t>
        </is>
      </c>
      <c r="S4" s="12" t="inlineStr">
        <is>
          <t>Previous cost (scaled)</t>
        </is>
      </c>
      <c r="T4" s="12" t="inlineStr">
        <is>
          <t>Incremental output</t>
        </is>
      </c>
      <c r="U4" s="12" t="inlineStr">
        <is>
          <t>Incremental cost</t>
        </is>
      </c>
      <c r="V4" s="12" t="inlineStr">
        <is>
          <t>Incremental cost per unit</t>
        </is>
      </c>
      <c r="W4" s="12" t="inlineStr">
        <is>
          <t>Unit cost</t>
        </is>
      </c>
      <c r="X4" s="12" t="inlineStr">
        <is>
          <t>Recommended</t>
        </is>
      </c>
    </row>
    <row r="5">
      <c r="B5" s="7" t="inlineStr">
        <is>
          <t>17F2M  Golf course concrete channel</t>
        </is>
      </c>
    </row>
    <row r="6">
      <c r="A6" s="10">
        <f>B6&amp;"|"&amp;C6</f>
        <v/>
      </c>
      <c r="B6" s="4" t="inlineStr">
        <is>
          <t>17F2M</t>
        </is>
      </c>
      <c r="C6" s="4" t="inlineStr">
        <is>
          <t>FWOP</t>
        </is>
      </c>
      <c r="D6" s="4" t="inlineStr">
        <is>
          <t>No Action</t>
        </is>
      </c>
      <c r="E6" s="4" t="n">
        <v>1</v>
      </c>
      <c r="F6" s="4" t="n">
        <v>1</v>
      </c>
      <c r="G6" s="21">
        <f>Summary!G5</f>
        <v/>
      </c>
      <c r="H6" s="26">
        <f>Summary!M5</f>
        <v/>
      </c>
      <c r="I6" s="6">
        <f>ROUND(G6*10^in_out_dp,0)</f>
        <v/>
      </c>
      <c r="J6" s="6">
        <f>ROUND(H6*10^in_cost_dp,0)</f>
        <v/>
      </c>
      <c r="K6" s="10">
        <f>SUMPRODUCT(($I$6:$I$9=I6)*($J$6:$J$9&lt;J6)+($I$6:$I$9&gt;I6)*($J$6:$J$9&lt;=J6))</f>
        <v/>
      </c>
      <c r="L6" s="10">
        <f>IF(OR(E6=1,K6=0),1,0)</f>
        <v/>
      </c>
      <c r="M6" s="10">
        <f>IF(AND(L6=1,E6=0,I6&gt;0),1,0)</f>
        <v/>
      </c>
      <c r="N6" s="30">
        <f>IF(M6=1,MAX(J6/I6,SUMPRODUCT(MAX(((J6-$J$6:$J$9)*($M$6:$M$9*($I$6:$I$9&lt;I6)))/((I6-$I$6:$I$9)*($M$6:$M$9*($I$6:$I$9&lt;I6))+1-($M$6:$M$9*($I$6:$I$9&lt;I6)))-(1-($M$6:$M$9*($I$6:$I$9&lt;I6)))*1E+300))),0)</f>
        <v/>
      </c>
      <c r="O6" s="30">
        <f>IF(M6=1,SUMPRODUCT(MIN(((($J$6:$J$9-J6)*($M$6:$M$9*($I$6:$I$9&gt;I6)))/(($I$6:$I$9-I6)*($M$6:$M$9*($I$6:$I$9&gt;I6))+1-($M$6:$M$9*($I$6:$I$9&gt;I6)))+(1-($M$6:$M$9*($I$6:$I$9&gt;I6)))*1E+300))),0)</f>
        <v/>
      </c>
      <c r="P6" s="10">
        <f>IF(E6=1,1,IF(AND(M6=1,N6&lt;=O6),1,0))</f>
        <v/>
      </c>
      <c r="Q6" s="10">
        <f>IF(P6=1,1+SUMPRODUCT($P$6:$P$9*(($I$6:$I$9&lt;I6)+($I$6:$I$9=I6)*($F$6:$F$9&lt;F6))),0)</f>
        <v/>
      </c>
      <c r="R6" s="10">
        <f>IF(Q6&lt;=1,0,SUMPRODUCT(($Q$6:$Q$9=Q6-1)*$I$6:$I$9))</f>
        <v/>
      </c>
      <c r="S6" s="10">
        <f>IF(Q6&lt;=1,0,SUMPRODUCT(($Q$6:$Q$9=Q6-1)*$J$6:$J$9))</f>
        <v/>
      </c>
      <c r="T6" s="21">
        <f>IF(Q6=0,"",(I6-R6)/10^in_out_dp)</f>
        <v/>
      </c>
      <c r="U6" s="26">
        <f>IF(Q6=0,"",(J6-S6)/10^in_cost_dp)</f>
        <v/>
      </c>
      <c r="V6" s="26">
        <f>IF(Q6=0,"",IF(I6=R6,0,U6/T6))</f>
        <v/>
      </c>
      <c r="W6" s="26">
        <f>IF(I6&gt;0,(J6/10^in_cost_dp)/(I6/10^in_out_dp),"n/a")</f>
        <v/>
      </c>
      <c r="X6" s="10">
        <f>IF(Sites!$C$5=C6,1,0)</f>
        <v/>
      </c>
    </row>
    <row r="7">
      <c r="A7" s="10">
        <f>B7&amp;"|"&amp;C7</f>
        <v/>
      </c>
      <c r="B7" s="4" t="inlineStr">
        <is>
          <t>17F2M</t>
        </is>
      </c>
      <c r="C7" s="4" t="inlineStr">
        <is>
          <t>Alternative1</t>
        </is>
      </c>
      <c r="D7" s="4" t="inlineStr">
        <is>
          <t>Alternative 1</t>
        </is>
      </c>
      <c r="E7" s="4" t="n">
        <v>0</v>
      </c>
      <c r="F7" s="4" t="n">
        <v>2</v>
      </c>
      <c r="G7" s="21">
        <f>Summary!G6</f>
        <v/>
      </c>
      <c r="H7" s="26">
        <f>Summary!M6</f>
        <v/>
      </c>
      <c r="I7" s="6">
        <f>ROUND(G7*10^in_out_dp,0)</f>
        <v/>
      </c>
      <c r="J7" s="6">
        <f>ROUND(H7*10^in_cost_dp,0)</f>
        <v/>
      </c>
      <c r="K7" s="10">
        <f>SUMPRODUCT(($I$6:$I$9=I7)*($J$6:$J$9&lt;J7)+($I$6:$I$9&gt;I7)*($J$6:$J$9&lt;=J7))</f>
        <v/>
      </c>
      <c r="L7" s="10">
        <f>IF(OR(E7=1,K7=0),1,0)</f>
        <v/>
      </c>
      <c r="M7" s="10">
        <f>IF(AND(L7=1,E7=0,I7&gt;0),1,0)</f>
        <v/>
      </c>
      <c r="N7" s="30">
        <f>IF(M7=1,MAX(J7/I7,SUMPRODUCT(MAX(((J7-$J$6:$J$9)*($M$6:$M$9*($I$6:$I$9&lt;I7)))/((I7-$I$6:$I$9)*($M$6:$M$9*($I$6:$I$9&lt;I7))+1-($M$6:$M$9*($I$6:$I$9&lt;I7)))-(1-($M$6:$M$9*($I$6:$I$9&lt;I7)))*1E+300))),0)</f>
        <v/>
      </c>
      <c r="O7" s="30">
        <f>IF(M7=1,SUMPRODUCT(MIN(((($J$6:$J$9-J7)*($M$6:$M$9*($I$6:$I$9&gt;I7)))/(($I$6:$I$9-I7)*($M$6:$M$9*($I$6:$I$9&gt;I7))+1-($M$6:$M$9*($I$6:$I$9&gt;I7)))+(1-($M$6:$M$9*($I$6:$I$9&gt;I7)))*1E+300))),0)</f>
        <v/>
      </c>
      <c r="P7" s="10">
        <f>IF(E7=1,1,IF(AND(M7=1,N7&lt;=O7),1,0))</f>
        <v/>
      </c>
      <c r="Q7" s="10">
        <f>IF(P7=1,1+SUMPRODUCT($P$6:$P$9*(($I$6:$I$9&lt;I7)+($I$6:$I$9=I7)*($F$6:$F$9&lt;F7))),0)</f>
        <v/>
      </c>
      <c r="R7" s="10">
        <f>IF(Q7&lt;=1,0,SUMPRODUCT(($Q$6:$Q$9=Q7-1)*$I$6:$I$9))</f>
        <v/>
      </c>
      <c r="S7" s="10">
        <f>IF(Q7&lt;=1,0,SUMPRODUCT(($Q$6:$Q$9=Q7-1)*$J$6:$J$9))</f>
        <v/>
      </c>
      <c r="T7" s="21">
        <f>IF(Q7=0,"",(I7-R7)/10^in_out_dp)</f>
        <v/>
      </c>
      <c r="U7" s="26">
        <f>IF(Q7=0,"",(J7-S7)/10^in_cost_dp)</f>
        <v/>
      </c>
      <c r="V7" s="26">
        <f>IF(Q7=0,"",IF(I7=R7,0,U7/T7))</f>
        <v/>
      </c>
      <c r="W7" s="26">
        <f>IF(I7&gt;0,(J7/10^in_cost_dp)/(I7/10^in_out_dp),"n/a")</f>
        <v/>
      </c>
      <c r="X7" s="10">
        <f>IF(Sites!$C$5=C7,1,0)</f>
        <v/>
      </c>
    </row>
    <row r="8">
      <c r="A8" s="10">
        <f>B8&amp;"|"&amp;C8</f>
        <v/>
      </c>
      <c r="B8" s="4" t="inlineStr">
        <is>
          <t>17F2M</t>
        </is>
      </c>
      <c r="C8" s="4" t="inlineStr">
        <is>
          <t>Alternative2</t>
        </is>
      </c>
      <c r="D8" s="4" t="inlineStr">
        <is>
          <t>Alternative 2</t>
        </is>
      </c>
      <c r="E8" s="4" t="n">
        <v>0</v>
      </c>
      <c r="F8" s="4" t="n">
        <v>3</v>
      </c>
      <c r="G8" s="21">
        <f>Summary!G7</f>
        <v/>
      </c>
      <c r="H8" s="26">
        <f>Summary!M7</f>
        <v/>
      </c>
      <c r="I8" s="6">
        <f>ROUND(G8*10^in_out_dp,0)</f>
        <v/>
      </c>
      <c r="J8" s="6">
        <f>ROUND(H8*10^in_cost_dp,0)</f>
        <v/>
      </c>
      <c r="K8" s="10">
        <f>SUMPRODUCT(($I$6:$I$9=I8)*($J$6:$J$9&lt;J8)+($I$6:$I$9&gt;I8)*($J$6:$J$9&lt;=J8))</f>
        <v/>
      </c>
      <c r="L8" s="10">
        <f>IF(OR(E8=1,K8=0),1,0)</f>
        <v/>
      </c>
      <c r="M8" s="10">
        <f>IF(AND(L8=1,E8=0,I8&gt;0),1,0)</f>
        <v/>
      </c>
      <c r="N8" s="30">
        <f>IF(M8=1,MAX(J8/I8,SUMPRODUCT(MAX(((J8-$J$6:$J$9)*($M$6:$M$9*($I$6:$I$9&lt;I8)))/((I8-$I$6:$I$9)*($M$6:$M$9*($I$6:$I$9&lt;I8))+1-($M$6:$M$9*($I$6:$I$9&lt;I8)))-(1-($M$6:$M$9*($I$6:$I$9&lt;I8)))*1E+300))),0)</f>
        <v/>
      </c>
      <c r="O8" s="30">
        <f>IF(M8=1,SUMPRODUCT(MIN(((($J$6:$J$9-J8)*($M$6:$M$9*($I$6:$I$9&gt;I8)))/(($I$6:$I$9-I8)*($M$6:$M$9*($I$6:$I$9&gt;I8))+1-($M$6:$M$9*($I$6:$I$9&gt;I8)))+(1-($M$6:$M$9*($I$6:$I$9&gt;I8)))*1E+300))),0)</f>
        <v/>
      </c>
      <c r="P8" s="10">
        <f>IF(E8=1,1,IF(AND(M8=1,N8&lt;=O8),1,0))</f>
        <v/>
      </c>
      <c r="Q8" s="10">
        <f>IF(P8=1,1+SUMPRODUCT($P$6:$P$9*(($I$6:$I$9&lt;I8)+($I$6:$I$9=I8)*($F$6:$F$9&lt;F8))),0)</f>
        <v/>
      </c>
      <c r="R8" s="10">
        <f>IF(Q8&lt;=1,0,SUMPRODUCT(($Q$6:$Q$9=Q8-1)*$I$6:$I$9))</f>
        <v/>
      </c>
      <c r="S8" s="10">
        <f>IF(Q8&lt;=1,0,SUMPRODUCT(($Q$6:$Q$9=Q8-1)*$J$6:$J$9))</f>
        <v/>
      </c>
      <c r="T8" s="21">
        <f>IF(Q8=0,"",(I8-R8)/10^in_out_dp)</f>
        <v/>
      </c>
      <c r="U8" s="26">
        <f>IF(Q8=0,"",(J8-S8)/10^in_cost_dp)</f>
        <v/>
      </c>
      <c r="V8" s="26">
        <f>IF(Q8=0,"",IF(I8=R8,0,U8/T8))</f>
        <v/>
      </c>
      <c r="W8" s="26">
        <f>IF(I8&gt;0,(J8/10^in_cost_dp)/(I8/10^in_out_dp),"n/a")</f>
        <v/>
      </c>
      <c r="X8" s="10">
        <f>IF(Sites!$C$5=C8,1,0)</f>
        <v/>
      </c>
    </row>
    <row r="9">
      <c r="A9" s="10">
        <f>B9&amp;"|"&amp;C9</f>
        <v/>
      </c>
      <c r="B9" s="4" t="inlineStr">
        <is>
          <t>17F2M</t>
        </is>
      </c>
      <c r="C9" s="4" t="inlineStr">
        <is>
          <t>Alternative3</t>
        </is>
      </c>
      <c r="D9" s="4" t="inlineStr">
        <is>
          <t>Alternative 3</t>
        </is>
      </c>
      <c r="E9" s="4" t="n">
        <v>0</v>
      </c>
      <c r="F9" s="4" t="n">
        <v>4</v>
      </c>
      <c r="G9" s="21">
        <f>Summary!G8</f>
        <v/>
      </c>
      <c r="H9" s="26">
        <f>Summary!M8</f>
        <v/>
      </c>
      <c r="I9" s="6">
        <f>ROUND(G9*10^in_out_dp,0)</f>
        <v/>
      </c>
      <c r="J9" s="6">
        <f>ROUND(H9*10^in_cost_dp,0)</f>
        <v/>
      </c>
      <c r="K9" s="10">
        <f>SUMPRODUCT(($I$6:$I$9=I9)*($J$6:$J$9&lt;J9)+($I$6:$I$9&gt;I9)*($J$6:$J$9&lt;=J9))</f>
        <v/>
      </c>
      <c r="L9" s="10">
        <f>IF(OR(E9=1,K9=0),1,0)</f>
        <v/>
      </c>
      <c r="M9" s="10">
        <f>IF(AND(L9=1,E9=0,I9&gt;0),1,0)</f>
        <v/>
      </c>
      <c r="N9" s="30">
        <f>IF(M9=1,MAX(J9/I9,SUMPRODUCT(MAX(((J9-$J$6:$J$9)*($M$6:$M$9*($I$6:$I$9&lt;I9)))/((I9-$I$6:$I$9)*($M$6:$M$9*($I$6:$I$9&lt;I9))+1-($M$6:$M$9*($I$6:$I$9&lt;I9)))-(1-($M$6:$M$9*($I$6:$I$9&lt;I9)))*1E+300))),0)</f>
        <v/>
      </c>
      <c r="O9" s="30">
        <f>IF(M9=1,SUMPRODUCT(MIN(((($J$6:$J$9-J9)*($M$6:$M$9*($I$6:$I$9&gt;I9)))/(($I$6:$I$9-I9)*($M$6:$M$9*($I$6:$I$9&gt;I9))+1-($M$6:$M$9*($I$6:$I$9&gt;I9)))+(1-($M$6:$M$9*($I$6:$I$9&gt;I9)))*1E+300))),0)</f>
        <v/>
      </c>
      <c r="P9" s="10">
        <f>IF(E9=1,1,IF(AND(M9=1,N9&lt;=O9),1,0))</f>
        <v/>
      </c>
      <c r="Q9" s="10">
        <f>IF(P9=1,1+SUMPRODUCT($P$6:$P$9*(($I$6:$I$9&lt;I9)+($I$6:$I$9=I9)*($F$6:$F$9&lt;F9))),0)</f>
        <v/>
      </c>
      <c r="R9" s="10">
        <f>IF(Q9&lt;=1,0,SUMPRODUCT(($Q$6:$Q$9=Q9-1)*$I$6:$I$9))</f>
        <v/>
      </c>
      <c r="S9" s="10">
        <f>IF(Q9&lt;=1,0,SUMPRODUCT(($Q$6:$Q$9=Q9-1)*$J$6:$J$9))</f>
        <v/>
      </c>
      <c r="T9" s="21">
        <f>IF(Q9=0,"",(I9-R9)/10^in_out_dp)</f>
        <v/>
      </c>
      <c r="U9" s="26">
        <f>IF(Q9=0,"",(J9-S9)/10^in_cost_dp)</f>
        <v/>
      </c>
      <c r="V9" s="26">
        <f>IF(Q9=0,"",IF(I9=R9,0,U9/T9))</f>
        <v/>
      </c>
      <c r="W9" s="26">
        <f>IF(I9&gt;0,(J9/10^in_cost_dp)/(I9/10^in_out_dp),"n/a")</f>
        <v/>
      </c>
      <c r="X9" s="10">
        <f>IF(Sites!$C$5=C9,1,0)</f>
        <v/>
      </c>
    </row>
    <row r="11">
      <c r="B11" s="7" t="inlineStr">
        <is>
          <t>17D2E  Concrete channel to Beecher Road</t>
        </is>
      </c>
    </row>
    <row r="12">
      <c r="A12" s="10">
        <f>B12&amp;"|"&amp;C12</f>
        <v/>
      </c>
      <c r="B12" s="4" t="inlineStr">
        <is>
          <t>17D2E</t>
        </is>
      </c>
      <c r="C12" s="4" t="inlineStr">
        <is>
          <t>FWOP</t>
        </is>
      </c>
      <c r="D12" s="4" t="inlineStr">
        <is>
          <t>No Action</t>
        </is>
      </c>
      <c r="E12" s="4" t="n">
        <v>1</v>
      </c>
      <c r="F12" s="4" t="n">
        <v>1</v>
      </c>
      <c r="G12" s="21">
        <f>Summary!G9</f>
        <v/>
      </c>
      <c r="H12" s="26">
        <f>Summary!M9</f>
        <v/>
      </c>
      <c r="I12" s="6">
        <f>ROUND(G12*10^in_out_dp,0)</f>
        <v/>
      </c>
      <c r="J12" s="6">
        <f>ROUND(H12*10^in_cost_dp,0)</f>
        <v/>
      </c>
      <c r="K12" s="10">
        <f>SUMPRODUCT(($I$12:$I$15=I12)*($J$12:$J$15&lt;J12)+($I$12:$I$15&gt;I12)*($J$12:$J$15&lt;=J12))</f>
        <v/>
      </c>
      <c r="L12" s="10">
        <f>IF(OR(E12=1,K12=0),1,0)</f>
        <v/>
      </c>
      <c r="M12" s="10">
        <f>IF(AND(L12=1,E12=0,I12&gt;0),1,0)</f>
        <v/>
      </c>
      <c r="N12" s="30">
        <f>IF(M12=1,MAX(J12/I12,SUMPRODUCT(MAX(((J12-$J$12:$J$15)*($M$12:$M$15*($I$12:$I$15&lt;I12)))/((I12-$I$12:$I$15)*($M$12:$M$15*($I$12:$I$15&lt;I12))+1-($M$12:$M$15*($I$12:$I$15&lt;I12)))-(1-($M$12:$M$15*($I$12:$I$15&lt;I12)))*1E+300))),0)</f>
        <v/>
      </c>
      <c r="O12" s="30">
        <f>IF(M12=1,SUMPRODUCT(MIN(((($J$12:$J$15-J12)*($M$12:$M$15*($I$12:$I$15&gt;I12)))/(($I$12:$I$15-I12)*($M$12:$M$15*($I$12:$I$15&gt;I12))+1-($M$12:$M$15*($I$12:$I$15&gt;I12)))+(1-($M$12:$M$15*($I$12:$I$15&gt;I12)))*1E+300))),0)</f>
        <v/>
      </c>
      <c r="P12" s="10">
        <f>IF(E12=1,1,IF(AND(M12=1,N12&lt;=O12),1,0))</f>
        <v/>
      </c>
      <c r="Q12" s="10">
        <f>IF(P12=1,1+SUMPRODUCT($P$12:$P$15*(($I$12:$I$15&lt;I12)+($I$12:$I$15=I12)*($F$12:$F$15&lt;F12))),0)</f>
        <v/>
      </c>
      <c r="R12" s="10">
        <f>IF(Q12&lt;=1,0,SUMPRODUCT(($Q$12:$Q$15=Q12-1)*$I$12:$I$15))</f>
        <v/>
      </c>
      <c r="S12" s="10">
        <f>IF(Q12&lt;=1,0,SUMPRODUCT(($Q$12:$Q$15=Q12-1)*$J$12:$J$15))</f>
        <v/>
      </c>
      <c r="T12" s="21">
        <f>IF(Q12=0,"",(I12-R12)/10^in_out_dp)</f>
        <v/>
      </c>
      <c r="U12" s="26">
        <f>IF(Q12=0,"",(J12-S12)/10^in_cost_dp)</f>
        <v/>
      </c>
      <c r="V12" s="26">
        <f>IF(Q12=0,"",IF(I12=R12,0,U12/T12))</f>
        <v/>
      </c>
      <c r="W12" s="26">
        <f>IF(I12&gt;0,(J12/10^in_cost_dp)/(I12/10^in_out_dp),"n/a")</f>
        <v/>
      </c>
      <c r="X12" s="10">
        <f>IF(Sites!$C$6=C12,1,0)</f>
        <v/>
      </c>
    </row>
    <row r="13">
      <c r="A13" s="10">
        <f>B13&amp;"|"&amp;C13</f>
        <v/>
      </c>
      <c r="B13" s="4" t="inlineStr">
        <is>
          <t>17D2E</t>
        </is>
      </c>
      <c r="C13" s="4" t="inlineStr">
        <is>
          <t>Alternative1</t>
        </is>
      </c>
      <c r="D13" s="4" t="inlineStr">
        <is>
          <t>Alternative 1</t>
        </is>
      </c>
      <c r="E13" s="4" t="n">
        <v>0</v>
      </c>
      <c r="F13" s="4" t="n">
        <v>2</v>
      </c>
      <c r="G13" s="21">
        <f>Summary!G10</f>
        <v/>
      </c>
      <c r="H13" s="26">
        <f>Summary!M10</f>
        <v/>
      </c>
      <c r="I13" s="6">
        <f>ROUND(G13*10^in_out_dp,0)</f>
        <v/>
      </c>
      <c r="J13" s="6">
        <f>ROUND(H13*10^in_cost_dp,0)</f>
        <v/>
      </c>
      <c r="K13" s="10">
        <f>SUMPRODUCT(($I$12:$I$15=I13)*($J$12:$J$15&lt;J13)+($I$12:$I$15&gt;I13)*($J$12:$J$15&lt;=J13))</f>
        <v/>
      </c>
      <c r="L13" s="10">
        <f>IF(OR(E13=1,K13=0),1,0)</f>
        <v/>
      </c>
      <c r="M13" s="10">
        <f>IF(AND(L13=1,E13=0,I13&gt;0),1,0)</f>
        <v/>
      </c>
      <c r="N13" s="30">
        <f>IF(M13=1,MAX(J13/I13,SUMPRODUCT(MAX(((J13-$J$12:$J$15)*($M$12:$M$15*($I$12:$I$15&lt;I13)))/((I13-$I$12:$I$15)*($M$12:$M$15*($I$12:$I$15&lt;I13))+1-($M$12:$M$15*($I$12:$I$15&lt;I13)))-(1-($M$12:$M$15*($I$12:$I$15&lt;I13)))*1E+300))),0)</f>
        <v/>
      </c>
      <c r="O13" s="30">
        <f>IF(M13=1,SUMPRODUCT(MIN(((($J$12:$J$15-J13)*($M$12:$M$15*($I$12:$I$15&gt;I13)))/(($I$12:$I$15-I13)*($M$12:$M$15*($I$12:$I$15&gt;I13))+1-($M$12:$M$15*($I$12:$I$15&gt;I13)))+(1-($M$12:$M$15*($I$12:$I$15&gt;I13)))*1E+300))),0)</f>
        <v/>
      </c>
      <c r="P13" s="10">
        <f>IF(E13=1,1,IF(AND(M13=1,N13&lt;=O13),1,0))</f>
        <v/>
      </c>
      <c r="Q13" s="10">
        <f>IF(P13=1,1+SUMPRODUCT($P$12:$P$15*(($I$12:$I$15&lt;I13)+($I$12:$I$15=I13)*($F$12:$F$15&lt;F13))),0)</f>
        <v/>
      </c>
      <c r="R13" s="10">
        <f>IF(Q13&lt;=1,0,SUMPRODUCT(($Q$12:$Q$15=Q13-1)*$I$12:$I$15))</f>
        <v/>
      </c>
      <c r="S13" s="10">
        <f>IF(Q13&lt;=1,0,SUMPRODUCT(($Q$12:$Q$15=Q13-1)*$J$12:$J$15))</f>
        <v/>
      </c>
      <c r="T13" s="21">
        <f>IF(Q13=0,"",(I13-R13)/10^in_out_dp)</f>
        <v/>
      </c>
      <c r="U13" s="26">
        <f>IF(Q13=0,"",(J13-S13)/10^in_cost_dp)</f>
        <v/>
      </c>
      <c r="V13" s="26">
        <f>IF(Q13=0,"",IF(I13=R13,0,U13/T13))</f>
        <v/>
      </c>
      <c r="W13" s="26">
        <f>IF(I13&gt;0,(J13/10^in_cost_dp)/(I13/10^in_out_dp),"n/a")</f>
        <v/>
      </c>
      <c r="X13" s="10">
        <f>IF(Sites!$C$6=C13,1,0)</f>
        <v/>
      </c>
    </row>
    <row r="14">
      <c r="A14" s="10">
        <f>B14&amp;"|"&amp;C14</f>
        <v/>
      </c>
      <c r="B14" s="4" t="inlineStr">
        <is>
          <t>17D2E</t>
        </is>
      </c>
      <c r="C14" s="4" t="inlineStr">
        <is>
          <t>Alternative2</t>
        </is>
      </c>
      <c r="D14" s="4" t="inlineStr">
        <is>
          <t>Alternative 2</t>
        </is>
      </c>
      <c r="E14" s="4" t="n">
        <v>0</v>
      </c>
      <c r="F14" s="4" t="n">
        <v>3</v>
      </c>
      <c r="G14" s="21">
        <f>Summary!G11</f>
        <v/>
      </c>
      <c r="H14" s="26">
        <f>Summary!M11</f>
        <v/>
      </c>
      <c r="I14" s="6">
        <f>ROUND(G14*10^in_out_dp,0)</f>
        <v/>
      </c>
      <c r="J14" s="6">
        <f>ROUND(H14*10^in_cost_dp,0)</f>
        <v/>
      </c>
      <c r="K14" s="10">
        <f>SUMPRODUCT(($I$12:$I$15=I14)*($J$12:$J$15&lt;J14)+($I$12:$I$15&gt;I14)*($J$12:$J$15&lt;=J14))</f>
        <v/>
      </c>
      <c r="L14" s="10">
        <f>IF(OR(E14=1,K14=0),1,0)</f>
        <v/>
      </c>
      <c r="M14" s="10">
        <f>IF(AND(L14=1,E14=0,I14&gt;0),1,0)</f>
        <v/>
      </c>
      <c r="N14" s="30">
        <f>IF(M14=1,MAX(J14/I14,SUMPRODUCT(MAX(((J14-$J$12:$J$15)*($M$12:$M$15*($I$12:$I$15&lt;I14)))/((I14-$I$12:$I$15)*($M$12:$M$15*($I$12:$I$15&lt;I14))+1-($M$12:$M$15*($I$12:$I$15&lt;I14)))-(1-($M$12:$M$15*($I$12:$I$15&lt;I14)))*1E+300))),0)</f>
        <v/>
      </c>
      <c r="O14" s="30">
        <f>IF(M14=1,SUMPRODUCT(MIN(((($J$12:$J$15-J14)*($M$12:$M$15*($I$12:$I$15&gt;I14)))/(($I$12:$I$15-I14)*($M$12:$M$15*($I$12:$I$15&gt;I14))+1-($M$12:$M$15*($I$12:$I$15&gt;I14)))+(1-($M$12:$M$15*($I$12:$I$15&gt;I14)))*1E+300))),0)</f>
        <v/>
      </c>
      <c r="P14" s="10">
        <f>IF(E14=1,1,IF(AND(M14=1,N14&lt;=O14),1,0))</f>
        <v/>
      </c>
      <c r="Q14" s="10">
        <f>IF(P14=1,1+SUMPRODUCT($P$12:$P$15*(($I$12:$I$15&lt;I14)+($I$12:$I$15=I14)*($F$12:$F$15&lt;F14))),0)</f>
        <v/>
      </c>
      <c r="R14" s="10">
        <f>IF(Q14&lt;=1,0,SUMPRODUCT(($Q$12:$Q$15=Q14-1)*$I$12:$I$15))</f>
        <v/>
      </c>
      <c r="S14" s="10">
        <f>IF(Q14&lt;=1,0,SUMPRODUCT(($Q$12:$Q$15=Q14-1)*$J$12:$J$15))</f>
        <v/>
      </c>
      <c r="T14" s="21">
        <f>IF(Q14=0,"",(I14-R14)/10^in_out_dp)</f>
        <v/>
      </c>
      <c r="U14" s="26">
        <f>IF(Q14=0,"",(J14-S14)/10^in_cost_dp)</f>
        <v/>
      </c>
      <c r="V14" s="26">
        <f>IF(Q14=0,"",IF(I14=R14,0,U14/T14))</f>
        <v/>
      </c>
      <c r="W14" s="26">
        <f>IF(I14&gt;0,(J14/10^in_cost_dp)/(I14/10^in_out_dp),"n/a")</f>
        <v/>
      </c>
      <c r="X14" s="10">
        <f>IF(Sites!$C$6=C14,1,0)</f>
        <v/>
      </c>
    </row>
    <row r="15">
      <c r="A15" s="10">
        <f>B15&amp;"|"&amp;C15</f>
        <v/>
      </c>
      <c r="B15" s="4" t="inlineStr">
        <is>
          <t>17D2E</t>
        </is>
      </c>
      <c r="C15" s="4" t="inlineStr">
        <is>
          <t>Alternative3</t>
        </is>
      </c>
      <c r="D15" s="4" t="inlineStr">
        <is>
          <t>Alternative 3</t>
        </is>
      </c>
      <c r="E15" s="4" t="n">
        <v>0</v>
      </c>
      <c r="F15" s="4" t="n">
        <v>4</v>
      </c>
      <c r="G15" s="21">
        <f>Summary!G12</f>
        <v/>
      </c>
      <c r="H15" s="26">
        <f>Summary!M12</f>
        <v/>
      </c>
      <c r="I15" s="6">
        <f>ROUND(G15*10^in_out_dp,0)</f>
        <v/>
      </c>
      <c r="J15" s="6">
        <f>ROUND(H15*10^in_cost_dp,0)</f>
        <v/>
      </c>
      <c r="K15" s="10">
        <f>SUMPRODUCT(($I$12:$I$15=I15)*($J$12:$J$15&lt;J15)+($I$12:$I$15&gt;I15)*($J$12:$J$15&lt;=J15))</f>
        <v/>
      </c>
      <c r="L15" s="10">
        <f>IF(OR(E15=1,K15=0),1,0)</f>
        <v/>
      </c>
      <c r="M15" s="10">
        <f>IF(AND(L15=1,E15=0,I15&gt;0),1,0)</f>
        <v/>
      </c>
      <c r="N15" s="30">
        <f>IF(M15=1,MAX(J15/I15,SUMPRODUCT(MAX(((J15-$J$12:$J$15)*($M$12:$M$15*($I$12:$I$15&lt;I15)))/((I15-$I$12:$I$15)*($M$12:$M$15*($I$12:$I$15&lt;I15))+1-($M$12:$M$15*($I$12:$I$15&lt;I15)))-(1-($M$12:$M$15*($I$12:$I$15&lt;I15)))*1E+300))),0)</f>
        <v/>
      </c>
      <c r="O15" s="30">
        <f>IF(M15=1,SUMPRODUCT(MIN(((($J$12:$J$15-J15)*($M$12:$M$15*($I$12:$I$15&gt;I15)))/(($I$12:$I$15-I15)*($M$12:$M$15*($I$12:$I$15&gt;I15))+1-($M$12:$M$15*($I$12:$I$15&gt;I15)))+(1-($M$12:$M$15*($I$12:$I$15&gt;I15)))*1E+300))),0)</f>
        <v/>
      </c>
      <c r="P15" s="10">
        <f>IF(E15=1,1,IF(AND(M15=1,N15&lt;=O15),1,0))</f>
        <v/>
      </c>
      <c r="Q15" s="10">
        <f>IF(P15=1,1+SUMPRODUCT($P$12:$P$15*(($I$12:$I$15&lt;I15)+($I$12:$I$15=I15)*($F$12:$F$15&lt;F15))),0)</f>
        <v/>
      </c>
      <c r="R15" s="10">
        <f>IF(Q15&lt;=1,0,SUMPRODUCT(($Q$12:$Q$15=Q15-1)*$I$12:$I$15))</f>
        <v/>
      </c>
      <c r="S15" s="10">
        <f>IF(Q15&lt;=1,0,SUMPRODUCT(($Q$12:$Q$15=Q15-1)*$J$12:$J$15))</f>
        <v/>
      </c>
      <c r="T15" s="21">
        <f>IF(Q15=0,"",(I15-R15)/10^in_out_dp)</f>
        <v/>
      </c>
      <c r="U15" s="26">
        <f>IF(Q15=0,"",(J15-S15)/10^in_cost_dp)</f>
        <v/>
      </c>
      <c r="V15" s="26">
        <f>IF(Q15=0,"",IF(I15=R15,0,U15/T15))</f>
        <v/>
      </c>
      <c r="W15" s="26">
        <f>IF(I15&gt;0,(J15/10^in_cost_dp)/(I15/10^in_out_dp),"n/a")</f>
        <v/>
      </c>
      <c r="X15" s="10">
        <f>IF(Sites!$C$6=C15,1,0)</f>
        <v/>
      </c>
    </row>
    <row r="17">
      <c r="B17" s="7" t="inlineStr">
        <is>
          <t>17B  Southwest Connector Trail reach</t>
        </is>
      </c>
    </row>
    <row r="18">
      <c r="A18" s="10">
        <f>B18&amp;"|"&amp;C18</f>
        <v/>
      </c>
      <c r="B18" s="4" t="inlineStr">
        <is>
          <t>17B</t>
        </is>
      </c>
      <c r="C18" s="4" t="inlineStr">
        <is>
          <t>FWOP</t>
        </is>
      </c>
      <c r="D18" s="4" t="inlineStr">
        <is>
          <t>No Action</t>
        </is>
      </c>
      <c r="E18" s="4" t="n">
        <v>1</v>
      </c>
      <c r="F18" s="4" t="n">
        <v>1</v>
      </c>
      <c r="G18" s="21">
        <f>Summary!G13</f>
        <v/>
      </c>
      <c r="H18" s="26">
        <f>Summary!M13</f>
        <v/>
      </c>
      <c r="I18" s="6">
        <f>ROUND(G18*10^in_out_dp,0)</f>
        <v/>
      </c>
      <c r="J18" s="6">
        <f>ROUND(H18*10^in_cost_dp,0)</f>
        <v/>
      </c>
      <c r="K18" s="10">
        <f>SUMPRODUCT(($I$18:$I$21=I18)*($J$18:$J$21&lt;J18)+($I$18:$I$21&gt;I18)*($J$18:$J$21&lt;=J18))</f>
        <v/>
      </c>
      <c r="L18" s="10">
        <f>IF(OR(E18=1,K18=0),1,0)</f>
        <v/>
      </c>
      <c r="M18" s="10">
        <f>IF(AND(L18=1,E18=0,I18&gt;0),1,0)</f>
        <v/>
      </c>
      <c r="N18" s="30">
        <f>IF(M18=1,MAX(J18/I18,SUMPRODUCT(MAX(((J18-$J$18:$J$21)*($M$18:$M$21*($I$18:$I$21&lt;I18)))/((I18-$I$18:$I$21)*($M$18:$M$21*($I$18:$I$21&lt;I18))+1-($M$18:$M$21*($I$18:$I$21&lt;I18)))-(1-($M$18:$M$21*($I$18:$I$21&lt;I18)))*1E+300))),0)</f>
        <v/>
      </c>
      <c r="O18" s="30">
        <f>IF(M18=1,SUMPRODUCT(MIN(((($J$18:$J$21-J18)*($M$18:$M$21*($I$18:$I$21&gt;I18)))/(($I$18:$I$21-I18)*($M$18:$M$21*($I$18:$I$21&gt;I18))+1-($M$18:$M$21*($I$18:$I$21&gt;I18)))+(1-($M$18:$M$21*($I$18:$I$21&gt;I18)))*1E+300))),0)</f>
        <v/>
      </c>
      <c r="P18" s="10">
        <f>IF(E18=1,1,IF(AND(M18=1,N18&lt;=O18),1,0))</f>
        <v/>
      </c>
      <c r="Q18" s="10">
        <f>IF(P18=1,1+SUMPRODUCT($P$18:$P$21*(($I$18:$I$21&lt;I18)+($I$18:$I$21=I18)*($F$18:$F$21&lt;F18))),0)</f>
        <v/>
      </c>
      <c r="R18" s="10">
        <f>IF(Q18&lt;=1,0,SUMPRODUCT(($Q$18:$Q$21=Q18-1)*$I$18:$I$21))</f>
        <v/>
      </c>
      <c r="S18" s="10">
        <f>IF(Q18&lt;=1,0,SUMPRODUCT(($Q$18:$Q$21=Q18-1)*$J$18:$J$21))</f>
        <v/>
      </c>
      <c r="T18" s="21">
        <f>IF(Q18=0,"",(I18-R18)/10^in_out_dp)</f>
        <v/>
      </c>
      <c r="U18" s="26">
        <f>IF(Q18=0,"",(J18-S18)/10^in_cost_dp)</f>
        <v/>
      </c>
      <c r="V18" s="26">
        <f>IF(Q18=0,"",IF(I18=R18,0,U18/T18))</f>
        <v/>
      </c>
      <c r="W18" s="26">
        <f>IF(I18&gt;0,(J18/10^in_cost_dp)/(I18/10^in_out_dp),"n/a")</f>
        <v/>
      </c>
      <c r="X18" s="10">
        <f>IF(Sites!$C$7=C18,1,0)</f>
        <v/>
      </c>
    </row>
    <row r="19">
      <c r="A19" s="10">
        <f>B19&amp;"|"&amp;C19</f>
        <v/>
      </c>
      <c r="B19" s="4" t="inlineStr">
        <is>
          <t>17B</t>
        </is>
      </c>
      <c r="C19" s="4" t="inlineStr">
        <is>
          <t>Alternative1</t>
        </is>
      </c>
      <c r="D19" s="4" t="inlineStr">
        <is>
          <t>Alternative 1</t>
        </is>
      </c>
      <c r="E19" s="4" t="n">
        <v>0</v>
      </c>
      <c r="F19" s="4" t="n">
        <v>2</v>
      </c>
      <c r="G19" s="21">
        <f>Summary!G14</f>
        <v/>
      </c>
      <c r="H19" s="26">
        <f>Summary!M14</f>
        <v/>
      </c>
      <c r="I19" s="6">
        <f>ROUND(G19*10^in_out_dp,0)</f>
        <v/>
      </c>
      <c r="J19" s="6">
        <f>ROUND(H19*10^in_cost_dp,0)</f>
        <v/>
      </c>
      <c r="K19" s="10">
        <f>SUMPRODUCT(($I$18:$I$21=I19)*($J$18:$J$21&lt;J19)+($I$18:$I$21&gt;I19)*($J$18:$J$21&lt;=J19))</f>
        <v/>
      </c>
      <c r="L19" s="10">
        <f>IF(OR(E19=1,K19=0),1,0)</f>
        <v/>
      </c>
      <c r="M19" s="10">
        <f>IF(AND(L19=1,E19=0,I19&gt;0),1,0)</f>
        <v/>
      </c>
      <c r="N19" s="30">
        <f>IF(M19=1,MAX(J19/I19,SUMPRODUCT(MAX(((J19-$J$18:$J$21)*($M$18:$M$21*($I$18:$I$21&lt;I19)))/((I19-$I$18:$I$21)*($M$18:$M$21*($I$18:$I$21&lt;I19))+1-($M$18:$M$21*($I$18:$I$21&lt;I19)))-(1-($M$18:$M$21*($I$18:$I$21&lt;I19)))*1E+300))),0)</f>
        <v/>
      </c>
      <c r="O19" s="30">
        <f>IF(M19=1,SUMPRODUCT(MIN(((($J$18:$J$21-J19)*($M$18:$M$21*($I$18:$I$21&gt;I19)))/(($I$18:$I$21-I19)*($M$18:$M$21*($I$18:$I$21&gt;I19))+1-($M$18:$M$21*($I$18:$I$21&gt;I19)))+(1-($M$18:$M$21*($I$18:$I$21&gt;I19)))*1E+300))),0)</f>
        <v/>
      </c>
      <c r="P19" s="10">
        <f>IF(E19=1,1,IF(AND(M19=1,N19&lt;=O19),1,0))</f>
        <v/>
      </c>
      <c r="Q19" s="10">
        <f>IF(P19=1,1+SUMPRODUCT($P$18:$P$21*(($I$18:$I$21&lt;I19)+($I$18:$I$21=I19)*($F$18:$F$21&lt;F19))),0)</f>
        <v/>
      </c>
      <c r="R19" s="10">
        <f>IF(Q19&lt;=1,0,SUMPRODUCT(($Q$18:$Q$21=Q19-1)*$I$18:$I$21))</f>
        <v/>
      </c>
      <c r="S19" s="10">
        <f>IF(Q19&lt;=1,0,SUMPRODUCT(($Q$18:$Q$21=Q19-1)*$J$18:$J$21))</f>
        <v/>
      </c>
      <c r="T19" s="21">
        <f>IF(Q19=0,"",(I19-R19)/10^in_out_dp)</f>
        <v/>
      </c>
      <c r="U19" s="26">
        <f>IF(Q19=0,"",(J19-S19)/10^in_cost_dp)</f>
        <v/>
      </c>
      <c r="V19" s="26">
        <f>IF(Q19=0,"",IF(I19=R19,0,U19/T19))</f>
        <v/>
      </c>
      <c r="W19" s="26">
        <f>IF(I19&gt;0,(J19/10^in_cost_dp)/(I19/10^in_out_dp),"n/a")</f>
        <v/>
      </c>
      <c r="X19" s="10">
        <f>IF(Sites!$C$7=C19,1,0)</f>
        <v/>
      </c>
    </row>
    <row r="20">
      <c r="A20" s="10">
        <f>B20&amp;"|"&amp;C20</f>
        <v/>
      </c>
      <c r="B20" s="4" t="inlineStr">
        <is>
          <t>17B</t>
        </is>
      </c>
      <c r="C20" s="4" t="inlineStr">
        <is>
          <t>Alternative2</t>
        </is>
      </c>
      <c r="D20" s="4" t="inlineStr">
        <is>
          <t>Alternative 2</t>
        </is>
      </c>
      <c r="E20" s="4" t="n">
        <v>0</v>
      </c>
      <c r="F20" s="4" t="n">
        <v>3</v>
      </c>
      <c r="G20" s="21">
        <f>Summary!G15</f>
        <v/>
      </c>
      <c r="H20" s="26">
        <f>Summary!M15</f>
        <v/>
      </c>
      <c r="I20" s="6">
        <f>ROUND(G20*10^in_out_dp,0)</f>
        <v/>
      </c>
      <c r="J20" s="6">
        <f>ROUND(H20*10^in_cost_dp,0)</f>
        <v/>
      </c>
      <c r="K20" s="10">
        <f>SUMPRODUCT(($I$18:$I$21=I20)*($J$18:$J$21&lt;J20)+($I$18:$I$21&gt;I20)*($J$18:$J$21&lt;=J20))</f>
        <v/>
      </c>
      <c r="L20" s="10">
        <f>IF(OR(E20=1,K20=0),1,0)</f>
        <v/>
      </c>
      <c r="M20" s="10">
        <f>IF(AND(L20=1,E20=0,I20&gt;0),1,0)</f>
        <v/>
      </c>
      <c r="N20" s="30">
        <f>IF(M20=1,MAX(J20/I20,SUMPRODUCT(MAX(((J20-$J$18:$J$21)*($M$18:$M$21*($I$18:$I$21&lt;I20)))/((I20-$I$18:$I$21)*($M$18:$M$21*($I$18:$I$21&lt;I20))+1-($M$18:$M$21*($I$18:$I$21&lt;I20)))-(1-($M$18:$M$21*($I$18:$I$21&lt;I20)))*1E+300))),0)</f>
        <v/>
      </c>
      <c r="O20" s="30">
        <f>IF(M20=1,SUMPRODUCT(MIN(((($J$18:$J$21-J20)*($M$18:$M$21*($I$18:$I$21&gt;I20)))/(($I$18:$I$21-I20)*($M$18:$M$21*($I$18:$I$21&gt;I20))+1-($M$18:$M$21*($I$18:$I$21&gt;I20)))+(1-($M$18:$M$21*($I$18:$I$21&gt;I20)))*1E+300))),0)</f>
        <v/>
      </c>
      <c r="P20" s="10">
        <f>IF(E20=1,1,IF(AND(M20=1,N20&lt;=O20),1,0))</f>
        <v/>
      </c>
      <c r="Q20" s="10">
        <f>IF(P20=1,1+SUMPRODUCT($P$18:$P$21*(($I$18:$I$21&lt;I20)+($I$18:$I$21=I20)*($F$18:$F$21&lt;F20))),0)</f>
        <v/>
      </c>
      <c r="R20" s="10">
        <f>IF(Q20&lt;=1,0,SUMPRODUCT(($Q$18:$Q$21=Q20-1)*$I$18:$I$21))</f>
        <v/>
      </c>
      <c r="S20" s="10">
        <f>IF(Q20&lt;=1,0,SUMPRODUCT(($Q$18:$Q$21=Q20-1)*$J$18:$J$21))</f>
        <v/>
      </c>
      <c r="T20" s="21">
        <f>IF(Q20=0,"",(I20-R20)/10^in_out_dp)</f>
        <v/>
      </c>
      <c r="U20" s="26">
        <f>IF(Q20=0,"",(J20-S20)/10^in_cost_dp)</f>
        <v/>
      </c>
      <c r="V20" s="26">
        <f>IF(Q20=0,"",IF(I20=R20,0,U20/T20))</f>
        <v/>
      </c>
      <c r="W20" s="26">
        <f>IF(I20&gt;0,(J20/10^in_cost_dp)/(I20/10^in_out_dp),"n/a")</f>
        <v/>
      </c>
      <c r="X20" s="10">
        <f>IF(Sites!$C$7=C20,1,0)</f>
        <v/>
      </c>
    </row>
    <row r="21">
      <c r="A21" s="10">
        <f>B21&amp;"|"&amp;C21</f>
        <v/>
      </c>
      <c r="B21" s="4" t="inlineStr">
        <is>
          <t>17B</t>
        </is>
      </c>
      <c r="C21" s="4" t="inlineStr">
        <is>
          <t>Alternative3</t>
        </is>
      </c>
      <c r="D21" s="4" t="inlineStr">
        <is>
          <t>Alternative 3</t>
        </is>
      </c>
      <c r="E21" s="4" t="n">
        <v>0</v>
      </c>
      <c r="F21" s="4" t="n">
        <v>4</v>
      </c>
      <c r="G21" s="21">
        <f>Summary!G16</f>
        <v/>
      </c>
      <c r="H21" s="26">
        <f>Summary!M16</f>
        <v/>
      </c>
      <c r="I21" s="6">
        <f>ROUND(G21*10^in_out_dp,0)</f>
        <v/>
      </c>
      <c r="J21" s="6">
        <f>ROUND(H21*10^in_cost_dp,0)</f>
        <v/>
      </c>
      <c r="K21" s="10">
        <f>SUMPRODUCT(($I$18:$I$21=I21)*($J$18:$J$21&lt;J21)+($I$18:$I$21&gt;I21)*($J$18:$J$21&lt;=J21))</f>
        <v/>
      </c>
      <c r="L21" s="10">
        <f>IF(OR(E21=1,K21=0),1,0)</f>
        <v/>
      </c>
      <c r="M21" s="10">
        <f>IF(AND(L21=1,E21=0,I21&gt;0),1,0)</f>
        <v/>
      </c>
      <c r="N21" s="30">
        <f>IF(M21=1,MAX(J21/I21,SUMPRODUCT(MAX(((J21-$J$18:$J$21)*($M$18:$M$21*($I$18:$I$21&lt;I21)))/((I21-$I$18:$I$21)*($M$18:$M$21*($I$18:$I$21&lt;I21))+1-($M$18:$M$21*($I$18:$I$21&lt;I21)))-(1-($M$18:$M$21*($I$18:$I$21&lt;I21)))*1E+300))),0)</f>
        <v/>
      </c>
      <c r="O21" s="30">
        <f>IF(M21=1,SUMPRODUCT(MIN(((($J$18:$J$21-J21)*($M$18:$M$21*($I$18:$I$21&gt;I21)))/(($I$18:$I$21-I21)*($M$18:$M$21*($I$18:$I$21&gt;I21))+1-($M$18:$M$21*($I$18:$I$21&gt;I21)))+(1-($M$18:$M$21*($I$18:$I$21&gt;I21)))*1E+300))),0)</f>
        <v/>
      </c>
      <c r="P21" s="10">
        <f>IF(E21=1,1,IF(AND(M21=1,N21&lt;=O21),1,0))</f>
        <v/>
      </c>
      <c r="Q21" s="10">
        <f>IF(P21=1,1+SUMPRODUCT($P$18:$P$21*(($I$18:$I$21&lt;I21)+($I$18:$I$21=I21)*($F$18:$F$21&lt;F21))),0)</f>
        <v/>
      </c>
      <c r="R21" s="10">
        <f>IF(Q21&lt;=1,0,SUMPRODUCT(($Q$18:$Q$21=Q21-1)*$I$18:$I$21))</f>
        <v/>
      </c>
      <c r="S21" s="10">
        <f>IF(Q21&lt;=1,0,SUMPRODUCT(($Q$18:$Q$21=Q21-1)*$J$18:$J$21))</f>
        <v/>
      </c>
      <c r="T21" s="21">
        <f>IF(Q21=0,"",(I21-R21)/10^in_out_dp)</f>
        <v/>
      </c>
      <c r="U21" s="26">
        <f>IF(Q21=0,"",(J21-S21)/10^in_cost_dp)</f>
        <v/>
      </c>
      <c r="V21" s="26">
        <f>IF(Q21=0,"",IF(I21=R21,0,U21/T21))</f>
        <v/>
      </c>
      <c r="W21" s="26">
        <f>IF(I21&gt;0,(J21/10^in_cost_dp)/(I21/10^in_out_dp),"n/a")</f>
        <v/>
      </c>
      <c r="X21" s="10">
        <f>IF(Sites!$C$7=C21,1,0)</f>
        <v/>
      </c>
    </row>
    <row r="23">
      <c r="B23" s="7" t="inlineStr">
        <is>
          <t>2A  Lower North Utoy powerline reach</t>
        </is>
      </c>
    </row>
    <row r="24">
      <c r="A24" s="10">
        <f>B24&amp;"|"&amp;C24</f>
        <v/>
      </c>
      <c r="B24" s="4" t="inlineStr">
        <is>
          <t>2A</t>
        </is>
      </c>
      <c r="C24" s="4" t="inlineStr">
        <is>
          <t>FWOP</t>
        </is>
      </c>
      <c r="D24" s="4" t="inlineStr">
        <is>
          <t>No Action</t>
        </is>
      </c>
      <c r="E24" s="4" t="n">
        <v>1</v>
      </c>
      <c r="F24" s="4" t="n">
        <v>1</v>
      </c>
      <c r="G24" s="21">
        <f>Summary!G17</f>
        <v/>
      </c>
      <c r="H24" s="26">
        <f>Summary!M17</f>
        <v/>
      </c>
      <c r="I24" s="6">
        <f>ROUND(G24*10^in_out_dp,0)</f>
        <v/>
      </c>
      <c r="J24" s="6">
        <f>ROUND(H24*10^in_cost_dp,0)</f>
        <v/>
      </c>
      <c r="K24" s="10">
        <f>SUMPRODUCT(($I$24:$I$27=I24)*($J$24:$J$27&lt;J24)+($I$24:$I$27&gt;I24)*($J$24:$J$27&lt;=J24))</f>
        <v/>
      </c>
      <c r="L24" s="10">
        <f>IF(OR(E24=1,K24=0),1,0)</f>
        <v/>
      </c>
      <c r="M24" s="10">
        <f>IF(AND(L24=1,E24=0,I24&gt;0),1,0)</f>
        <v/>
      </c>
      <c r="N24" s="30">
        <f>IF(M24=1,MAX(J24/I24,SUMPRODUCT(MAX(((J24-$J$24:$J$27)*($M$24:$M$27*($I$24:$I$27&lt;I24)))/((I24-$I$24:$I$27)*($M$24:$M$27*($I$24:$I$27&lt;I24))+1-($M$24:$M$27*($I$24:$I$27&lt;I24)))-(1-($M$24:$M$27*($I$24:$I$27&lt;I24)))*1E+300))),0)</f>
        <v/>
      </c>
      <c r="O24" s="30">
        <f>IF(M24=1,SUMPRODUCT(MIN(((($J$24:$J$27-J24)*($M$24:$M$27*($I$24:$I$27&gt;I24)))/(($I$24:$I$27-I24)*($M$24:$M$27*($I$24:$I$27&gt;I24))+1-($M$24:$M$27*($I$24:$I$27&gt;I24)))+(1-($M$24:$M$27*($I$24:$I$27&gt;I24)))*1E+300))),0)</f>
        <v/>
      </c>
      <c r="P24" s="10">
        <f>IF(E24=1,1,IF(AND(M24=1,N24&lt;=O24),1,0))</f>
        <v/>
      </c>
      <c r="Q24" s="10">
        <f>IF(P24=1,1+SUMPRODUCT($P$24:$P$27*(($I$24:$I$27&lt;I24)+($I$24:$I$27=I24)*($F$24:$F$27&lt;F24))),0)</f>
        <v/>
      </c>
      <c r="R24" s="10">
        <f>IF(Q24&lt;=1,0,SUMPRODUCT(($Q$24:$Q$27=Q24-1)*$I$24:$I$27))</f>
        <v/>
      </c>
      <c r="S24" s="10">
        <f>IF(Q24&lt;=1,0,SUMPRODUCT(($Q$24:$Q$27=Q24-1)*$J$24:$J$27))</f>
        <v/>
      </c>
      <c r="T24" s="21">
        <f>IF(Q24=0,"",(I24-R24)/10^in_out_dp)</f>
        <v/>
      </c>
      <c r="U24" s="26">
        <f>IF(Q24=0,"",(J24-S24)/10^in_cost_dp)</f>
        <v/>
      </c>
      <c r="V24" s="26">
        <f>IF(Q24=0,"",IF(I24=R24,0,U24/T24))</f>
        <v/>
      </c>
      <c r="W24" s="26">
        <f>IF(I24&gt;0,(J24/10^in_cost_dp)/(I24/10^in_out_dp),"n/a")</f>
        <v/>
      </c>
      <c r="X24" s="10">
        <f>IF(Sites!$C$8=C24,1,0)</f>
        <v/>
      </c>
    </row>
    <row r="25">
      <c r="A25" s="10">
        <f>B25&amp;"|"&amp;C25</f>
        <v/>
      </c>
      <c r="B25" s="4" t="inlineStr">
        <is>
          <t>2A</t>
        </is>
      </c>
      <c r="C25" s="4" t="inlineStr">
        <is>
          <t>Alternative1</t>
        </is>
      </c>
      <c r="D25" s="4" t="inlineStr">
        <is>
          <t>Alternative 1</t>
        </is>
      </c>
      <c r="E25" s="4" t="n">
        <v>0</v>
      </c>
      <c r="F25" s="4" t="n">
        <v>2</v>
      </c>
      <c r="G25" s="21">
        <f>Summary!G18</f>
        <v/>
      </c>
      <c r="H25" s="26">
        <f>Summary!M18</f>
        <v/>
      </c>
      <c r="I25" s="6">
        <f>ROUND(G25*10^in_out_dp,0)</f>
        <v/>
      </c>
      <c r="J25" s="6">
        <f>ROUND(H25*10^in_cost_dp,0)</f>
        <v/>
      </c>
      <c r="K25" s="10">
        <f>SUMPRODUCT(($I$24:$I$27=I25)*($J$24:$J$27&lt;J25)+($I$24:$I$27&gt;I25)*($J$24:$J$27&lt;=J25))</f>
        <v/>
      </c>
      <c r="L25" s="10">
        <f>IF(OR(E25=1,K25=0),1,0)</f>
        <v/>
      </c>
      <c r="M25" s="10">
        <f>IF(AND(L25=1,E25=0,I25&gt;0),1,0)</f>
        <v/>
      </c>
      <c r="N25" s="30">
        <f>IF(M25=1,MAX(J25/I25,SUMPRODUCT(MAX(((J25-$J$24:$J$27)*($M$24:$M$27*($I$24:$I$27&lt;I25)))/((I25-$I$24:$I$27)*($M$24:$M$27*($I$24:$I$27&lt;I25))+1-($M$24:$M$27*($I$24:$I$27&lt;I25)))-(1-($M$24:$M$27*($I$24:$I$27&lt;I25)))*1E+300))),0)</f>
        <v/>
      </c>
      <c r="O25" s="30">
        <f>IF(M25=1,SUMPRODUCT(MIN(((($J$24:$J$27-J25)*($M$24:$M$27*($I$24:$I$27&gt;I25)))/(($I$24:$I$27-I25)*($M$24:$M$27*($I$24:$I$27&gt;I25))+1-($M$24:$M$27*($I$24:$I$27&gt;I25)))+(1-($M$24:$M$27*($I$24:$I$27&gt;I25)))*1E+300))),0)</f>
        <v/>
      </c>
      <c r="P25" s="10">
        <f>IF(E25=1,1,IF(AND(M25=1,N25&lt;=O25),1,0))</f>
        <v/>
      </c>
      <c r="Q25" s="10">
        <f>IF(P25=1,1+SUMPRODUCT($P$24:$P$27*(($I$24:$I$27&lt;I25)+($I$24:$I$27=I25)*($F$24:$F$27&lt;F25))),0)</f>
        <v/>
      </c>
      <c r="R25" s="10">
        <f>IF(Q25&lt;=1,0,SUMPRODUCT(($Q$24:$Q$27=Q25-1)*$I$24:$I$27))</f>
        <v/>
      </c>
      <c r="S25" s="10">
        <f>IF(Q25&lt;=1,0,SUMPRODUCT(($Q$24:$Q$27=Q25-1)*$J$24:$J$27))</f>
        <v/>
      </c>
      <c r="T25" s="21">
        <f>IF(Q25=0,"",(I25-R25)/10^in_out_dp)</f>
        <v/>
      </c>
      <c r="U25" s="26">
        <f>IF(Q25=0,"",(J25-S25)/10^in_cost_dp)</f>
        <v/>
      </c>
      <c r="V25" s="26">
        <f>IF(Q25=0,"",IF(I25=R25,0,U25/T25))</f>
        <v/>
      </c>
      <c r="W25" s="26">
        <f>IF(I25&gt;0,(J25/10^in_cost_dp)/(I25/10^in_out_dp),"n/a")</f>
        <v/>
      </c>
      <c r="X25" s="10">
        <f>IF(Sites!$C$8=C25,1,0)</f>
        <v/>
      </c>
    </row>
    <row r="26">
      <c r="A26" s="10">
        <f>B26&amp;"|"&amp;C26</f>
        <v/>
      </c>
      <c r="B26" s="4" t="inlineStr">
        <is>
          <t>2A</t>
        </is>
      </c>
      <c r="C26" s="4" t="inlineStr">
        <is>
          <t>Alternative2</t>
        </is>
      </c>
      <c r="D26" s="4" t="inlineStr">
        <is>
          <t>Alternative 2</t>
        </is>
      </c>
      <c r="E26" s="4" t="n">
        <v>0</v>
      </c>
      <c r="F26" s="4" t="n">
        <v>3</v>
      </c>
      <c r="G26" s="21">
        <f>Summary!G19</f>
        <v/>
      </c>
      <c r="H26" s="26">
        <f>Summary!M19</f>
        <v/>
      </c>
      <c r="I26" s="6">
        <f>ROUND(G26*10^in_out_dp,0)</f>
        <v/>
      </c>
      <c r="J26" s="6">
        <f>ROUND(H26*10^in_cost_dp,0)</f>
        <v/>
      </c>
      <c r="K26" s="10">
        <f>SUMPRODUCT(($I$24:$I$27=I26)*($J$24:$J$27&lt;J26)+($I$24:$I$27&gt;I26)*($J$24:$J$27&lt;=J26))</f>
        <v/>
      </c>
      <c r="L26" s="10">
        <f>IF(OR(E26=1,K26=0),1,0)</f>
        <v/>
      </c>
      <c r="M26" s="10">
        <f>IF(AND(L26=1,E26=0,I26&gt;0),1,0)</f>
        <v/>
      </c>
      <c r="N26" s="30">
        <f>IF(M26=1,MAX(J26/I26,SUMPRODUCT(MAX(((J26-$J$24:$J$27)*($M$24:$M$27*($I$24:$I$27&lt;I26)))/((I26-$I$24:$I$27)*($M$24:$M$27*($I$24:$I$27&lt;I26))+1-($M$24:$M$27*($I$24:$I$27&lt;I26)))-(1-($M$24:$M$27*($I$24:$I$27&lt;I26)))*1E+300))),0)</f>
        <v/>
      </c>
      <c r="O26" s="30">
        <f>IF(M26=1,SUMPRODUCT(MIN(((($J$24:$J$27-J26)*($M$24:$M$27*($I$24:$I$27&gt;I26)))/(($I$24:$I$27-I26)*($M$24:$M$27*($I$24:$I$27&gt;I26))+1-($M$24:$M$27*($I$24:$I$27&gt;I26)))+(1-($M$24:$M$27*($I$24:$I$27&gt;I26)))*1E+300))),0)</f>
        <v/>
      </c>
      <c r="P26" s="10">
        <f>IF(E26=1,1,IF(AND(M26=1,N26&lt;=O26),1,0))</f>
        <v/>
      </c>
      <c r="Q26" s="10">
        <f>IF(P26=1,1+SUMPRODUCT($P$24:$P$27*(($I$24:$I$27&lt;I26)+($I$24:$I$27=I26)*($F$24:$F$27&lt;F26))),0)</f>
        <v/>
      </c>
      <c r="R26" s="10">
        <f>IF(Q26&lt;=1,0,SUMPRODUCT(($Q$24:$Q$27=Q26-1)*$I$24:$I$27))</f>
        <v/>
      </c>
      <c r="S26" s="10">
        <f>IF(Q26&lt;=1,0,SUMPRODUCT(($Q$24:$Q$27=Q26-1)*$J$24:$J$27))</f>
        <v/>
      </c>
      <c r="T26" s="21">
        <f>IF(Q26=0,"",(I26-R26)/10^in_out_dp)</f>
        <v/>
      </c>
      <c r="U26" s="26">
        <f>IF(Q26=0,"",(J26-S26)/10^in_cost_dp)</f>
        <v/>
      </c>
      <c r="V26" s="26">
        <f>IF(Q26=0,"",IF(I26=R26,0,U26/T26))</f>
        <v/>
      </c>
      <c r="W26" s="26">
        <f>IF(I26&gt;0,(J26/10^in_cost_dp)/(I26/10^in_out_dp),"n/a")</f>
        <v/>
      </c>
      <c r="X26" s="10">
        <f>IF(Sites!$C$8=C26,1,0)</f>
        <v/>
      </c>
    </row>
    <row r="27">
      <c r="A27" s="10">
        <f>B27&amp;"|"&amp;C27</f>
        <v/>
      </c>
      <c r="B27" s="4" t="inlineStr">
        <is>
          <t>2A</t>
        </is>
      </c>
      <c r="C27" s="4" t="inlineStr">
        <is>
          <t>Alternative3</t>
        </is>
      </c>
      <c r="D27" s="4" t="inlineStr">
        <is>
          <t>Alternative 3</t>
        </is>
      </c>
      <c r="E27" s="4" t="n">
        <v>0</v>
      </c>
      <c r="F27" s="4" t="n">
        <v>4</v>
      </c>
      <c r="G27" s="21">
        <f>Summary!G20</f>
        <v/>
      </c>
      <c r="H27" s="26">
        <f>Summary!M20</f>
        <v/>
      </c>
      <c r="I27" s="6">
        <f>ROUND(G27*10^in_out_dp,0)</f>
        <v/>
      </c>
      <c r="J27" s="6">
        <f>ROUND(H27*10^in_cost_dp,0)</f>
        <v/>
      </c>
      <c r="K27" s="10">
        <f>SUMPRODUCT(($I$24:$I$27=I27)*($J$24:$J$27&lt;J27)+($I$24:$I$27&gt;I27)*($J$24:$J$27&lt;=J27))</f>
        <v/>
      </c>
      <c r="L27" s="10">
        <f>IF(OR(E27=1,K27=0),1,0)</f>
        <v/>
      </c>
      <c r="M27" s="10">
        <f>IF(AND(L27=1,E27=0,I27&gt;0),1,0)</f>
        <v/>
      </c>
      <c r="N27" s="30">
        <f>IF(M27=1,MAX(J27/I27,SUMPRODUCT(MAX(((J27-$J$24:$J$27)*($M$24:$M$27*($I$24:$I$27&lt;I27)))/((I27-$I$24:$I$27)*($M$24:$M$27*($I$24:$I$27&lt;I27))+1-($M$24:$M$27*($I$24:$I$27&lt;I27)))-(1-($M$24:$M$27*($I$24:$I$27&lt;I27)))*1E+300))),0)</f>
        <v/>
      </c>
      <c r="O27" s="30">
        <f>IF(M27=1,SUMPRODUCT(MIN(((($J$24:$J$27-J27)*($M$24:$M$27*($I$24:$I$27&gt;I27)))/(($I$24:$I$27-I27)*($M$24:$M$27*($I$24:$I$27&gt;I27))+1-($M$24:$M$27*($I$24:$I$27&gt;I27)))+(1-($M$24:$M$27*($I$24:$I$27&gt;I27)))*1E+300))),0)</f>
        <v/>
      </c>
      <c r="P27" s="10">
        <f>IF(E27=1,1,IF(AND(M27=1,N27&lt;=O27),1,0))</f>
        <v/>
      </c>
      <c r="Q27" s="10">
        <f>IF(P27=1,1+SUMPRODUCT($P$24:$P$27*(($I$24:$I$27&lt;I27)+($I$24:$I$27=I27)*($F$24:$F$27&lt;F27))),0)</f>
        <v/>
      </c>
      <c r="R27" s="10">
        <f>IF(Q27&lt;=1,0,SUMPRODUCT(($Q$24:$Q$27=Q27-1)*$I$24:$I$27))</f>
        <v/>
      </c>
      <c r="S27" s="10">
        <f>IF(Q27&lt;=1,0,SUMPRODUCT(($Q$24:$Q$27=Q27-1)*$J$24:$J$27))</f>
        <v/>
      </c>
      <c r="T27" s="21">
        <f>IF(Q27=0,"",(I27-R27)/10^in_out_dp)</f>
        <v/>
      </c>
      <c r="U27" s="26">
        <f>IF(Q27=0,"",(J27-S27)/10^in_cost_dp)</f>
        <v/>
      </c>
      <c r="V27" s="26">
        <f>IF(Q27=0,"",IF(I27=R27,0,U27/T27))</f>
        <v/>
      </c>
      <c r="W27" s="26">
        <f>IF(I27&gt;0,(J27/10^in_cost_dp)/(I27/10^in_out_dp),"n/a")</f>
        <v/>
      </c>
      <c r="X27" s="10">
        <f>IF(Sites!$C$8=C27,1,0)</f>
        <v/>
      </c>
    </row>
    <row r="29">
      <c r="B29" s="7" t="inlineStr">
        <is>
          <t>2B  North Utoy powerline reach</t>
        </is>
      </c>
    </row>
    <row r="30">
      <c r="A30" s="10">
        <f>B30&amp;"|"&amp;C30</f>
        <v/>
      </c>
      <c r="B30" s="4" t="inlineStr">
        <is>
          <t>2B</t>
        </is>
      </c>
      <c r="C30" s="4" t="inlineStr">
        <is>
          <t>FWOP</t>
        </is>
      </c>
      <c r="D30" s="4" t="inlineStr">
        <is>
          <t>No Action</t>
        </is>
      </c>
      <c r="E30" s="4" t="n">
        <v>1</v>
      </c>
      <c r="F30" s="4" t="n">
        <v>1</v>
      </c>
      <c r="G30" s="21">
        <f>Summary!G21</f>
        <v/>
      </c>
      <c r="H30" s="26">
        <f>Summary!M21</f>
        <v/>
      </c>
      <c r="I30" s="6">
        <f>ROUND(G30*10^in_out_dp,0)</f>
        <v/>
      </c>
      <c r="J30" s="6">
        <f>ROUND(H30*10^in_cost_dp,0)</f>
        <v/>
      </c>
      <c r="K30" s="10">
        <f>SUMPRODUCT(($I$30:$I$33=I30)*($J$30:$J$33&lt;J30)+($I$30:$I$33&gt;I30)*($J$30:$J$33&lt;=J30))</f>
        <v/>
      </c>
      <c r="L30" s="10">
        <f>IF(OR(E30=1,K30=0),1,0)</f>
        <v/>
      </c>
      <c r="M30" s="10">
        <f>IF(AND(L30=1,E30=0,I30&gt;0),1,0)</f>
        <v/>
      </c>
      <c r="N30" s="30">
        <f>IF(M30=1,MAX(J30/I30,SUMPRODUCT(MAX(((J30-$J$30:$J$33)*($M$30:$M$33*($I$30:$I$33&lt;I30)))/((I30-$I$30:$I$33)*($M$30:$M$33*($I$30:$I$33&lt;I30))+1-($M$30:$M$33*($I$30:$I$33&lt;I30)))-(1-($M$30:$M$33*($I$30:$I$33&lt;I30)))*1E+300))),0)</f>
        <v/>
      </c>
      <c r="O30" s="30">
        <f>IF(M30=1,SUMPRODUCT(MIN(((($J$30:$J$33-J30)*($M$30:$M$33*($I$30:$I$33&gt;I30)))/(($I$30:$I$33-I30)*($M$30:$M$33*($I$30:$I$33&gt;I30))+1-($M$30:$M$33*($I$30:$I$33&gt;I30)))+(1-($M$30:$M$33*($I$30:$I$33&gt;I30)))*1E+300))),0)</f>
        <v/>
      </c>
      <c r="P30" s="10">
        <f>IF(E30=1,1,IF(AND(M30=1,N30&lt;=O30),1,0))</f>
        <v/>
      </c>
      <c r="Q30" s="10">
        <f>IF(P30=1,1+SUMPRODUCT($P$30:$P$33*(($I$30:$I$33&lt;I30)+($I$30:$I$33=I30)*($F$30:$F$33&lt;F30))),0)</f>
        <v/>
      </c>
      <c r="R30" s="10">
        <f>IF(Q30&lt;=1,0,SUMPRODUCT(($Q$30:$Q$33=Q30-1)*$I$30:$I$33))</f>
        <v/>
      </c>
      <c r="S30" s="10">
        <f>IF(Q30&lt;=1,0,SUMPRODUCT(($Q$30:$Q$33=Q30-1)*$J$30:$J$33))</f>
        <v/>
      </c>
      <c r="T30" s="21">
        <f>IF(Q30=0,"",(I30-R30)/10^in_out_dp)</f>
        <v/>
      </c>
      <c r="U30" s="26">
        <f>IF(Q30=0,"",(J30-S30)/10^in_cost_dp)</f>
        <v/>
      </c>
      <c r="V30" s="26">
        <f>IF(Q30=0,"",IF(I30=R30,0,U30/T30))</f>
        <v/>
      </c>
      <c r="W30" s="26">
        <f>IF(I30&gt;0,(J30/10^in_cost_dp)/(I30/10^in_out_dp),"n/a")</f>
        <v/>
      </c>
      <c r="X30" s="10">
        <f>IF(Sites!$C$9=C30,1,0)</f>
        <v/>
      </c>
    </row>
    <row r="31">
      <c r="A31" s="10">
        <f>B31&amp;"|"&amp;C31</f>
        <v/>
      </c>
      <c r="B31" s="4" t="inlineStr">
        <is>
          <t>2B</t>
        </is>
      </c>
      <c r="C31" s="4" t="inlineStr">
        <is>
          <t>Alternative1</t>
        </is>
      </c>
      <c r="D31" s="4" t="inlineStr">
        <is>
          <t>Alternative 1</t>
        </is>
      </c>
      <c r="E31" s="4" t="n">
        <v>0</v>
      </c>
      <c r="F31" s="4" t="n">
        <v>2</v>
      </c>
      <c r="G31" s="21">
        <f>Summary!G22</f>
        <v/>
      </c>
      <c r="H31" s="26">
        <f>Summary!M22</f>
        <v/>
      </c>
      <c r="I31" s="6">
        <f>ROUND(G31*10^in_out_dp,0)</f>
        <v/>
      </c>
      <c r="J31" s="6">
        <f>ROUND(H31*10^in_cost_dp,0)</f>
        <v/>
      </c>
      <c r="K31" s="10">
        <f>SUMPRODUCT(($I$30:$I$33=I31)*($J$30:$J$33&lt;J31)+($I$30:$I$33&gt;I31)*($J$30:$J$33&lt;=J31))</f>
        <v/>
      </c>
      <c r="L31" s="10">
        <f>IF(OR(E31=1,K31=0),1,0)</f>
        <v/>
      </c>
      <c r="M31" s="10">
        <f>IF(AND(L31=1,E31=0,I31&gt;0),1,0)</f>
        <v/>
      </c>
      <c r="N31" s="30">
        <f>IF(M31=1,MAX(J31/I31,SUMPRODUCT(MAX(((J31-$J$30:$J$33)*($M$30:$M$33*($I$30:$I$33&lt;I31)))/((I31-$I$30:$I$33)*($M$30:$M$33*($I$30:$I$33&lt;I31))+1-($M$30:$M$33*($I$30:$I$33&lt;I31)))-(1-($M$30:$M$33*($I$30:$I$33&lt;I31)))*1E+300))),0)</f>
        <v/>
      </c>
      <c r="O31" s="30">
        <f>IF(M31=1,SUMPRODUCT(MIN(((($J$30:$J$33-J31)*($M$30:$M$33*($I$30:$I$33&gt;I31)))/(($I$30:$I$33-I31)*($M$30:$M$33*($I$30:$I$33&gt;I31))+1-($M$30:$M$33*($I$30:$I$33&gt;I31)))+(1-($M$30:$M$33*($I$30:$I$33&gt;I31)))*1E+300))),0)</f>
        <v/>
      </c>
      <c r="P31" s="10">
        <f>IF(E31=1,1,IF(AND(M31=1,N31&lt;=O31),1,0))</f>
        <v/>
      </c>
      <c r="Q31" s="10">
        <f>IF(P31=1,1+SUMPRODUCT($P$30:$P$33*(($I$30:$I$33&lt;I31)+($I$30:$I$33=I31)*($F$30:$F$33&lt;F31))),0)</f>
        <v/>
      </c>
      <c r="R31" s="10">
        <f>IF(Q31&lt;=1,0,SUMPRODUCT(($Q$30:$Q$33=Q31-1)*$I$30:$I$33))</f>
        <v/>
      </c>
      <c r="S31" s="10">
        <f>IF(Q31&lt;=1,0,SUMPRODUCT(($Q$30:$Q$33=Q31-1)*$J$30:$J$33))</f>
        <v/>
      </c>
      <c r="T31" s="21">
        <f>IF(Q31=0,"",(I31-R31)/10^in_out_dp)</f>
        <v/>
      </c>
      <c r="U31" s="26">
        <f>IF(Q31=0,"",(J31-S31)/10^in_cost_dp)</f>
        <v/>
      </c>
      <c r="V31" s="26">
        <f>IF(Q31=0,"",IF(I31=R31,0,U31/T31))</f>
        <v/>
      </c>
      <c r="W31" s="26">
        <f>IF(I31&gt;0,(J31/10^in_cost_dp)/(I31/10^in_out_dp),"n/a")</f>
        <v/>
      </c>
      <c r="X31" s="10">
        <f>IF(Sites!$C$9=C31,1,0)</f>
        <v/>
      </c>
    </row>
    <row r="32">
      <c r="A32" s="10">
        <f>B32&amp;"|"&amp;C32</f>
        <v/>
      </c>
      <c r="B32" s="4" t="inlineStr">
        <is>
          <t>2B</t>
        </is>
      </c>
      <c r="C32" s="4" t="inlineStr">
        <is>
          <t>Alternative2</t>
        </is>
      </c>
      <c r="D32" s="4" t="inlineStr">
        <is>
          <t>Alternative 2</t>
        </is>
      </c>
      <c r="E32" s="4" t="n">
        <v>0</v>
      </c>
      <c r="F32" s="4" t="n">
        <v>3</v>
      </c>
      <c r="G32" s="21">
        <f>Summary!G23</f>
        <v/>
      </c>
      <c r="H32" s="26">
        <f>Summary!M23</f>
        <v/>
      </c>
      <c r="I32" s="6">
        <f>ROUND(G32*10^in_out_dp,0)</f>
        <v/>
      </c>
      <c r="J32" s="6">
        <f>ROUND(H32*10^in_cost_dp,0)</f>
        <v/>
      </c>
      <c r="K32" s="10">
        <f>SUMPRODUCT(($I$30:$I$33=I32)*($J$30:$J$33&lt;J32)+($I$30:$I$33&gt;I32)*($J$30:$J$33&lt;=J32))</f>
        <v/>
      </c>
      <c r="L32" s="10">
        <f>IF(OR(E32=1,K32=0),1,0)</f>
        <v/>
      </c>
      <c r="M32" s="10">
        <f>IF(AND(L32=1,E32=0,I32&gt;0),1,0)</f>
        <v/>
      </c>
      <c r="N32" s="30">
        <f>IF(M32=1,MAX(J32/I32,SUMPRODUCT(MAX(((J32-$J$30:$J$33)*($M$30:$M$33*($I$30:$I$33&lt;I32)))/((I32-$I$30:$I$33)*($M$30:$M$33*($I$30:$I$33&lt;I32))+1-($M$30:$M$33*($I$30:$I$33&lt;I32)))-(1-($M$30:$M$33*($I$30:$I$33&lt;I32)))*1E+300))),0)</f>
        <v/>
      </c>
      <c r="O32" s="30">
        <f>IF(M32=1,SUMPRODUCT(MIN(((($J$30:$J$33-J32)*($M$30:$M$33*($I$30:$I$33&gt;I32)))/(($I$30:$I$33-I32)*($M$30:$M$33*($I$30:$I$33&gt;I32))+1-($M$30:$M$33*($I$30:$I$33&gt;I32)))+(1-($M$30:$M$33*($I$30:$I$33&gt;I32)))*1E+300))),0)</f>
        <v/>
      </c>
      <c r="P32" s="10">
        <f>IF(E32=1,1,IF(AND(M32=1,N32&lt;=O32),1,0))</f>
        <v/>
      </c>
      <c r="Q32" s="10">
        <f>IF(P32=1,1+SUMPRODUCT($P$30:$P$33*(($I$30:$I$33&lt;I32)+($I$30:$I$33=I32)*($F$30:$F$33&lt;F32))),0)</f>
        <v/>
      </c>
      <c r="R32" s="10">
        <f>IF(Q32&lt;=1,0,SUMPRODUCT(($Q$30:$Q$33=Q32-1)*$I$30:$I$33))</f>
        <v/>
      </c>
      <c r="S32" s="10">
        <f>IF(Q32&lt;=1,0,SUMPRODUCT(($Q$30:$Q$33=Q32-1)*$J$30:$J$33))</f>
        <v/>
      </c>
      <c r="T32" s="21">
        <f>IF(Q32=0,"",(I32-R32)/10^in_out_dp)</f>
        <v/>
      </c>
      <c r="U32" s="26">
        <f>IF(Q32=0,"",(J32-S32)/10^in_cost_dp)</f>
        <v/>
      </c>
      <c r="V32" s="26">
        <f>IF(Q32=0,"",IF(I32=R32,0,U32/T32))</f>
        <v/>
      </c>
      <c r="W32" s="26">
        <f>IF(I32&gt;0,(J32/10^in_cost_dp)/(I32/10^in_out_dp),"n/a")</f>
        <v/>
      </c>
      <c r="X32" s="10">
        <f>IF(Sites!$C$9=C32,1,0)</f>
        <v/>
      </c>
    </row>
    <row r="33">
      <c r="A33" s="10">
        <f>B33&amp;"|"&amp;C33</f>
        <v/>
      </c>
      <c r="B33" s="4" t="inlineStr">
        <is>
          <t>2B</t>
        </is>
      </c>
      <c r="C33" s="4" t="inlineStr">
        <is>
          <t>Alternative3</t>
        </is>
      </c>
      <c r="D33" s="4" t="inlineStr">
        <is>
          <t>Alternative 3</t>
        </is>
      </c>
      <c r="E33" s="4" t="n">
        <v>0</v>
      </c>
      <c r="F33" s="4" t="n">
        <v>4</v>
      </c>
      <c r="G33" s="21">
        <f>Summary!G24</f>
        <v/>
      </c>
      <c r="H33" s="26">
        <f>Summary!M24</f>
        <v/>
      </c>
      <c r="I33" s="6">
        <f>ROUND(G33*10^in_out_dp,0)</f>
        <v/>
      </c>
      <c r="J33" s="6">
        <f>ROUND(H33*10^in_cost_dp,0)</f>
        <v/>
      </c>
      <c r="K33" s="10">
        <f>SUMPRODUCT(($I$30:$I$33=I33)*($J$30:$J$33&lt;J33)+($I$30:$I$33&gt;I33)*($J$30:$J$33&lt;=J33))</f>
        <v/>
      </c>
      <c r="L33" s="10">
        <f>IF(OR(E33=1,K33=0),1,0)</f>
        <v/>
      </c>
      <c r="M33" s="10">
        <f>IF(AND(L33=1,E33=0,I33&gt;0),1,0)</f>
        <v/>
      </c>
      <c r="N33" s="30">
        <f>IF(M33=1,MAX(J33/I33,SUMPRODUCT(MAX(((J33-$J$30:$J$33)*($M$30:$M$33*($I$30:$I$33&lt;I33)))/((I33-$I$30:$I$33)*($M$30:$M$33*($I$30:$I$33&lt;I33))+1-($M$30:$M$33*($I$30:$I$33&lt;I33)))-(1-($M$30:$M$33*($I$30:$I$33&lt;I33)))*1E+300))),0)</f>
        <v/>
      </c>
      <c r="O33" s="30">
        <f>IF(M33=1,SUMPRODUCT(MIN(((($J$30:$J$33-J33)*($M$30:$M$33*($I$30:$I$33&gt;I33)))/(($I$30:$I$33-I33)*($M$30:$M$33*($I$30:$I$33&gt;I33))+1-($M$30:$M$33*($I$30:$I$33&gt;I33)))+(1-($M$30:$M$33*($I$30:$I$33&gt;I33)))*1E+300))),0)</f>
        <v/>
      </c>
      <c r="P33" s="10">
        <f>IF(E33=1,1,IF(AND(M33=1,N33&lt;=O33),1,0))</f>
        <v/>
      </c>
      <c r="Q33" s="10">
        <f>IF(P33=1,1+SUMPRODUCT($P$30:$P$33*(($I$30:$I$33&lt;I33)+($I$30:$I$33=I33)*($F$30:$F$33&lt;F33))),0)</f>
        <v/>
      </c>
      <c r="R33" s="10">
        <f>IF(Q33&lt;=1,0,SUMPRODUCT(($Q$30:$Q$33=Q33-1)*$I$30:$I$33))</f>
        <v/>
      </c>
      <c r="S33" s="10">
        <f>IF(Q33&lt;=1,0,SUMPRODUCT(($Q$30:$Q$33=Q33-1)*$J$30:$J$33))</f>
        <v/>
      </c>
      <c r="T33" s="21">
        <f>IF(Q33=0,"",(I33-R33)/10^in_out_dp)</f>
        <v/>
      </c>
      <c r="U33" s="26">
        <f>IF(Q33=0,"",(J33-S33)/10^in_cost_dp)</f>
        <v/>
      </c>
      <c r="V33" s="26">
        <f>IF(Q33=0,"",IF(I33=R33,0,U33/T33))</f>
        <v/>
      </c>
      <c r="W33" s="26">
        <f>IF(I33&gt;0,(J33/10^in_cost_dp)/(I33/10^in_out_dp),"n/a")</f>
        <v/>
      </c>
      <c r="X33" s="10">
        <f>IF(Sites!$C$9=C33,1,0)</f>
        <v/>
      </c>
    </row>
    <row r="35">
      <c r="B35" s="7" t="inlineStr">
        <is>
          <t>3E  Cascade Springs road crossings</t>
        </is>
      </c>
    </row>
    <row r="36">
      <c r="A36" s="10">
        <f>B36&amp;"|"&amp;C36</f>
        <v/>
      </c>
      <c r="B36" s="4" t="inlineStr">
        <is>
          <t>3E</t>
        </is>
      </c>
      <c r="C36" s="4" t="inlineStr">
        <is>
          <t>FWOP</t>
        </is>
      </c>
      <c r="D36" s="4" t="inlineStr">
        <is>
          <t>No Action</t>
        </is>
      </c>
      <c r="E36" s="4" t="n">
        <v>1</v>
      </c>
      <c r="F36" s="4" t="n">
        <v>1</v>
      </c>
      <c r="G36" s="21">
        <f>Summary!G25</f>
        <v/>
      </c>
      <c r="H36" s="26">
        <f>Summary!M25</f>
        <v/>
      </c>
      <c r="I36" s="6">
        <f>ROUND(G36*10^in_out_dp,0)</f>
        <v/>
      </c>
      <c r="J36" s="6">
        <f>ROUND(H36*10^in_cost_dp,0)</f>
        <v/>
      </c>
      <c r="K36" s="10">
        <f>SUMPRODUCT(($I$36:$I$39=I36)*($J$36:$J$39&lt;J36)+($I$36:$I$39&gt;I36)*($J$36:$J$39&lt;=J36))</f>
        <v/>
      </c>
      <c r="L36" s="10">
        <f>IF(OR(E36=1,K36=0),1,0)</f>
        <v/>
      </c>
      <c r="M36" s="10">
        <f>IF(AND(L36=1,E36=0,I36&gt;0),1,0)</f>
        <v/>
      </c>
      <c r="N36" s="30">
        <f>IF(M36=1,MAX(J36/I36,SUMPRODUCT(MAX(((J36-$J$36:$J$39)*($M$36:$M$39*($I$36:$I$39&lt;I36)))/((I36-$I$36:$I$39)*($M$36:$M$39*($I$36:$I$39&lt;I36))+1-($M$36:$M$39*($I$36:$I$39&lt;I36)))-(1-($M$36:$M$39*($I$36:$I$39&lt;I36)))*1E+300))),0)</f>
        <v/>
      </c>
      <c r="O36" s="30">
        <f>IF(M36=1,SUMPRODUCT(MIN(((($J$36:$J$39-J36)*($M$36:$M$39*($I$36:$I$39&gt;I36)))/(($I$36:$I$39-I36)*($M$36:$M$39*($I$36:$I$39&gt;I36))+1-($M$36:$M$39*($I$36:$I$39&gt;I36)))+(1-($M$36:$M$39*($I$36:$I$39&gt;I36)))*1E+300))),0)</f>
        <v/>
      </c>
      <c r="P36" s="10">
        <f>IF(E36=1,1,IF(AND(M36=1,N36&lt;=O36),1,0))</f>
        <v/>
      </c>
      <c r="Q36" s="10">
        <f>IF(P36=1,1+SUMPRODUCT($P$36:$P$39*(($I$36:$I$39&lt;I36)+($I$36:$I$39=I36)*($F$36:$F$39&lt;F36))),0)</f>
        <v/>
      </c>
      <c r="R36" s="10">
        <f>IF(Q36&lt;=1,0,SUMPRODUCT(($Q$36:$Q$39=Q36-1)*$I$36:$I$39))</f>
        <v/>
      </c>
      <c r="S36" s="10">
        <f>IF(Q36&lt;=1,0,SUMPRODUCT(($Q$36:$Q$39=Q36-1)*$J$36:$J$39))</f>
        <v/>
      </c>
      <c r="T36" s="21">
        <f>IF(Q36=0,"",(I36-R36)/10^in_out_dp)</f>
        <v/>
      </c>
      <c r="U36" s="26">
        <f>IF(Q36=0,"",(J36-S36)/10^in_cost_dp)</f>
        <v/>
      </c>
      <c r="V36" s="26">
        <f>IF(Q36=0,"",IF(I36=R36,0,U36/T36))</f>
        <v/>
      </c>
      <c r="W36" s="26">
        <f>IF(I36&gt;0,(J36/10^in_cost_dp)/(I36/10^in_out_dp),"n/a")</f>
        <v/>
      </c>
      <c r="X36" s="10">
        <f>IF(Sites!$C$10=C36,1,0)</f>
        <v/>
      </c>
    </row>
    <row r="37">
      <c r="A37" s="10">
        <f>B37&amp;"|"&amp;C37</f>
        <v/>
      </c>
      <c r="B37" s="4" t="inlineStr">
        <is>
          <t>3E</t>
        </is>
      </c>
      <c r="C37" s="4" t="inlineStr">
        <is>
          <t>Alternative1</t>
        </is>
      </c>
      <c r="D37" s="4" t="inlineStr">
        <is>
          <t>Alternative 1</t>
        </is>
      </c>
      <c r="E37" s="4" t="n">
        <v>0</v>
      </c>
      <c r="F37" s="4" t="n">
        <v>2</v>
      </c>
      <c r="G37" s="21">
        <f>Summary!G26</f>
        <v/>
      </c>
      <c r="H37" s="26">
        <f>Summary!M26</f>
        <v/>
      </c>
      <c r="I37" s="6">
        <f>ROUND(G37*10^in_out_dp,0)</f>
        <v/>
      </c>
      <c r="J37" s="6">
        <f>ROUND(H37*10^in_cost_dp,0)</f>
        <v/>
      </c>
      <c r="K37" s="10">
        <f>SUMPRODUCT(($I$36:$I$39=I37)*($J$36:$J$39&lt;J37)+($I$36:$I$39&gt;I37)*($J$36:$J$39&lt;=J37))</f>
        <v/>
      </c>
      <c r="L37" s="10">
        <f>IF(OR(E37=1,K37=0),1,0)</f>
        <v/>
      </c>
      <c r="M37" s="10">
        <f>IF(AND(L37=1,E37=0,I37&gt;0),1,0)</f>
        <v/>
      </c>
      <c r="N37" s="30">
        <f>IF(M37=1,MAX(J37/I37,SUMPRODUCT(MAX(((J37-$J$36:$J$39)*($M$36:$M$39*($I$36:$I$39&lt;I37)))/((I37-$I$36:$I$39)*($M$36:$M$39*($I$36:$I$39&lt;I37))+1-($M$36:$M$39*($I$36:$I$39&lt;I37)))-(1-($M$36:$M$39*($I$36:$I$39&lt;I37)))*1E+300))),0)</f>
        <v/>
      </c>
      <c r="O37" s="30">
        <f>IF(M37=1,SUMPRODUCT(MIN(((($J$36:$J$39-J37)*($M$36:$M$39*($I$36:$I$39&gt;I37)))/(($I$36:$I$39-I37)*($M$36:$M$39*($I$36:$I$39&gt;I37))+1-($M$36:$M$39*($I$36:$I$39&gt;I37)))+(1-($M$36:$M$39*($I$36:$I$39&gt;I37)))*1E+300))),0)</f>
        <v/>
      </c>
      <c r="P37" s="10">
        <f>IF(E37=1,1,IF(AND(M37=1,N37&lt;=O37),1,0))</f>
        <v/>
      </c>
      <c r="Q37" s="10">
        <f>IF(P37=1,1+SUMPRODUCT($P$36:$P$39*(($I$36:$I$39&lt;I37)+($I$36:$I$39=I37)*($F$36:$F$39&lt;F37))),0)</f>
        <v/>
      </c>
      <c r="R37" s="10">
        <f>IF(Q37&lt;=1,0,SUMPRODUCT(($Q$36:$Q$39=Q37-1)*$I$36:$I$39))</f>
        <v/>
      </c>
      <c r="S37" s="10">
        <f>IF(Q37&lt;=1,0,SUMPRODUCT(($Q$36:$Q$39=Q37-1)*$J$36:$J$39))</f>
        <v/>
      </c>
      <c r="T37" s="21">
        <f>IF(Q37=0,"",(I37-R37)/10^in_out_dp)</f>
        <v/>
      </c>
      <c r="U37" s="26">
        <f>IF(Q37=0,"",(J37-S37)/10^in_cost_dp)</f>
        <v/>
      </c>
      <c r="V37" s="26">
        <f>IF(Q37=0,"",IF(I37=R37,0,U37/T37))</f>
        <v/>
      </c>
      <c r="W37" s="26">
        <f>IF(I37&gt;0,(J37/10^in_cost_dp)/(I37/10^in_out_dp),"n/a")</f>
        <v/>
      </c>
      <c r="X37" s="10">
        <f>IF(Sites!$C$10=C37,1,0)</f>
        <v/>
      </c>
    </row>
    <row r="38">
      <c r="A38" s="10">
        <f>B38&amp;"|"&amp;C38</f>
        <v/>
      </c>
      <c r="B38" s="4" t="inlineStr">
        <is>
          <t>3E</t>
        </is>
      </c>
      <c r="C38" s="4" t="inlineStr">
        <is>
          <t>Alternative2</t>
        </is>
      </c>
      <c r="D38" s="4" t="inlineStr">
        <is>
          <t>Alternative 2</t>
        </is>
      </c>
      <c r="E38" s="4" t="n">
        <v>0</v>
      </c>
      <c r="F38" s="4" t="n">
        <v>3</v>
      </c>
      <c r="G38" s="21">
        <f>Summary!G27</f>
        <v/>
      </c>
      <c r="H38" s="26">
        <f>Summary!M27</f>
        <v/>
      </c>
      <c r="I38" s="6">
        <f>ROUND(G38*10^in_out_dp,0)</f>
        <v/>
      </c>
      <c r="J38" s="6">
        <f>ROUND(H38*10^in_cost_dp,0)</f>
        <v/>
      </c>
      <c r="K38" s="10">
        <f>SUMPRODUCT(($I$36:$I$39=I38)*($J$36:$J$39&lt;J38)+($I$36:$I$39&gt;I38)*($J$36:$J$39&lt;=J38))</f>
        <v/>
      </c>
      <c r="L38" s="10">
        <f>IF(OR(E38=1,K38=0),1,0)</f>
        <v/>
      </c>
      <c r="M38" s="10">
        <f>IF(AND(L38=1,E38=0,I38&gt;0),1,0)</f>
        <v/>
      </c>
      <c r="N38" s="30">
        <f>IF(M38=1,MAX(J38/I38,SUMPRODUCT(MAX(((J38-$J$36:$J$39)*($M$36:$M$39*($I$36:$I$39&lt;I38)))/((I38-$I$36:$I$39)*($M$36:$M$39*($I$36:$I$39&lt;I38))+1-($M$36:$M$39*($I$36:$I$39&lt;I38)))-(1-($M$36:$M$39*($I$36:$I$39&lt;I38)))*1E+300))),0)</f>
        <v/>
      </c>
      <c r="O38" s="30">
        <f>IF(M38=1,SUMPRODUCT(MIN(((($J$36:$J$39-J38)*($M$36:$M$39*($I$36:$I$39&gt;I38)))/(($I$36:$I$39-I38)*($M$36:$M$39*($I$36:$I$39&gt;I38))+1-($M$36:$M$39*($I$36:$I$39&gt;I38)))+(1-($M$36:$M$39*($I$36:$I$39&gt;I38)))*1E+300))),0)</f>
        <v/>
      </c>
      <c r="P38" s="10">
        <f>IF(E38=1,1,IF(AND(M38=1,N38&lt;=O38),1,0))</f>
        <v/>
      </c>
      <c r="Q38" s="10">
        <f>IF(P38=1,1+SUMPRODUCT($P$36:$P$39*(($I$36:$I$39&lt;I38)+($I$36:$I$39=I38)*($F$36:$F$39&lt;F38))),0)</f>
        <v/>
      </c>
      <c r="R38" s="10">
        <f>IF(Q38&lt;=1,0,SUMPRODUCT(($Q$36:$Q$39=Q38-1)*$I$36:$I$39))</f>
        <v/>
      </c>
      <c r="S38" s="10">
        <f>IF(Q38&lt;=1,0,SUMPRODUCT(($Q$36:$Q$39=Q38-1)*$J$36:$J$39))</f>
        <v/>
      </c>
      <c r="T38" s="21">
        <f>IF(Q38=0,"",(I38-R38)/10^in_out_dp)</f>
        <v/>
      </c>
      <c r="U38" s="26">
        <f>IF(Q38=0,"",(J38-S38)/10^in_cost_dp)</f>
        <v/>
      </c>
      <c r="V38" s="26">
        <f>IF(Q38=0,"",IF(I38=R38,0,U38/T38))</f>
        <v/>
      </c>
      <c r="W38" s="26">
        <f>IF(I38&gt;0,(J38/10^in_cost_dp)/(I38/10^in_out_dp),"n/a")</f>
        <v/>
      </c>
      <c r="X38" s="10">
        <f>IF(Sites!$C$10=C38,1,0)</f>
        <v/>
      </c>
    </row>
    <row r="39">
      <c r="A39" s="10">
        <f>B39&amp;"|"&amp;C39</f>
        <v/>
      </c>
      <c r="B39" s="4" t="inlineStr">
        <is>
          <t>3E</t>
        </is>
      </c>
      <c r="C39" s="4" t="inlineStr">
        <is>
          <t>Alternative3</t>
        </is>
      </c>
      <c r="D39" s="4" t="inlineStr">
        <is>
          <t>Alternative 3</t>
        </is>
      </c>
      <c r="E39" s="4" t="n">
        <v>0</v>
      </c>
      <c r="F39" s="4" t="n">
        <v>4</v>
      </c>
      <c r="G39" s="21">
        <f>Summary!G28</f>
        <v/>
      </c>
      <c r="H39" s="26">
        <f>Summary!M28</f>
        <v/>
      </c>
      <c r="I39" s="6">
        <f>ROUND(G39*10^in_out_dp,0)</f>
        <v/>
      </c>
      <c r="J39" s="6">
        <f>ROUND(H39*10^in_cost_dp,0)</f>
        <v/>
      </c>
      <c r="K39" s="10">
        <f>SUMPRODUCT(($I$36:$I$39=I39)*($J$36:$J$39&lt;J39)+($I$36:$I$39&gt;I39)*($J$36:$J$39&lt;=J39))</f>
        <v/>
      </c>
      <c r="L39" s="10">
        <f>IF(OR(E39=1,K39=0),1,0)</f>
        <v/>
      </c>
      <c r="M39" s="10">
        <f>IF(AND(L39=1,E39=0,I39&gt;0),1,0)</f>
        <v/>
      </c>
      <c r="N39" s="30">
        <f>IF(M39=1,MAX(J39/I39,SUMPRODUCT(MAX(((J39-$J$36:$J$39)*($M$36:$M$39*($I$36:$I$39&lt;I39)))/((I39-$I$36:$I$39)*($M$36:$M$39*($I$36:$I$39&lt;I39))+1-($M$36:$M$39*($I$36:$I$39&lt;I39)))-(1-($M$36:$M$39*($I$36:$I$39&lt;I39)))*1E+300))),0)</f>
        <v/>
      </c>
      <c r="O39" s="30">
        <f>IF(M39=1,SUMPRODUCT(MIN(((($J$36:$J$39-J39)*($M$36:$M$39*($I$36:$I$39&gt;I39)))/(($I$36:$I$39-I39)*($M$36:$M$39*($I$36:$I$39&gt;I39))+1-($M$36:$M$39*($I$36:$I$39&gt;I39)))+(1-($M$36:$M$39*($I$36:$I$39&gt;I39)))*1E+300))),0)</f>
        <v/>
      </c>
      <c r="P39" s="10">
        <f>IF(E39=1,1,IF(AND(M39=1,N39&lt;=O39),1,0))</f>
        <v/>
      </c>
      <c r="Q39" s="10">
        <f>IF(P39=1,1+SUMPRODUCT($P$36:$P$39*(($I$36:$I$39&lt;I39)+($I$36:$I$39=I39)*($F$36:$F$39&lt;F39))),0)</f>
        <v/>
      </c>
      <c r="R39" s="10">
        <f>IF(Q39&lt;=1,0,SUMPRODUCT(($Q$36:$Q$39=Q39-1)*$I$36:$I$39))</f>
        <v/>
      </c>
      <c r="S39" s="10">
        <f>IF(Q39&lt;=1,0,SUMPRODUCT(($Q$36:$Q$39=Q39-1)*$J$36:$J$39))</f>
        <v/>
      </c>
      <c r="T39" s="21">
        <f>IF(Q39=0,"",(I39-R39)/10^in_out_dp)</f>
        <v/>
      </c>
      <c r="U39" s="26">
        <f>IF(Q39=0,"",(J39-S39)/10^in_cost_dp)</f>
        <v/>
      </c>
      <c r="V39" s="26">
        <f>IF(Q39=0,"",IF(I39=R39,0,U39/T39))</f>
        <v/>
      </c>
      <c r="W39" s="26">
        <f>IF(I39&gt;0,(J39/10^in_cost_dp)/(I39/10^in_out_dp),"n/a")</f>
        <v/>
      </c>
      <c r="X39" s="10">
        <f>IF(Sites!$C$10=C39,1,0)</f>
        <v/>
      </c>
    </row>
    <row r="41">
      <c r="B41" s="7" t="inlineStr">
        <is>
          <t>3F  Dodson Drive to Harbin Road</t>
        </is>
      </c>
    </row>
    <row r="42">
      <c r="A42" s="10">
        <f>B42&amp;"|"&amp;C42</f>
        <v/>
      </c>
      <c r="B42" s="4" t="inlineStr">
        <is>
          <t>3F</t>
        </is>
      </c>
      <c r="C42" s="4" t="inlineStr">
        <is>
          <t>FWOP</t>
        </is>
      </c>
      <c r="D42" s="4" t="inlineStr">
        <is>
          <t>No Action</t>
        </is>
      </c>
      <c r="E42" s="4" t="n">
        <v>1</v>
      </c>
      <c r="F42" s="4" t="n">
        <v>1</v>
      </c>
      <c r="G42" s="21">
        <f>Summary!G29</f>
        <v/>
      </c>
      <c r="H42" s="26">
        <f>Summary!M29</f>
        <v/>
      </c>
      <c r="I42" s="6">
        <f>ROUND(G42*10^in_out_dp,0)</f>
        <v/>
      </c>
      <c r="J42" s="6">
        <f>ROUND(H42*10^in_cost_dp,0)</f>
        <v/>
      </c>
      <c r="K42" s="10">
        <f>SUMPRODUCT(($I$42:$I$45=I42)*($J$42:$J$45&lt;J42)+($I$42:$I$45&gt;I42)*($J$42:$J$45&lt;=J42))</f>
        <v/>
      </c>
      <c r="L42" s="10">
        <f>IF(OR(E42=1,K42=0),1,0)</f>
        <v/>
      </c>
      <c r="M42" s="10">
        <f>IF(AND(L42=1,E42=0,I42&gt;0),1,0)</f>
        <v/>
      </c>
      <c r="N42" s="30">
        <f>IF(M42=1,MAX(J42/I42,SUMPRODUCT(MAX(((J42-$J$42:$J$45)*($M$42:$M$45*($I$42:$I$45&lt;I42)))/((I42-$I$42:$I$45)*($M$42:$M$45*($I$42:$I$45&lt;I42))+1-($M$42:$M$45*($I$42:$I$45&lt;I42)))-(1-($M$42:$M$45*($I$42:$I$45&lt;I42)))*1E+300))),0)</f>
        <v/>
      </c>
      <c r="O42" s="30">
        <f>IF(M42=1,SUMPRODUCT(MIN(((($J$42:$J$45-J42)*($M$42:$M$45*($I$42:$I$45&gt;I42)))/(($I$42:$I$45-I42)*($M$42:$M$45*($I$42:$I$45&gt;I42))+1-($M$42:$M$45*($I$42:$I$45&gt;I42)))+(1-($M$42:$M$45*($I$42:$I$45&gt;I42)))*1E+300))),0)</f>
        <v/>
      </c>
      <c r="P42" s="10">
        <f>IF(E42=1,1,IF(AND(M42=1,N42&lt;=O42),1,0))</f>
        <v/>
      </c>
      <c r="Q42" s="10">
        <f>IF(P42=1,1+SUMPRODUCT($P$42:$P$45*(($I$42:$I$45&lt;I42)+($I$42:$I$45=I42)*($F$42:$F$45&lt;F42))),0)</f>
        <v/>
      </c>
      <c r="R42" s="10">
        <f>IF(Q42&lt;=1,0,SUMPRODUCT(($Q$42:$Q$45=Q42-1)*$I$42:$I$45))</f>
        <v/>
      </c>
      <c r="S42" s="10">
        <f>IF(Q42&lt;=1,0,SUMPRODUCT(($Q$42:$Q$45=Q42-1)*$J$42:$J$45))</f>
        <v/>
      </c>
      <c r="T42" s="21">
        <f>IF(Q42=0,"",(I42-R42)/10^in_out_dp)</f>
        <v/>
      </c>
      <c r="U42" s="26">
        <f>IF(Q42=0,"",(J42-S42)/10^in_cost_dp)</f>
        <v/>
      </c>
      <c r="V42" s="26">
        <f>IF(Q42=0,"",IF(I42=R42,0,U42/T42))</f>
        <v/>
      </c>
      <c r="W42" s="26">
        <f>IF(I42&gt;0,(J42/10^in_cost_dp)/(I42/10^in_out_dp),"n/a")</f>
        <v/>
      </c>
      <c r="X42" s="10">
        <f>IF(Sites!$C$11=C42,1,0)</f>
        <v/>
      </c>
    </row>
    <row r="43">
      <c r="A43" s="10">
        <f>B43&amp;"|"&amp;C43</f>
        <v/>
      </c>
      <c r="B43" s="4" t="inlineStr">
        <is>
          <t>3F</t>
        </is>
      </c>
      <c r="C43" s="4" t="inlineStr">
        <is>
          <t>Alternative1</t>
        </is>
      </c>
      <c r="D43" s="4" t="inlineStr">
        <is>
          <t>Alternative 1</t>
        </is>
      </c>
      <c r="E43" s="4" t="n">
        <v>0</v>
      </c>
      <c r="F43" s="4" t="n">
        <v>2</v>
      </c>
      <c r="G43" s="21">
        <f>Summary!G30</f>
        <v/>
      </c>
      <c r="H43" s="26">
        <f>Summary!M30</f>
        <v/>
      </c>
      <c r="I43" s="6">
        <f>ROUND(G43*10^in_out_dp,0)</f>
        <v/>
      </c>
      <c r="J43" s="6">
        <f>ROUND(H43*10^in_cost_dp,0)</f>
        <v/>
      </c>
      <c r="K43" s="10">
        <f>SUMPRODUCT(($I$42:$I$45=I43)*($J$42:$J$45&lt;J43)+($I$42:$I$45&gt;I43)*($J$42:$J$45&lt;=J43))</f>
        <v/>
      </c>
      <c r="L43" s="10">
        <f>IF(OR(E43=1,K43=0),1,0)</f>
        <v/>
      </c>
      <c r="M43" s="10">
        <f>IF(AND(L43=1,E43=0,I43&gt;0),1,0)</f>
        <v/>
      </c>
      <c r="N43" s="30">
        <f>IF(M43=1,MAX(J43/I43,SUMPRODUCT(MAX(((J43-$J$42:$J$45)*($M$42:$M$45*($I$42:$I$45&lt;I43)))/((I43-$I$42:$I$45)*($M$42:$M$45*($I$42:$I$45&lt;I43))+1-($M$42:$M$45*($I$42:$I$45&lt;I43)))-(1-($M$42:$M$45*($I$42:$I$45&lt;I43)))*1E+300))),0)</f>
        <v/>
      </c>
      <c r="O43" s="30">
        <f>IF(M43=1,SUMPRODUCT(MIN(((($J$42:$J$45-J43)*($M$42:$M$45*($I$42:$I$45&gt;I43)))/(($I$42:$I$45-I43)*($M$42:$M$45*($I$42:$I$45&gt;I43))+1-($M$42:$M$45*($I$42:$I$45&gt;I43)))+(1-($M$42:$M$45*($I$42:$I$45&gt;I43)))*1E+300))),0)</f>
        <v/>
      </c>
      <c r="P43" s="10">
        <f>IF(E43=1,1,IF(AND(M43=1,N43&lt;=O43),1,0))</f>
        <v/>
      </c>
      <c r="Q43" s="10">
        <f>IF(P43=1,1+SUMPRODUCT($P$42:$P$45*(($I$42:$I$45&lt;I43)+($I$42:$I$45=I43)*($F$42:$F$45&lt;F43))),0)</f>
        <v/>
      </c>
      <c r="R43" s="10">
        <f>IF(Q43&lt;=1,0,SUMPRODUCT(($Q$42:$Q$45=Q43-1)*$I$42:$I$45))</f>
        <v/>
      </c>
      <c r="S43" s="10">
        <f>IF(Q43&lt;=1,0,SUMPRODUCT(($Q$42:$Q$45=Q43-1)*$J$42:$J$45))</f>
        <v/>
      </c>
      <c r="T43" s="21">
        <f>IF(Q43=0,"",(I43-R43)/10^in_out_dp)</f>
        <v/>
      </c>
      <c r="U43" s="26">
        <f>IF(Q43=0,"",(J43-S43)/10^in_cost_dp)</f>
        <v/>
      </c>
      <c r="V43" s="26">
        <f>IF(Q43=0,"",IF(I43=R43,0,U43/T43))</f>
        <v/>
      </c>
      <c r="W43" s="26">
        <f>IF(I43&gt;0,(J43/10^in_cost_dp)/(I43/10^in_out_dp),"n/a")</f>
        <v/>
      </c>
      <c r="X43" s="10">
        <f>IF(Sites!$C$11=C43,1,0)</f>
        <v/>
      </c>
    </row>
    <row r="44">
      <c r="A44" s="10">
        <f>B44&amp;"|"&amp;C44</f>
        <v/>
      </c>
      <c r="B44" s="4" t="inlineStr">
        <is>
          <t>3F</t>
        </is>
      </c>
      <c r="C44" s="4" t="inlineStr">
        <is>
          <t>Alternative2</t>
        </is>
      </c>
      <c r="D44" s="4" t="inlineStr">
        <is>
          <t>Alternative 2</t>
        </is>
      </c>
      <c r="E44" s="4" t="n">
        <v>0</v>
      </c>
      <c r="F44" s="4" t="n">
        <v>3</v>
      </c>
      <c r="G44" s="21">
        <f>Summary!G31</f>
        <v/>
      </c>
      <c r="H44" s="26">
        <f>Summary!M31</f>
        <v/>
      </c>
      <c r="I44" s="6">
        <f>ROUND(G44*10^in_out_dp,0)</f>
        <v/>
      </c>
      <c r="J44" s="6">
        <f>ROUND(H44*10^in_cost_dp,0)</f>
        <v/>
      </c>
      <c r="K44" s="10">
        <f>SUMPRODUCT(($I$42:$I$45=I44)*($J$42:$J$45&lt;J44)+($I$42:$I$45&gt;I44)*($J$42:$J$45&lt;=J44))</f>
        <v/>
      </c>
      <c r="L44" s="10">
        <f>IF(OR(E44=1,K44=0),1,0)</f>
        <v/>
      </c>
      <c r="M44" s="10">
        <f>IF(AND(L44=1,E44=0,I44&gt;0),1,0)</f>
        <v/>
      </c>
      <c r="N44" s="30">
        <f>IF(M44=1,MAX(J44/I44,SUMPRODUCT(MAX(((J44-$J$42:$J$45)*($M$42:$M$45*($I$42:$I$45&lt;I44)))/((I44-$I$42:$I$45)*($M$42:$M$45*($I$42:$I$45&lt;I44))+1-($M$42:$M$45*($I$42:$I$45&lt;I44)))-(1-($M$42:$M$45*($I$42:$I$45&lt;I44)))*1E+300))),0)</f>
        <v/>
      </c>
      <c r="O44" s="30">
        <f>IF(M44=1,SUMPRODUCT(MIN(((($J$42:$J$45-J44)*($M$42:$M$45*($I$42:$I$45&gt;I44)))/(($I$42:$I$45-I44)*($M$42:$M$45*($I$42:$I$45&gt;I44))+1-($M$42:$M$45*($I$42:$I$45&gt;I44)))+(1-($M$42:$M$45*($I$42:$I$45&gt;I44)))*1E+300))),0)</f>
        <v/>
      </c>
      <c r="P44" s="10">
        <f>IF(E44=1,1,IF(AND(M44=1,N44&lt;=O44),1,0))</f>
        <v/>
      </c>
      <c r="Q44" s="10">
        <f>IF(P44=1,1+SUMPRODUCT($P$42:$P$45*(($I$42:$I$45&lt;I44)+($I$42:$I$45=I44)*($F$42:$F$45&lt;F44))),0)</f>
        <v/>
      </c>
      <c r="R44" s="10">
        <f>IF(Q44&lt;=1,0,SUMPRODUCT(($Q$42:$Q$45=Q44-1)*$I$42:$I$45))</f>
        <v/>
      </c>
      <c r="S44" s="10">
        <f>IF(Q44&lt;=1,0,SUMPRODUCT(($Q$42:$Q$45=Q44-1)*$J$42:$J$45))</f>
        <v/>
      </c>
      <c r="T44" s="21">
        <f>IF(Q44=0,"",(I44-R44)/10^in_out_dp)</f>
        <v/>
      </c>
      <c r="U44" s="26">
        <f>IF(Q44=0,"",(J44-S44)/10^in_cost_dp)</f>
        <v/>
      </c>
      <c r="V44" s="26">
        <f>IF(Q44=0,"",IF(I44=R44,0,U44/T44))</f>
        <v/>
      </c>
      <c r="W44" s="26">
        <f>IF(I44&gt;0,(J44/10^in_cost_dp)/(I44/10^in_out_dp),"n/a")</f>
        <v/>
      </c>
      <c r="X44" s="10">
        <f>IF(Sites!$C$11=C44,1,0)</f>
        <v/>
      </c>
    </row>
    <row r="45">
      <c r="A45" s="10">
        <f>B45&amp;"|"&amp;C45</f>
        <v/>
      </c>
      <c r="B45" s="4" t="inlineStr">
        <is>
          <t>3F</t>
        </is>
      </c>
      <c r="C45" s="4" t="inlineStr">
        <is>
          <t>Alternative3</t>
        </is>
      </c>
      <c r="D45" s="4" t="inlineStr">
        <is>
          <t>Alternative 3</t>
        </is>
      </c>
      <c r="E45" s="4" t="n">
        <v>0</v>
      </c>
      <c r="F45" s="4" t="n">
        <v>4</v>
      </c>
      <c r="G45" s="21">
        <f>Summary!G32</f>
        <v/>
      </c>
      <c r="H45" s="26">
        <f>Summary!M32</f>
        <v/>
      </c>
      <c r="I45" s="6">
        <f>ROUND(G45*10^in_out_dp,0)</f>
        <v/>
      </c>
      <c r="J45" s="6">
        <f>ROUND(H45*10^in_cost_dp,0)</f>
        <v/>
      </c>
      <c r="K45" s="10">
        <f>SUMPRODUCT(($I$42:$I$45=I45)*($J$42:$J$45&lt;J45)+($I$42:$I$45&gt;I45)*($J$42:$J$45&lt;=J45))</f>
        <v/>
      </c>
      <c r="L45" s="10">
        <f>IF(OR(E45=1,K45=0),1,0)</f>
        <v/>
      </c>
      <c r="M45" s="10">
        <f>IF(AND(L45=1,E45=0,I45&gt;0),1,0)</f>
        <v/>
      </c>
      <c r="N45" s="30">
        <f>IF(M45=1,MAX(J45/I45,SUMPRODUCT(MAX(((J45-$J$42:$J$45)*($M$42:$M$45*($I$42:$I$45&lt;I45)))/((I45-$I$42:$I$45)*($M$42:$M$45*($I$42:$I$45&lt;I45))+1-($M$42:$M$45*($I$42:$I$45&lt;I45)))-(1-($M$42:$M$45*($I$42:$I$45&lt;I45)))*1E+300))),0)</f>
        <v/>
      </c>
      <c r="O45" s="30">
        <f>IF(M45=1,SUMPRODUCT(MIN(((($J$42:$J$45-J45)*($M$42:$M$45*($I$42:$I$45&gt;I45)))/(($I$42:$I$45-I45)*($M$42:$M$45*($I$42:$I$45&gt;I45))+1-($M$42:$M$45*($I$42:$I$45&gt;I45)))+(1-($M$42:$M$45*($I$42:$I$45&gt;I45)))*1E+300))),0)</f>
        <v/>
      </c>
      <c r="P45" s="10">
        <f>IF(E45=1,1,IF(AND(M45=1,N45&lt;=O45),1,0))</f>
        <v/>
      </c>
      <c r="Q45" s="10">
        <f>IF(P45=1,1+SUMPRODUCT($P$42:$P$45*(($I$42:$I$45&lt;I45)+($I$42:$I$45=I45)*($F$42:$F$45&lt;F45))),0)</f>
        <v/>
      </c>
      <c r="R45" s="10">
        <f>IF(Q45&lt;=1,0,SUMPRODUCT(($Q$42:$Q$45=Q45-1)*$I$42:$I$45))</f>
        <v/>
      </c>
      <c r="S45" s="10">
        <f>IF(Q45&lt;=1,0,SUMPRODUCT(($Q$42:$Q$45=Q45-1)*$J$42:$J$45))</f>
        <v/>
      </c>
      <c r="T45" s="21">
        <f>IF(Q45=0,"",(I45-R45)/10^in_out_dp)</f>
        <v/>
      </c>
      <c r="U45" s="26">
        <f>IF(Q45=0,"",(J45-S45)/10^in_cost_dp)</f>
        <v/>
      </c>
      <c r="V45" s="26">
        <f>IF(Q45=0,"",IF(I45=R45,0,U45/T45))</f>
        <v/>
      </c>
      <c r="W45" s="26">
        <f>IF(I45&gt;0,(J45/10^in_cost_dp)/(I45/10^in_out_dp),"n/a")</f>
        <v/>
      </c>
      <c r="X45" s="10">
        <f>IF(Sites!$C$11=C45,1,0)</f>
        <v/>
      </c>
    </row>
    <row r="47">
      <c r="B47" s="7" t="inlineStr">
        <is>
          <t>19A  I-285 and Glenview Drive reach</t>
        </is>
      </c>
    </row>
    <row r="48">
      <c r="A48" s="10">
        <f>B48&amp;"|"&amp;C48</f>
        <v/>
      </c>
      <c r="B48" s="4" t="inlineStr">
        <is>
          <t>19A</t>
        </is>
      </c>
      <c r="C48" s="4" t="inlineStr">
        <is>
          <t>FWOP</t>
        </is>
      </c>
      <c r="D48" s="4" t="inlineStr">
        <is>
          <t>No Action</t>
        </is>
      </c>
      <c r="E48" s="4" t="n">
        <v>1</v>
      </c>
      <c r="F48" s="4" t="n">
        <v>1</v>
      </c>
      <c r="G48" s="21">
        <f>Summary!G33</f>
        <v/>
      </c>
      <c r="H48" s="26">
        <f>Summary!M33</f>
        <v/>
      </c>
      <c r="I48" s="6">
        <f>ROUND(G48*10^in_out_dp,0)</f>
        <v/>
      </c>
      <c r="J48" s="6">
        <f>ROUND(H48*10^in_cost_dp,0)</f>
        <v/>
      </c>
      <c r="K48" s="10">
        <f>SUMPRODUCT(($I$48:$I$50=I48)*($J$48:$J$50&lt;J48)+($I$48:$I$50&gt;I48)*($J$48:$J$50&lt;=J48))</f>
        <v/>
      </c>
      <c r="L48" s="10">
        <f>IF(OR(E48=1,K48=0),1,0)</f>
        <v/>
      </c>
      <c r="M48" s="10">
        <f>IF(AND(L48=1,E48=0,I48&gt;0),1,0)</f>
        <v/>
      </c>
      <c r="N48" s="30">
        <f>IF(M48=1,MAX(J48/I48,SUMPRODUCT(MAX(((J48-$J$48:$J$50)*($M$48:$M$50*($I$48:$I$50&lt;I48)))/((I48-$I$48:$I$50)*($M$48:$M$50*($I$48:$I$50&lt;I48))+1-($M$48:$M$50*($I$48:$I$50&lt;I48)))-(1-($M$48:$M$50*($I$48:$I$50&lt;I48)))*1E+300))),0)</f>
        <v/>
      </c>
      <c r="O48" s="30">
        <f>IF(M48=1,SUMPRODUCT(MIN(((($J$48:$J$50-J48)*($M$48:$M$50*($I$48:$I$50&gt;I48)))/(($I$48:$I$50-I48)*($M$48:$M$50*($I$48:$I$50&gt;I48))+1-($M$48:$M$50*($I$48:$I$50&gt;I48)))+(1-($M$48:$M$50*($I$48:$I$50&gt;I48)))*1E+300))),0)</f>
        <v/>
      </c>
      <c r="P48" s="10">
        <f>IF(E48=1,1,IF(AND(M48=1,N48&lt;=O48),1,0))</f>
        <v/>
      </c>
      <c r="Q48" s="10">
        <f>IF(P48=1,1+SUMPRODUCT($P$48:$P$50*(($I$48:$I$50&lt;I48)+($I$48:$I$50=I48)*($F$48:$F$50&lt;F48))),0)</f>
        <v/>
      </c>
      <c r="R48" s="10">
        <f>IF(Q48&lt;=1,0,SUMPRODUCT(($Q$48:$Q$50=Q48-1)*$I$48:$I$50))</f>
        <v/>
      </c>
      <c r="S48" s="10">
        <f>IF(Q48&lt;=1,0,SUMPRODUCT(($Q$48:$Q$50=Q48-1)*$J$48:$J$50))</f>
        <v/>
      </c>
      <c r="T48" s="21">
        <f>IF(Q48=0,"",(I48-R48)/10^in_out_dp)</f>
        <v/>
      </c>
      <c r="U48" s="26">
        <f>IF(Q48=0,"",(J48-S48)/10^in_cost_dp)</f>
        <v/>
      </c>
      <c r="V48" s="26">
        <f>IF(Q48=0,"",IF(I48=R48,0,U48/T48))</f>
        <v/>
      </c>
      <c r="W48" s="26">
        <f>IF(I48&gt;0,(J48/10^in_cost_dp)/(I48/10^in_out_dp),"n/a")</f>
        <v/>
      </c>
      <c r="X48" s="10">
        <f>IF(Sites!$C$12=C48,1,0)</f>
        <v/>
      </c>
    </row>
    <row r="49">
      <c r="A49" s="10">
        <f>B49&amp;"|"&amp;C49</f>
        <v/>
      </c>
      <c r="B49" s="4" t="inlineStr">
        <is>
          <t>19A</t>
        </is>
      </c>
      <c r="C49" s="4" t="inlineStr">
        <is>
          <t>Alternative2</t>
        </is>
      </c>
      <c r="D49" s="4" t="inlineStr">
        <is>
          <t>Alternative 2</t>
        </is>
      </c>
      <c r="E49" s="4" t="n">
        <v>0</v>
      </c>
      <c r="F49" s="4" t="n">
        <v>2</v>
      </c>
      <c r="G49" s="21">
        <f>Summary!G34</f>
        <v/>
      </c>
      <c r="H49" s="26">
        <f>Summary!M34</f>
        <v/>
      </c>
      <c r="I49" s="6">
        <f>ROUND(G49*10^in_out_dp,0)</f>
        <v/>
      </c>
      <c r="J49" s="6">
        <f>ROUND(H49*10^in_cost_dp,0)</f>
        <v/>
      </c>
      <c r="K49" s="10">
        <f>SUMPRODUCT(($I$48:$I$50=I49)*($J$48:$J$50&lt;J49)+($I$48:$I$50&gt;I49)*($J$48:$J$50&lt;=J49))</f>
        <v/>
      </c>
      <c r="L49" s="10">
        <f>IF(OR(E49=1,K49=0),1,0)</f>
        <v/>
      </c>
      <c r="M49" s="10">
        <f>IF(AND(L49=1,E49=0,I49&gt;0),1,0)</f>
        <v/>
      </c>
      <c r="N49" s="30">
        <f>IF(M49=1,MAX(J49/I49,SUMPRODUCT(MAX(((J49-$J$48:$J$50)*($M$48:$M$50*($I$48:$I$50&lt;I49)))/((I49-$I$48:$I$50)*($M$48:$M$50*($I$48:$I$50&lt;I49))+1-($M$48:$M$50*($I$48:$I$50&lt;I49)))-(1-($M$48:$M$50*($I$48:$I$50&lt;I49)))*1E+300))),0)</f>
        <v/>
      </c>
      <c r="O49" s="30">
        <f>IF(M49=1,SUMPRODUCT(MIN(((($J$48:$J$50-J49)*($M$48:$M$50*($I$48:$I$50&gt;I49)))/(($I$48:$I$50-I49)*($M$48:$M$50*($I$48:$I$50&gt;I49))+1-($M$48:$M$50*($I$48:$I$50&gt;I49)))+(1-($M$48:$M$50*($I$48:$I$50&gt;I49)))*1E+300))),0)</f>
        <v/>
      </c>
      <c r="P49" s="10">
        <f>IF(E49=1,1,IF(AND(M49=1,N49&lt;=O49),1,0))</f>
        <v/>
      </c>
      <c r="Q49" s="10">
        <f>IF(P49=1,1+SUMPRODUCT($P$48:$P$50*(($I$48:$I$50&lt;I49)+($I$48:$I$50=I49)*($F$48:$F$50&lt;F49))),0)</f>
        <v/>
      </c>
      <c r="R49" s="10">
        <f>IF(Q49&lt;=1,0,SUMPRODUCT(($Q$48:$Q$50=Q49-1)*$I$48:$I$50))</f>
        <v/>
      </c>
      <c r="S49" s="10">
        <f>IF(Q49&lt;=1,0,SUMPRODUCT(($Q$48:$Q$50=Q49-1)*$J$48:$J$50))</f>
        <v/>
      </c>
      <c r="T49" s="21">
        <f>IF(Q49=0,"",(I49-R49)/10^in_out_dp)</f>
        <v/>
      </c>
      <c r="U49" s="26">
        <f>IF(Q49=0,"",(J49-S49)/10^in_cost_dp)</f>
        <v/>
      </c>
      <c r="V49" s="26">
        <f>IF(Q49=0,"",IF(I49=R49,0,U49/T49))</f>
        <v/>
      </c>
      <c r="W49" s="26">
        <f>IF(I49&gt;0,(J49/10^in_cost_dp)/(I49/10^in_out_dp),"n/a")</f>
        <v/>
      </c>
      <c r="X49" s="10">
        <f>IF(Sites!$C$12=C49,1,0)</f>
        <v/>
      </c>
    </row>
    <row r="50">
      <c r="A50" s="10">
        <f>B50&amp;"|"&amp;C50</f>
        <v/>
      </c>
      <c r="B50" s="4" t="inlineStr">
        <is>
          <t>19A</t>
        </is>
      </c>
      <c r="C50" s="4" t="inlineStr">
        <is>
          <t>Alternative3</t>
        </is>
      </c>
      <c r="D50" s="4" t="inlineStr">
        <is>
          <t>Alternative 3</t>
        </is>
      </c>
      <c r="E50" s="4" t="n">
        <v>0</v>
      </c>
      <c r="F50" s="4" t="n">
        <v>3</v>
      </c>
      <c r="G50" s="21">
        <f>Summary!G35</f>
        <v/>
      </c>
      <c r="H50" s="26">
        <f>Summary!M35</f>
        <v/>
      </c>
      <c r="I50" s="6">
        <f>ROUND(G50*10^in_out_dp,0)</f>
        <v/>
      </c>
      <c r="J50" s="6">
        <f>ROUND(H50*10^in_cost_dp,0)</f>
        <v/>
      </c>
      <c r="K50" s="10">
        <f>SUMPRODUCT(($I$48:$I$50=I50)*($J$48:$J$50&lt;J50)+($I$48:$I$50&gt;I50)*($J$48:$J$50&lt;=J50))</f>
        <v/>
      </c>
      <c r="L50" s="10">
        <f>IF(OR(E50=1,K50=0),1,0)</f>
        <v/>
      </c>
      <c r="M50" s="10">
        <f>IF(AND(L50=1,E50=0,I50&gt;0),1,0)</f>
        <v/>
      </c>
      <c r="N50" s="30">
        <f>IF(M50=1,MAX(J50/I50,SUMPRODUCT(MAX(((J50-$J$48:$J$50)*($M$48:$M$50*($I$48:$I$50&lt;I50)))/((I50-$I$48:$I$50)*($M$48:$M$50*($I$48:$I$50&lt;I50))+1-($M$48:$M$50*($I$48:$I$50&lt;I50)))-(1-($M$48:$M$50*($I$48:$I$50&lt;I50)))*1E+300))),0)</f>
        <v/>
      </c>
      <c r="O50" s="30">
        <f>IF(M50=1,SUMPRODUCT(MIN(((($J$48:$J$50-J50)*($M$48:$M$50*($I$48:$I$50&gt;I50)))/(($I$48:$I$50-I50)*($M$48:$M$50*($I$48:$I$50&gt;I50))+1-($M$48:$M$50*($I$48:$I$50&gt;I50)))+(1-($M$48:$M$50*($I$48:$I$50&gt;I50)))*1E+300))),0)</f>
        <v/>
      </c>
      <c r="P50" s="10">
        <f>IF(E50=1,1,IF(AND(M50=1,N50&lt;=O50),1,0))</f>
        <v/>
      </c>
      <c r="Q50" s="10">
        <f>IF(P50=1,1+SUMPRODUCT($P$48:$P$50*(($I$48:$I$50&lt;I50)+($I$48:$I$50=I50)*($F$48:$F$50&lt;F50))),0)</f>
        <v/>
      </c>
      <c r="R50" s="10">
        <f>IF(Q50&lt;=1,0,SUMPRODUCT(($Q$48:$Q$50=Q50-1)*$I$48:$I$50))</f>
        <v/>
      </c>
      <c r="S50" s="10">
        <f>IF(Q50&lt;=1,0,SUMPRODUCT(($Q$48:$Q$50=Q50-1)*$J$48:$J$50))</f>
        <v/>
      </c>
      <c r="T50" s="21">
        <f>IF(Q50=0,"",(I50-R50)/10^in_out_dp)</f>
        <v/>
      </c>
      <c r="U50" s="26">
        <f>IF(Q50=0,"",(J50-S50)/10^in_cost_dp)</f>
        <v/>
      </c>
      <c r="V50" s="26">
        <f>IF(Q50=0,"",IF(I50=R50,0,U50/T50))</f>
        <v/>
      </c>
      <c r="W50" s="26">
        <f>IF(I50&gt;0,(J50/10^in_cost_dp)/(I50/10^in_out_dp),"n/a")</f>
        <v/>
      </c>
      <c r="X50" s="10">
        <f>IF(Sites!$C$12=C50,1,0)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28" customWidth="1" style="8" min="2" max="2"/>
    <col width="16" customWidth="1" style="8" min="3" max="3"/>
    <col width="10" customWidth="1" style="8" min="4" max="4"/>
    <col width="8" customWidth="1" style="8" min="5" max="5"/>
    <col width="12" customWidth="1" style="8" min="6" max="6"/>
    <col width="14" customWidth="1" style="8" min="7" max="7"/>
    <col width="14" customWidth="1" style="8" min="8" max="8"/>
    <col width="10" customWidth="1" style="8" min="9" max="9"/>
    <col width="10" customWidth="1" style="8" min="10" max="10"/>
    <col width="9" customWidth="1" style="8" min="11" max="11"/>
    <col width="8" customWidth="1" style="8" min="12" max="12"/>
    <col width="12" customWidth="1" style="8" min="13" max="13"/>
  </cols>
  <sheetData>
    <row r="1">
      <c r="A1" s="1" t="inlineStr">
        <is>
          <t>Sites: the alternative carried to the watershed plans</t>
        </is>
      </c>
    </row>
    <row r="2">
      <c r="A2" s="2" t="inlineStr">
        <is>
          <t>Choose each site's recommended alternative. No Action leaves the site out of every watershed plan.</t>
        </is>
      </c>
    </row>
    <row r="4">
      <c r="A4" s="12" t="inlineStr">
        <is>
          <t>Site</t>
        </is>
      </c>
      <c r="B4" s="12" t="inlineStr">
        <is>
          <t>Name</t>
        </is>
      </c>
      <c r="C4" s="12" t="inlineStr">
        <is>
          <t>Recommended alternative</t>
        </is>
      </c>
      <c r="D4" s="12" t="inlineStr">
        <is>
          <t>No Action</t>
        </is>
      </c>
      <c r="E4" s="12" t="inlineStr">
        <is>
          <t>Carried</t>
        </is>
      </c>
      <c r="F4" s="12" t="inlineStr">
        <is>
          <t>Lift (AAHU)</t>
        </is>
      </c>
      <c r="G4" s="12" t="inlineStr">
        <is>
          <t>Cost above No Action</t>
        </is>
      </c>
      <c r="H4" s="12" t="inlineStr">
        <is>
          <t>Construction cost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Cost-effective</t>
        </is>
      </c>
      <c r="L4" s="12" t="inlineStr">
        <is>
          <t>Best buy</t>
        </is>
      </c>
      <c r="M4" s="12" t="inlineStr">
        <is>
          <t>Decided by</t>
        </is>
      </c>
    </row>
    <row r="5">
      <c r="A5" s="4" t="inlineStr">
        <is>
          <t>17F2M</t>
        </is>
      </c>
      <c r="B5" s="4" t="inlineStr">
        <is>
          <t>Golf course concrete channel</t>
        </is>
      </c>
      <c r="C5" s="15" t="inlineStr">
        <is>
          <t>Alternative3</t>
        </is>
      </c>
      <c r="D5" s="4" t="inlineStr">
        <is>
          <t>FWOP</t>
        </is>
      </c>
      <c r="E5" s="10">
        <f>IF(C5&lt;&gt;D5,1,0)</f>
        <v/>
      </c>
      <c r="F5" s="21">
        <f>IFERROR(INDEX('Site CE-ICA'!$G$5:$G$50,MATCH(A5&amp;"|"&amp;C5,'Site CE-ICA'!$A$5:$A$50,0)),0)</f>
        <v/>
      </c>
      <c r="G5" s="26">
        <f>IFERROR(INDEX('Site CE-ICA'!$H$5:$H$50,MATCH(A5&amp;"|"&amp;C5,'Site CE-ICA'!$A$5:$A$50,0)),0)</f>
        <v/>
      </c>
      <c r="H5" s="25">
        <f>IFERROR(INDEX(Summary!$H$5:$H$8,MATCH(C5,Summary!$C$5:$C$8,0)),0)</f>
        <v/>
      </c>
      <c r="I5" s="6">
        <f>IF(E5=1,IFERROR(INDEX('Site CE-ICA'!$I$5:$I$50,MATCH(A5&amp;"|"&amp;C5,'Site CE-ICA'!$A$5:$A$50,0)),0),0)</f>
        <v/>
      </c>
      <c r="J5" s="6">
        <f>IF(E5=1,IFERROR(INDEX('Site CE-ICA'!$J$5:$J$50,MATCH(A5&amp;"|"&amp;C5,'Site CE-ICA'!$A$5:$A$50,0)),0),0)</f>
        <v/>
      </c>
      <c r="K5" s="10">
        <f>IFERROR(INDEX('Site CE-ICA'!$L$5:$L$50,MATCH(A5&amp;"|"&amp;C5,'Site CE-ICA'!$A$5:$A$50,0)),0)</f>
        <v/>
      </c>
      <c r="L5" s="10">
        <f>IFERROR(INDEX('Site CE-ICA'!$P$5:$P$50,MATCH(A5&amp;"|"&amp;C5,'Site CE-ICA'!$A$5:$A$50,0)),0)</f>
        <v/>
      </c>
      <c r="M5" s="4" t="inlineStr">
        <is>
          <t>Team</t>
        </is>
      </c>
    </row>
    <row r="6">
      <c r="A6" s="4" t="inlineStr">
        <is>
          <t>17D2E</t>
        </is>
      </c>
      <c r="B6" s="4" t="inlineStr">
        <is>
          <t>Concrete channel to Beecher Road</t>
        </is>
      </c>
      <c r="C6" s="15" t="inlineStr">
        <is>
          <t>Alternative1</t>
        </is>
      </c>
      <c r="D6" s="4" t="inlineStr">
        <is>
          <t>FWOP</t>
        </is>
      </c>
      <c r="E6" s="10">
        <f>IF(C6&lt;&gt;D6,1,0)</f>
        <v/>
      </c>
      <c r="F6" s="21">
        <f>IFERROR(INDEX('Site CE-ICA'!$G$5:$G$50,MATCH(A6&amp;"|"&amp;C6,'Site CE-ICA'!$A$5:$A$50,0)),0)</f>
        <v/>
      </c>
      <c r="G6" s="26">
        <f>IFERROR(INDEX('Site CE-ICA'!$H$5:$H$50,MATCH(A6&amp;"|"&amp;C6,'Site CE-ICA'!$A$5:$A$50,0)),0)</f>
        <v/>
      </c>
      <c r="H6" s="25">
        <f>IFERROR(INDEX(Summary!$H$9:$H$12,MATCH(C6,Summary!$C$9:$C$12,0)),0)</f>
        <v/>
      </c>
      <c r="I6" s="6">
        <f>IF(E6=1,IFERROR(INDEX('Site CE-ICA'!$I$5:$I$50,MATCH(A6&amp;"|"&amp;C6,'Site CE-ICA'!$A$5:$A$50,0)),0),0)</f>
        <v/>
      </c>
      <c r="J6" s="6">
        <f>IF(E6=1,IFERROR(INDEX('Site CE-ICA'!$J$5:$J$50,MATCH(A6&amp;"|"&amp;C6,'Site CE-ICA'!$A$5:$A$50,0)),0),0)</f>
        <v/>
      </c>
      <c r="K6" s="10">
        <f>IFERROR(INDEX('Site CE-ICA'!$L$5:$L$50,MATCH(A6&amp;"|"&amp;C6,'Site CE-ICA'!$A$5:$A$50,0)),0)</f>
        <v/>
      </c>
      <c r="L6" s="10">
        <f>IFERROR(INDEX('Site CE-ICA'!$P$5:$P$50,MATCH(A6&amp;"|"&amp;C6,'Site CE-ICA'!$A$5:$A$50,0)),0)</f>
        <v/>
      </c>
      <c r="M6" s="4" t="inlineStr">
        <is>
          <t>Team</t>
        </is>
      </c>
    </row>
    <row r="7">
      <c r="A7" s="4" t="inlineStr">
        <is>
          <t>17B</t>
        </is>
      </c>
      <c r="B7" s="4" t="inlineStr">
        <is>
          <t>Southwest Connector Trail reach</t>
        </is>
      </c>
      <c r="C7" s="15" t="inlineStr">
        <is>
          <t>Alternative2</t>
        </is>
      </c>
      <c r="D7" s="4" t="inlineStr">
        <is>
          <t>FWOP</t>
        </is>
      </c>
      <c r="E7" s="10">
        <f>IF(C7&lt;&gt;D7,1,0)</f>
        <v/>
      </c>
      <c r="F7" s="21">
        <f>IFERROR(INDEX('Site CE-ICA'!$G$5:$G$50,MATCH(A7&amp;"|"&amp;C7,'Site CE-ICA'!$A$5:$A$50,0)),0)</f>
        <v/>
      </c>
      <c r="G7" s="26">
        <f>IFERROR(INDEX('Site CE-ICA'!$H$5:$H$50,MATCH(A7&amp;"|"&amp;C7,'Site CE-ICA'!$A$5:$A$50,0)),0)</f>
        <v/>
      </c>
      <c r="H7" s="25">
        <f>IFERROR(INDEX(Summary!$H$13:$H$16,MATCH(C7,Summary!$C$13:$C$16,0)),0)</f>
        <v/>
      </c>
      <c r="I7" s="6">
        <f>IF(E7=1,IFERROR(INDEX('Site CE-ICA'!$I$5:$I$50,MATCH(A7&amp;"|"&amp;C7,'Site CE-ICA'!$A$5:$A$50,0)),0),0)</f>
        <v/>
      </c>
      <c r="J7" s="6">
        <f>IF(E7=1,IFERROR(INDEX('Site CE-ICA'!$J$5:$J$50,MATCH(A7&amp;"|"&amp;C7,'Site CE-ICA'!$A$5:$A$50,0)),0),0)</f>
        <v/>
      </c>
      <c r="K7" s="10">
        <f>IFERROR(INDEX('Site CE-ICA'!$L$5:$L$50,MATCH(A7&amp;"|"&amp;C7,'Site CE-ICA'!$A$5:$A$50,0)),0)</f>
        <v/>
      </c>
      <c r="L7" s="10">
        <f>IFERROR(INDEX('Site CE-ICA'!$P$5:$P$50,MATCH(A7&amp;"|"&amp;C7,'Site CE-ICA'!$A$5:$A$50,0)),0)</f>
        <v/>
      </c>
      <c r="M7" s="4" t="inlineStr">
        <is>
          <t>Team</t>
        </is>
      </c>
    </row>
    <row r="8">
      <c r="A8" s="4" t="inlineStr">
        <is>
          <t>2A</t>
        </is>
      </c>
      <c r="B8" s="4" t="inlineStr">
        <is>
          <t>Lower North Utoy powerline reach</t>
        </is>
      </c>
      <c r="C8" s="15" t="inlineStr">
        <is>
          <t>Alternative1</t>
        </is>
      </c>
      <c r="D8" s="4" t="inlineStr">
        <is>
          <t>FWOP</t>
        </is>
      </c>
      <c r="E8" s="10">
        <f>IF(C8&lt;&gt;D8,1,0)</f>
        <v/>
      </c>
      <c r="F8" s="21">
        <f>IFERROR(INDEX('Site CE-ICA'!$G$5:$G$50,MATCH(A8&amp;"|"&amp;C8,'Site CE-ICA'!$A$5:$A$50,0)),0)</f>
        <v/>
      </c>
      <c r="G8" s="26">
        <f>IFERROR(INDEX('Site CE-ICA'!$H$5:$H$50,MATCH(A8&amp;"|"&amp;C8,'Site CE-ICA'!$A$5:$A$50,0)),0)</f>
        <v/>
      </c>
      <c r="H8" s="25">
        <f>IFERROR(INDEX(Summary!$H$17:$H$20,MATCH(C8,Summary!$C$17:$C$20,0)),0)</f>
        <v/>
      </c>
      <c r="I8" s="6">
        <f>IF(E8=1,IFERROR(INDEX('Site CE-ICA'!$I$5:$I$50,MATCH(A8&amp;"|"&amp;C8,'Site CE-ICA'!$A$5:$A$50,0)),0),0)</f>
        <v/>
      </c>
      <c r="J8" s="6">
        <f>IF(E8=1,IFERROR(INDEX('Site CE-ICA'!$J$5:$J$50,MATCH(A8&amp;"|"&amp;C8,'Site CE-ICA'!$A$5:$A$50,0)),0),0)</f>
        <v/>
      </c>
      <c r="K8" s="10">
        <f>IFERROR(INDEX('Site CE-ICA'!$L$5:$L$50,MATCH(A8&amp;"|"&amp;C8,'Site CE-ICA'!$A$5:$A$50,0)),0)</f>
        <v/>
      </c>
      <c r="L8" s="10">
        <f>IFERROR(INDEX('Site CE-ICA'!$P$5:$P$50,MATCH(A8&amp;"|"&amp;C8,'Site CE-ICA'!$A$5:$A$50,0)),0)</f>
        <v/>
      </c>
      <c r="M8" s="4" t="inlineStr">
        <is>
          <t>Team</t>
        </is>
      </c>
    </row>
    <row r="9">
      <c r="A9" s="4" t="inlineStr">
        <is>
          <t>2B</t>
        </is>
      </c>
      <c r="B9" s="4" t="inlineStr">
        <is>
          <t>North Utoy powerline reach</t>
        </is>
      </c>
      <c r="C9" s="15" t="inlineStr">
        <is>
          <t>Alternative1</t>
        </is>
      </c>
      <c r="D9" s="4" t="inlineStr">
        <is>
          <t>FWOP</t>
        </is>
      </c>
      <c r="E9" s="10">
        <f>IF(C9&lt;&gt;D9,1,0)</f>
        <v/>
      </c>
      <c r="F9" s="21">
        <f>IFERROR(INDEX('Site CE-ICA'!$G$5:$G$50,MATCH(A9&amp;"|"&amp;C9,'Site CE-ICA'!$A$5:$A$50,0)),0)</f>
        <v/>
      </c>
      <c r="G9" s="26">
        <f>IFERROR(INDEX('Site CE-ICA'!$H$5:$H$50,MATCH(A9&amp;"|"&amp;C9,'Site CE-ICA'!$A$5:$A$50,0)),0)</f>
        <v/>
      </c>
      <c r="H9" s="25">
        <f>IFERROR(INDEX(Summary!$H$21:$H$24,MATCH(C9,Summary!$C$21:$C$24,0)),0)</f>
        <v/>
      </c>
      <c r="I9" s="6">
        <f>IF(E9=1,IFERROR(INDEX('Site CE-ICA'!$I$5:$I$50,MATCH(A9&amp;"|"&amp;C9,'Site CE-ICA'!$A$5:$A$50,0)),0),0)</f>
        <v/>
      </c>
      <c r="J9" s="6">
        <f>IF(E9=1,IFERROR(INDEX('Site CE-ICA'!$J$5:$J$50,MATCH(A9&amp;"|"&amp;C9,'Site CE-ICA'!$A$5:$A$50,0)),0),0)</f>
        <v/>
      </c>
      <c r="K9" s="10">
        <f>IFERROR(INDEX('Site CE-ICA'!$L$5:$L$50,MATCH(A9&amp;"|"&amp;C9,'Site CE-ICA'!$A$5:$A$50,0)),0)</f>
        <v/>
      </c>
      <c r="L9" s="10">
        <f>IFERROR(INDEX('Site CE-ICA'!$P$5:$P$50,MATCH(A9&amp;"|"&amp;C9,'Site CE-ICA'!$A$5:$A$50,0)),0)</f>
        <v/>
      </c>
      <c r="M9" s="4" t="inlineStr">
        <is>
          <t>Team</t>
        </is>
      </c>
    </row>
    <row r="10">
      <c r="A10" s="4" t="inlineStr">
        <is>
          <t>3E</t>
        </is>
      </c>
      <c r="B10" s="4" t="inlineStr">
        <is>
          <t>Cascade Springs road crossings</t>
        </is>
      </c>
      <c r="C10" s="15" t="inlineStr">
        <is>
          <t>FWOP</t>
        </is>
      </c>
      <c r="D10" s="4" t="inlineStr">
        <is>
          <t>FWOP</t>
        </is>
      </c>
      <c r="E10" s="10">
        <f>IF(C10&lt;&gt;D10,1,0)</f>
        <v/>
      </c>
      <c r="F10" s="21">
        <f>IFERROR(INDEX('Site CE-ICA'!$G$5:$G$50,MATCH(A10&amp;"|"&amp;C10,'Site CE-ICA'!$A$5:$A$50,0)),0)</f>
        <v/>
      </c>
      <c r="G10" s="26">
        <f>IFERROR(INDEX('Site CE-ICA'!$H$5:$H$50,MATCH(A10&amp;"|"&amp;C10,'Site CE-ICA'!$A$5:$A$50,0)),0)</f>
        <v/>
      </c>
      <c r="H10" s="25">
        <f>IFERROR(INDEX(Summary!$H$25:$H$28,MATCH(C10,Summary!$C$25:$C$28,0)),0)</f>
        <v/>
      </c>
      <c r="I10" s="6">
        <f>IF(E10=1,IFERROR(INDEX('Site CE-ICA'!$I$5:$I$50,MATCH(A10&amp;"|"&amp;C10,'Site CE-ICA'!$A$5:$A$50,0)),0),0)</f>
        <v/>
      </c>
      <c r="J10" s="6">
        <f>IF(E10=1,IFERROR(INDEX('Site CE-ICA'!$J$5:$J$50,MATCH(A10&amp;"|"&amp;C10,'Site CE-ICA'!$A$5:$A$50,0)),0),0)</f>
        <v/>
      </c>
      <c r="K10" s="10">
        <f>IFERROR(INDEX('Site CE-ICA'!$L$5:$L$50,MATCH(A10&amp;"|"&amp;C10,'Site CE-ICA'!$A$5:$A$50,0)),0)</f>
        <v/>
      </c>
      <c r="L10" s="10">
        <f>IFERROR(INDEX('Site CE-ICA'!$P$5:$P$50,MATCH(A10&amp;"|"&amp;C10,'Site CE-ICA'!$A$5:$A$50,0)),0)</f>
        <v/>
      </c>
      <c r="M10" s="4" t="inlineStr">
        <is>
          <t>Team</t>
        </is>
      </c>
    </row>
    <row r="11">
      <c r="A11" s="4" t="inlineStr">
        <is>
          <t>3F</t>
        </is>
      </c>
      <c r="B11" s="4" t="inlineStr">
        <is>
          <t>Dodson Drive to Harbin Road</t>
        </is>
      </c>
      <c r="C11" s="15" t="inlineStr">
        <is>
          <t>Alternative1</t>
        </is>
      </c>
      <c r="D11" s="4" t="inlineStr">
        <is>
          <t>FWOP</t>
        </is>
      </c>
      <c r="E11" s="10">
        <f>IF(C11&lt;&gt;D11,1,0)</f>
        <v/>
      </c>
      <c r="F11" s="21">
        <f>IFERROR(INDEX('Site CE-ICA'!$G$5:$G$50,MATCH(A11&amp;"|"&amp;C11,'Site CE-ICA'!$A$5:$A$50,0)),0)</f>
        <v/>
      </c>
      <c r="G11" s="26">
        <f>IFERROR(INDEX('Site CE-ICA'!$H$5:$H$50,MATCH(A11&amp;"|"&amp;C11,'Site CE-ICA'!$A$5:$A$50,0)),0)</f>
        <v/>
      </c>
      <c r="H11" s="25">
        <f>IFERROR(INDEX(Summary!$H$29:$H$32,MATCH(C11,Summary!$C$29:$C$32,0)),0)</f>
        <v/>
      </c>
      <c r="I11" s="6">
        <f>IF(E11=1,IFERROR(INDEX('Site CE-ICA'!$I$5:$I$50,MATCH(A11&amp;"|"&amp;C11,'Site CE-ICA'!$A$5:$A$50,0)),0),0)</f>
        <v/>
      </c>
      <c r="J11" s="6">
        <f>IF(E11=1,IFERROR(INDEX('Site CE-ICA'!$J$5:$J$50,MATCH(A11&amp;"|"&amp;C11,'Site CE-ICA'!$A$5:$A$50,0)),0),0)</f>
        <v/>
      </c>
      <c r="K11" s="10">
        <f>IFERROR(INDEX('Site CE-ICA'!$L$5:$L$50,MATCH(A11&amp;"|"&amp;C11,'Site CE-ICA'!$A$5:$A$50,0)),0)</f>
        <v/>
      </c>
      <c r="L11" s="10">
        <f>IFERROR(INDEX('Site CE-ICA'!$P$5:$P$50,MATCH(A11&amp;"|"&amp;C11,'Site CE-ICA'!$A$5:$A$50,0)),0)</f>
        <v/>
      </c>
      <c r="M11" s="4" t="inlineStr">
        <is>
          <t>Team</t>
        </is>
      </c>
    </row>
    <row r="12">
      <c r="A12" s="4" t="inlineStr">
        <is>
          <t>19A</t>
        </is>
      </c>
      <c r="B12" s="4" t="inlineStr">
        <is>
          <t>I-285 and Glenview Drive reach</t>
        </is>
      </c>
      <c r="C12" s="15" t="inlineStr">
        <is>
          <t>Alternative2</t>
        </is>
      </c>
      <c r="D12" s="4" t="inlineStr">
        <is>
          <t>FWOP</t>
        </is>
      </c>
      <c r="E12" s="10">
        <f>IF(C12&lt;&gt;D12,1,0)</f>
        <v/>
      </c>
      <c r="F12" s="21">
        <f>IFERROR(INDEX('Site CE-ICA'!$G$5:$G$50,MATCH(A12&amp;"|"&amp;C12,'Site CE-ICA'!$A$5:$A$50,0)),0)</f>
        <v/>
      </c>
      <c r="G12" s="26">
        <f>IFERROR(INDEX('Site CE-ICA'!$H$5:$H$50,MATCH(A12&amp;"|"&amp;C12,'Site CE-ICA'!$A$5:$A$50,0)),0)</f>
        <v/>
      </c>
      <c r="H12" s="25">
        <f>IFERROR(INDEX(Summary!$H$33:$H$35,MATCH(C12,Summary!$C$33:$C$35,0)),0)</f>
        <v/>
      </c>
      <c r="I12" s="6">
        <f>IF(E12=1,IFERROR(INDEX('Site CE-ICA'!$I$5:$I$50,MATCH(A12&amp;"|"&amp;C12,'Site CE-ICA'!$A$5:$A$50,0)),0),0)</f>
        <v/>
      </c>
      <c r="J12" s="6">
        <f>IF(E12=1,IFERROR(INDEX('Site CE-ICA'!$J$5:$J$50,MATCH(A12&amp;"|"&amp;C12,'Site CE-ICA'!$A$5:$A$50,0)),0),0)</f>
        <v/>
      </c>
      <c r="K12" s="10">
        <f>IFERROR(INDEX('Site CE-ICA'!$L$5:$L$50,MATCH(A12&amp;"|"&amp;C12,'Site CE-ICA'!$A$5:$A$50,0)),0)</f>
        <v/>
      </c>
      <c r="L12" s="10">
        <f>IFERROR(INDEX('Site CE-ICA'!$P$5:$P$50,MATCH(A12&amp;"|"&amp;C12,'Site CE-ICA'!$A$5:$A$50,0)),0)</f>
        <v/>
      </c>
      <c r="M12" s="4" t="inlineStr">
        <is>
          <t>Team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C5:C12">
    <cfRule type="expression" priority="1" dxfId="0" stopIfTrue="0">
      <formula>C5&lt;&gt;'snap Sites'!C5</formula>
    </cfRule>
  </conditionalFormatting>
  <dataValidations count="8">
    <dataValidation sqref="C5" showDropDown="0" showInputMessage="0" showErrorMessage="0" allowBlank="0" type="list">
      <formula1>"FWOP,Alternative1,Alternative2,Alternative3"</formula1>
    </dataValidation>
    <dataValidation sqref="C6" showDropDown="0" showInputMessage="0" showErrorMessage="0" allowBlank="0" type="list">
      <formula1>"FWOP,Alternative1,Alternative2,Alternative3"</formula1>
    </dataValidation>
    <dataValidation sqref="C7" showDropDown="0" showInputMessage="0" showErrorMessage="0" allowBlank="0" type="list">
      <formula1>"FWOP,Alternative1,Alternative2,Alternative3"</formula1>
    </dataValidation>
    <dataValidation sqref="C8" showDropDown="0" showInputMessage="0" showErrorMessage="0" allowBlank="0" type="list">
      <formula1>"FWOP,Alternative1,Alternative2,Alternative3"</formula1>
    </dataValidation>
    <dataValidation sqref="C9" showDropDown="0" showInputMessage="0" showErrorMessage="0" allowBlank="0" type="list">
      <formula1>"FWOP,Alternative1,Alternative2,Alternative3"</formula1>
    </dataValidation>
    <dataValidation sqref="C10" showDropDown="0" showInputMessage="0" showErrorMessage="0" allowBlank="0" type="list">
      <formula1>"FWOP,Alternative1,Alternative2,Alternative3"</formula1>
    </dataValidation>
    <dataValidation sqref="C11" showDropDown="0" showInputMessage="0" showErrorMessage="0" allowBlank="0" type="list">
      <formula1>"FWOP,Alternative1,Alternative2,Alternative3"</formula1>
    </dataValidation>
    <dataValidation sqref="C12" showDropDown="0" showInputMessage="0" showErrorMessage="0" allowBlank="0" type="list">
      <formula1>"FWOP,Alternative2,Alternative3"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67"/>
  <sheetViews>
    <sheetView showGridLines="0" workbookViewId="0">
      <pane xSplit="3" ySplit="11" topLeftCell="D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6" customWidth="1" style="8" min="1" max="1"/>
    <col width="34" customWidth="1" style="8" min="2" max="2"/>
    <col width="6" customWidth="1" style="8" min="3" max="3"/>
    <col width="7" customWidth="1" style="8" min="4" max="4"/>
    <col width="7" customWidth="1" style="8" min="5" max="5"/>
    <col width="7" customWidth="1" style="8" min="6" max="6"/>
    <col width="7" customWidth="1" style="8" min="7" max="7"/>
    <col width="7" customWidth="1" style="8" min="8" max="8"/>
    <col width="7" customWidth="1" style="8" min="9" max="9"/>
    <col width="7" customWidth="1" style="8" min="10" max="10"/>
    <col width="7" customWidth="1" style="8" min="11" max="11"/>
    <col width="8" customWidth="1" style="8" min="12" max="12"/>
    <col hidden="1" width="10" customWidth="1" style="8" min="13" max="13"/>
    <col hidden="1" width="11" customWidth="1" style="8" min="14" max="14"/>
    <col width="13" customWidth="1" style="8" min="15" max="15"/>
    <col width="11" customWidth="1" style="8" min="16" max="16"/>
    <col width="13" customWidth="1" style="8" min="17" max="17"/>
    <col hidden="1" width="6" customWidth="1" style="8" min="18" max="18"/>
    <col hidden="1" width="8" customWidth="1" style="8" min="19" max="19"/>
    <col width="9" customWidth="1" style="8" min="20" max="20"/>
    <col hidden="1" width="8" customWidth="1" style="8" min="21" max="21"/>
    <col hidden="1" width="10" customWidth="1" style="8" min="22" max="22"/>
    <col hidden="1" width="10" customWidth="1" style="8" min="23" max="23"/>
    <col width="7" customWidth="1" style="8" min="24" max="24"/>
    <col width="8" customWidth="1" style="8" min="25" max="25"/>
    <col hidden="1" width="10" customWidth="1" style="8" min="26" max="26"/>
    <col hidden="1" width="10" customWidth="1" style="8" min="27" max="27"/>
    <col width="11" customWidth="1" style="8" min="28" max="28"/>
    <col width="12" customWidth="1" style="8" min="29" max="29"/>
    <col width="12" customWidth="1" style="8" min="30" max="30"/>
    <col width="11" customWidth="1" style="8" min="31" max="31"/>
    <col width="7" customWidth="1" style="8" min="32" max="32"/>
    <col width="8" customWidth="1" style="8" min="33" max="33"/>
  </cols>
  <sheetData>
    <row r="1">
      <c r="A1" s="1" t="inlineStr">
        <is>
          <t>Watershed plans: every combination of the recommended site actions</t>
        </is>
      </c>
    </row>
    <row r="2">
      <c r="A2" s="2" t="inlineStr">
        <is>
          <t>1 and 0 mark a site included or excluded. Rows that include a site whose recommendation is No Action are not valid plans.</t>
        </is>
      </c>
    </row>
    <row r="4">
      <c r="C4" s="3" t="inlineStr">
        <is>
          <t>Site</t>
        </is>
      </c>
      <c r="D4" s="12" t="inlineStr">
        <is>
          <t>17F2M</t>
        </is>
      </c>
      <c r="E4" s="12" t="inlineStr">
        <is>
          <t>17D2E</t>
        </is>
      </c>
      <c r="F4" s="12" t="inlineStr">
        <is>
          <t>17B</t>
        </is>
      </c>
      <c r="G4" s="12" t="inlineStr">
        <is>
          <t>2A</t>
        </is>
      </c>
      <c r="H4" s="12" t="inlineStr">
        <is>
          <t>2B</t>
        </is>
      </c>
      <c r="I4" s="12" t="inlineStr">
        <is>
          <t>3E</t>
        </is>
      </c>
      <c r="J4" s="12" t="inlineStr">
        <is>
          <t>3F</t>
        </is>
      </c>
      <c r="K4" s="12" t="inlineStr">
        <is>
          <t>19A</t>
        </is>
      </c>
    </row>
    <row r="5">
      <c r="C5" s="3" t="inlineStr">
        <is>
          <t>Carried</t>
        </is>
      </c>
      <c r="D5" s="10">
        <f>Sites!E5</f>
        <v/>
      </c>
      <c r="E5" s="10">
        <f>Sites!E6</f>
        <v/>
      </c>
      <c r="F5" s="10">
        <f>Sites!E7</f>
        <v/>
      </c>
      <c r="G5" s="10">
        <f>Sites!E8</f>
        <v/>
      </c>
      <c r="H5" s="10">
        <f>Sites!E9</f>
        <v/>
      </c>
      <c r="I5" s="10">
        <f>Sites!E10</f>
        <v/>
      </c>
      <c r="J5" s="10">
        <f>Sites!E11</f>
        <v/>
      </c>
      <c r="K5" s="10">
        <f>Sites!E12</f>
        <v/>
      </c>
    </row>
    <row r="6">
      <c r="C6" s="3" t="inlineStr">
        <is>
          <t>Lift (scaled)</t>
        </is>
      </c>
      <c r="D6" s="6">
        <f>Sites!I5</f>
        <v/>
      </c>
      <c r="E6" s="6">
        <f>Sites!I6</f>
        <v/>
      </c>
      <c r="F6" s="6">
        <f>Sites!I7</f>
        <v/>
      </c>
      <c r="G6" s="6">
        <f>Sites!I8</f>
        <v/>
      </c>
      <c r="H6" s="6">
        <f>Sites!I9</f>
        <v/>
      </c>
      <c r="I6" s="6">
        <f>Sites!I10</f>
        <v/>
      </c>
      <c r="J6" s="6">
        <f>Sites!I11</f>
        <v/>
      </c>
      <c r="K6" s="6">
        <f>Sites!I12</f>
        <v/>
      </c>
    </row>
    <row r="7">
      <c r="C7" s="3" t="inlineStr">
        <is>
          <t>Cost (scaled)</t>
        </is>
      </c>
      <c r="D7" s="6">
        <f>Sites!J5</f>
        <v/>
      </c>
      <c r="E7" s="6">
        <f>Sites!J6</f>
        <v/>
      </c>
      <c r="F7" s="6">
        <f>Sites!J7</f>
        <v/>
      </c>
      <c r="G7" s="6">
        <f>Sites!J8</f>
        <v/>
      </c>
      <c r="H7" s="6">
        <f>Sites!J9</f>
        <v/>
      </c>
      <c r="I7" s="6">
        <f>Sites!J10</f>
        <v/>
      </c>
      <c r="J7" s="6">
        <f>Sites!J11</f>
        <v/>
      </c>
      <c r="K7" s="6">
        <f>Sites!J12</f>
        <v/>
      </c>
    </row>
    <row r="8">
      <c r="C8" s="3" t="inlineStr">
        <is>
          <t>Construction cost</t>
        </is>
      </c>
      <c r="D8" s="25">
        <f>Sites!H5</f>
        <v/>
      </c>
      <c r="E8" s="25">
        <f>Sites!H6</f>
        <v/>
      </c>
      <c r="F8" s="25">
        <f>Sites!H7</f>
        <v/>
      </c>
      <c r="G8" s="25">
        <f>Sites!H8</f>
        <v/>
      </c>
      <c r="H8" s="25">
        <f>Sites!H9</f>
        <v/>
      </c>
      <c r="I8" s="25">
        <f>Sites!H10</f>
        <v/>
      </c>
      <c r="J8" s="25">
        <f>Sites!H11</f>
        <v/>
      </c>
      <c r="K8" s="25">
        <f>Sites!H12</f>
        <v/>
      </c>
    </row>
    <row r="9">
      <c r="C9" s="3" t="inlineStr">
        <is>
          <t>Weight</t>
        </is>
      </c>
      <c r="D9" s="6">
        <f>IF(D5=1,2^SUM(E5:$K$5),0)</f>
        <v/>
      </c>
      <c r="E9" s="6">
        <f>IF(E5=1,2^SUM(F5:$K$5),0)</f>
        <v/>
      </c>
      <c r="F9" s="6">
        <f>IF(F5=1,2^SUM(G5:$K$5),0)</f>
        <v/>
      </c>
      <c r="G9" s="6">
        <f>IF(G5=1,2^SUM(H5:$K$5),0)</f>
        <v/>
      </c>
      <c r="H9" s="6">
        <f>IF(H5=1,2^SUM(I5:$K$5),0)</f>
        <v/>
      </c>
      <c r="I9" s="6">
        <f>IF(I5=1,2^SUM(J5:$K$5),0)</f>
        <v/>
      </c>
      <c r="J9" s="6">
        <f>IF(J5=1,2^SUM(K5:$K$5),0)</f>
        <v/>
      </c>
      <c r="K9" s="6">
        <f>IF(K5=1,1,0)</f>
        <v/>
      </c>
    </row>
    <row r="11">
      <c r="A11" s="12" t="inlineStr">
        <is>
          <t>Row</t>
        </is>
      </c>
      <c r="B11" s="12" t="inlineStr">
        <is>
          <t>Plan</t>
        </is>
      </c>
      <c r="C11" s="12" t="inlineStr">
        <is>
          <t>Valid</t>
        </is>
      </c>
      <c r="D11" s="12" t="inlineStr">
        <is>
          <t>17F2M</t>
        </is>
      </c>
      <c r="E11" s="12" t="inlineStr">
        <is>
          <t>17D2E</t>
        </is>
      </c>
      <c r="F11" s="12" t="inlineStr">
        <is>
          <t>17B</t>
        </is>
      </c>
      <c r="G11" s="12" t="inlineStr">
        <is>
          <t>2A</t>
        </is>
      </c>
      <c r="H11" s="12" t="inlineStr">
        <is>
          <t>2B</t>
        </is>
      </c>
      <c r="I11" s="12" t="inlineStr">
        <is>
          <t>3E</t>
        </is>
      </c>
      <c r="J11" s="12" t="inlineStr">
        <is>
          <t>3F</t>
        </is>
      </c>
      <c r="K11" s="12" t="inlineStr">
        <is>
          <t>19A</t>
        </is>
      </c>
      <c r="L11" s="12" t="inlineStr">
        <is>
          <t>Plan number</t>
        </is>
      </c>
      <c r="M11" s="12" t="inlineStr">
        <is>
          <t>Lift (scaled)</t>
        </is>
      </c>
      <c r="N11" s="12" t="inlineStr">
        <is>
          <t>Cost (scaled)</t>
        </is>
      </c>
      <c r="O11" s="12" t="inlineStr">
        <is>
          <t>Construction cost</t>
        </is>
      </c>
      <c r="P11" s="12" t="inlineStr">
        <is>
          <t>Lift (AAHU)</t>
        </is>
      </c>
      <c r="Q11" s="12" t="inlineStr">
        <is>
          <t>Average annual cost</t>
        </is>
      </c>
      <c r="R11" s="12" t="inlineStr">
        <is>
          <t>No Action</t>
        </is>
      </c>
      <c r="S11" s="12" t="inlineStr">
        <is>
          <t>Dominated by</t>
        </is>
      </c>
      <c r="T11" s="12" t="inlineStr">
        <is>
          <t>Cost-effective</t>
        </is>
      </c>
      <c r="U11" s="12" t="inlineStr">
        <is>
          <t>Candidate</t>
        </is>
      </c>
      <c r="V11" s="12" t="inlineStr">
        <is>
          <t>Slope in (max)</t>
        </is>
      </c>
      <c r="W11" s="12" t="inlineStr">
        <is>
          <t>Slope out (min)</t>
        </is>
      </c>
      <c r="X11" s="12" t="inlineStr">
        <is>
          <t>Best buy</t>
        </is>
      </c>
      <c r="Y11" s="12" t="inlineStr">
        <is>
          <t>Best-buy step</t>
        </is>
      </c>
      <c r="Z11" s="12" t="inlineStr">
        <is>
          <t>Previous lift (scaled)</t>
        </is>
      </c>
      <c r="AA11" s="12" t="inlineStr">
        <is>
          <t>Previous cost (scaled)</t>
        </is>
      </c>
      <c r="AB11" s="12" t="inlineStr">
        <is>
          <t>Incremental output</t>
        </is>
      </c>
      <c r="AC11" s="12" t="inlineStr">
        <is>
          <t>Incremental cost</t>
        </is>
      </c>
      <c r="AD11" s="12" t="inlineStr">
        <is>
          <t>Incremental cost per unit</t>
        </is>
      </c>
      <c r="AE11" s="12" t="inlineStr">
        <is>
          <t>Unit cost</t>
        </is>
      </c>
      <c r="AF11" s="12" t="inlineStr">
        <is>
          <t>Final array</t>
        </is>
      </c>
      <c r="AG11" s="12" t="inlineStr">
        <is>
          <t>Final array order</t>
        </is>
      </c>
    </row>
    <row r="12">
      <c r="A12" s="4" t="n">
        <v>1</v>
      </c>
      <c r="B12" s="4" t="inlineStr">
        <is>
          <t>No Action</t>
        </is>
      </c>
      <c r="C12" s="10">
        <f>IF(SUMPRODUCT(D12:K12,1-$D$5:$K$5)=0,1,0)</f>
        <v/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6">
        <f>IF(C12=1,1+SUMPRODUCT(D12:K12,$D$9:$K$9),"")</f>
        <v/>
      </c>
      <c r="M12" s="6">
        <f>SUMPRODUCT(D12:K12,$D$6:$K$6)</f>
        <v/>
      </c>
      <c r="N12" s="6">
        <f>SUMPRODUCT(D12:K12,$D$7:$K$7)</f>
        <v/>
      </c>
      <c r="O12" s="25">
        <f>SUMPRODUCT(D12:K12,$D$8:$K$8)</f>
        <v/>
      </c>
      <c r="P12" s="21">
        <f>M12/10^in_out_dp</f>
        <v/>
      </c>
      <c r="Q12" s="26">
        <f>N12/10^in_cost_dp</f>
        <v/>
      </c>
      <c r="R12" s="10">
        <f>IF(SUM(D12:K12)=0,1,0)</f>
        <v/>
      </c>
      <c r="S12" s="10">
        <f>SUMPRODUCT($C$12:$C$267*(($M$12:$M$267=M12)*($N$12:$N$267&lt;N12)+($M$12:$M$267&gt;M12)*($N$12:$N$267&lt;=N12)))</f>
        <v/>
      </c>
      <c r="T12" s="10">
        <f>IF(C12=0,0,IF(OR(R12=1,S12=0),1,0))</f>
        <v/>
      </c>
      <c r="U12" s="10">
        <f>IF(AND(T12=1,R12=0,M12&gt;0),1,0)</f>
        <v/>
      </c>
      <c r="V12" s="30">
        <f>IF(U12=1,MAX(N12/M12,SUMPRODUCT(MAX(((N12-$N$12:$N$267)*($U$12:$U$267*($M$12:$M$267&lt;M12)))/((M12-$M$12:$M$267)*($U$12:$U$267*($M$12:$M$267&lt;M12))+1-($U$12:$U$267*($M$12:$M$267&lt;M12)))-(1-($U$12:$U$267*($M$12:$M$267&lt;M12)))*1E+300))),0)</f>
        <v/>
      </c>
      <c r="W12" s="30">
        <f>IF(U12=1,SUMPRODUCT(MIN(((($N$12:$N$267-N12)*($U$12:$U$267*($M$12:$M$267&gt;M12)))/(($M$12:$M$267-M12)*($U$12:$U$267*($M$12:$M$267&gt;M12))+1-($U$12:$U$267*($M$12:$M$267&gt;M12)))+(1-($U$12:$U$267*($M$12:$M$267&gt;M12)))*1E+300))),0)</f>
        <v/>
      </c>
      <c r="X12" s="10">
        <f>IF(C12=0,0,IF(R12=1,1,IF(AND(U12=1,V12&lt;=W12),1,0)))</f>
        <v/>
      </c>
      <c r="Y12" s="10">
        <f>IF(X12=1,1+SUMPRODUCT($X$12:$X$267*(($M$12:$M$267&lt;M12)+($M$12:$M$267=M12)*($A$12:$A$267&lt;A12))),0)</f>
        <v/>
      </c>
      <c r="Z12" s="10">
        <f>IF(Y12&lt;=1,0,SUMPRODUCT(($Y$12:$Y$267=Y12-1)*$M$12:$M$267))</f>
        <v/>
      </c>
      <c r="AA12" s="10">
        <f>IF(Y12&lt;=1,0,SUMPRODUCT(($Y$12:$Y$267=Y12-1)*$N$12:$N$267))</f>
        <v/>
      </c>
      <c r="AB12" s="21">
        <f>IF(Y12=0,"",(M12-Z12)/10^in_out_dp)</f>
        <v/>
      </c>
      <c r="AC12" s="26">
        <f>IF(Y12=0,"",(N12-AA12)/10^in_cost_dp)</f>
        <v/>
      </c>
      <c r="AD12" s="26">
        <f>IF(Y12=0,"",IF(M12=Z12,0,AC12/AB12))</f>
        <v/>
      </c>
      <c r="AE12" s="26">
        <f>IF(AND(C12=1,M12&gt;0),Q12/P12,"n/a")</f>
        <v/>
      </c>
      <c r="AF12" s="15" t="n">
        <v>1</v>
      </c>
      <c r="AG12" s="6">
        <f>IF(AND(C12=1,AF12=1),1+SUMPRODUCT($C$12:$C$267*$AF$12:$AF$267*(($M$12:$M$267&lt;M12)+($M$12:$M$267=M12)*($N$12:$N$267&lt;N12)+($M$12:$M$267=M12)*($N$12:$N$267=N12)*($A$12:$A$267&lt;A12))),0)</f>
        <v/>
      </c>
    </row>
    <row r="13">
      <c r="A13" s="4" t="n">
        <v>2</v>
      </c>
      <c r="B13" s="4" t="inlineStr">
        <is>
          <t>19A</t>
        </is>
      </c>
      <c r="C13" s="10">
        <f>IF(SUMPRODUCT(D13:K13,1-$D$5:$K$5)=0,1,0)</f>
        <v/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6">
        <f>IF(C13=1,1+SUMPRODUCT(D13:K13,$D$9:$K$9),"")</f>
        <v/>
      </c>
      <c r="M13" s="6">
        <f>SUMPRODUCT(D13:K13,$D$6:$K$6)</f>
        <v/>
      </c>
      <c r="N13" s="6">
        <f>SUMPRODUCT(D13:K13,$D$7:$K$7)</f>
        <v/>
      </c>
      <c r="O13" s="25">
        <f>SUMPRODUCT(D13:K13,$D$8:$K$8)</f>
        <v/>
      </c>
      <c r="P13" s="21">
        <f>M13/10^in_out_dp</f>
        <v/>
      </c>
      <c r="Q13" s="26">
        <f>N13/10^in_cost_dp</f>
        <v/>
      </c>
      <c r="R13" s="10">
        <f>IF(SUM(D13:K13)=0,1,0)</f>
        <v/>
      </c>
      <c r="S13" s="10">
        <f>SUMPRODUCT($C$12:$C$267*(($M$12:$M$267=M13)*($N$12:$N$267&lt;N13)+($M$12:$M$267&gt;M13)*($N$12:$N$267&lt;=N13)))</f>
        <v/>
      </c>
      <c r="T13" s="10">
        <f>IF(C13=0,0,IF(OR(R13=1,S13=0),1,0))</f>
        <v/>
      </c>
      <c r="U13" s="10">
        <f>IF(AND(T13=1,R13=0,M13&gt;0),1,0)</f>
        <v/>
      </c>
      <c r="V13" s="30">
        <f>IF(U13=1,MAX(N13/M13,SUMPRODUCT(MAX(((N13-$N$12:$N$267)*($U$12:$U$267*($M$12:$M$267&lt;M13)))/((M13-$M$12:$M$267)*($U$12:$U$267*($M$12:$M$267&lt;M13))+1-($U$12:$U$267*($M$12:$M$267&lt;M13)))-(1-($U$12:$U$267*($M$12:$M$267&lt;M13)))*1E+300))),0)</f>
        <v/>
      </c>
      <c r="W13" s="30">
        <f>IF(U13=1,SUMPRODUCT(MIN(((($N$12:$N$267-N13)*($U$12:$U$267*($M$12:$M$267&gt;M13)))/(($M$12:$M$267-M13)*($U$12:$U$267*($M$12:$M$267&gt;M13))+1-($U$12:$U$267*($M$12:$M$267&gt;M13)))+(1-($U$12:$U$267*($M$12:$M$267&gt;M13)))*1E+300))),0)</f>
        <v/>
      </c>
      <c r="X13" s="10">
        <f>IF(C13=0,0,IF(R13=1,1,IF(AND(U13=1,V13&lt;=W13),1,0)))</f>
        <v/>
      </c>
      <c r="Y13" s="10">
        <f>IF(X13=1,1+SUMPRODUCT($X$12:$X$267*(($M$12:$M$267&lt;M13)+($M$12:$M$267=M13)*($A$12:$A$267&lt;A13))),0)</f>
        <v/>
      </c>
      <c r="Z13" s="10">
        <f>IF(Y13&lt;=1,0,SUMPRODUCT(($Y$12:$Y$267=Y13-1)*$M$12:$M$267))</f>
        <v/>
      </c>
      <c r="AA13" s="10">
        <f>IF(Y13&lt;=1,0,SUMPRODUCT(($Y$12:$Y$267=Y13-1)*$N$12:$N$267))</f>
        <v/>
      </c>
      <c r="AB13" s="21">
        <f>IF(Y13=0,"",(M13-Z13)/10^in_out_dp)</f>
        <v/>
      </c>
      <c r="AC13" s="26">
        <f>IF(Y13=0,"",(N13-AA13)/10^in_cost_dp)</f>
        <v/>
      </c>
      <c r="AD13" s="26">
        <f>IF(Y13=0,"",IF(M13=Z13,0,AC13/AB13))</f>
        <v/>
      </c>
      <c r="AE13" s="26">
        <f>IF(AND(C13=1,M13&gt;0),Q13/P13,"n/a")</f>
        <v/>
      </c>
      <c r="AF13" s="15" t="n">
        <v>1</v>
      </c>
      <c r="AG13" s="6">
        <f>IF(AND(C13=1,AF13=1),1+SUMPRODUCT($C$12:$C$267*$AF$12:$AF$267*(($M$12:$M$267&lt;M13)+($M$12:$M$267=M13)*($N$12:$N$267&lt;N13)+($M$12:$M$267=M13)*($N$12:$N$267=N13)*($A$12:$A$267&lt;A13))),0)</f>
        <v/>
      </c>
    </row>
    <row r="14">
      <c r="A14" s="4" t="n">
        <v>3</v>
      </c>
      <c r="B14" s="4" t="inlineStr">
        <is>
          <t>3F</t>
        </is>
      </c>
      <c r="C14" s="10">
        <f>IF(SUMPRODUCT(D14:K14,1-$D$5:$K$5)=0,1,0)</f>
        <v/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6">
        <f>IF(C14=1,1+SUMPRODUCT(D14:K14,$D$9:$K$9),"")</f>
        <v/>
      </c>
      <c r="M14" s="6">
        <f>SUMPRODUCT(D14:K14,$D$6:$K$6)</f>
        <v/>
      </c>
      <c r="N14" s="6">
        <f>SUMPRODUCT(D14:K14,$D$7:$K$7)</f>
        <v/>
      </c>
      <c r="O14" s="25">
        <f>SUMPRODUCT(D14:K14,$D$8:$K$8)</f>
        <v/>
      </c>
      <c r="P14" s="21">
        <f>M14/10^in_out_dp</f>
        <v/>
      </c>
      <c r="Q14" s="26">
        <f>N14/10^in_cost_dp</f>
        <v/>
      </c>
      <c r="R14" s="10">
        <f>IF(SUM(D14:K14)=0,1,0)</f>
        <v/>
      </c>
      <c r="S14" s="10">
        <f>SUMPRODUCT($C$12:$C$267*(($M$12:$M$267=M14)*($N$12:$N$267&lt;N14)+($M$12:$M$267&gt;M14)*($N$12:$N$267&lt;=N14)))</f>
        <v/>
      </c>
      <c r="T14" s="10">
        <f>IF(C14=0,0,IF(OR(R14=1,S14=0),1,0))</f>
        <v/>
      </c>
      <c r="U14" s="10">
        <f>IF(AND(T14=1,R14=0,M14&gt;0),1,0)</f>
        <v/>
      </c>
      <c r="V14" s="30">
        <f>IF(U14=1,MAX(N14/M14,SUMPRODUCT(MAX(((N14-$N$12:$N$267)*($U$12:$U$267*($M$12:$M$267&lt;M14)))/((M14-$M$12:$M$267)*($U$12:$U$267*($M$12:$M$267&lt;M14))+1-($U$12:$U$267*($M$12:$M$267&lt;M14)))-(1-($U$12:$U$267*($M$12:$M$267&lt;M14)))*1E+300))),0)</f>
        <v/>
      </c>
      <c r="W14" s="30">
        <f>IF(U14=1,SUMPRODUCT(MIN(((($N$12:$N$267-N14)*($U$12:$U$267*($M$12:$M$267&gt;M14)))/(($M$12:$M$267-M14)*($U$12:$U$267*($M$12:$M$267&gt;M14))+1-($U$12:$U$267*($M$12:$M$267&gt;M14)))+(1-($U$12:$U$267*($M$12:$M$267&gt;M14)))*1E+300))),0)</f>
        <v/>
      </c>
      <c r="X14" s="10">
        <f>IF(C14=0,0,IF(R14=1,1,IF(AND(U14=1,V14&lt;=W14),1,0)))</f>
        <v/>
      </c>
      <c r="Y14" s="10">
        <f>IF(X14=1,1+SUMPRODUCT($X$12:$X$267*(($M$12:$M$267&lt;M14)+($M$12:$M$267=M14)*($A$12:$A$267&lt;A14))),0)</f>
        <v/>
      </c>
      <c r="Z14" s="10">
        <f>IF(Y14&lt;=1,0,SUMPRODUCT(($Y$12:$Y$267=Y14-1)*$M$12:$M$267))</f>
        <v/>
      </c>
      <c r="AA14" s="10">
        <f>IF(Y14&lt;=1,0,SUMPRODUCT(($Y$12:$Y$267=Y14-1)*$N$12:$N$267))</f>
        <v/>
      </c>
      <c r="AB14" s="21">
        <f>IF(Y14=0,"",(M14-Z14)/10^in_out_dp)</f>
        <v/>
      </c>
      <c r="AC14" s="26">
        <f>IF(Y14=0,"",(N14-AA14)/10^in_cost_dp)</f>
        <v/>
      </c>
      <c r="AD14" s="26">
        <f>IF(Y14=0,"",IF(M14=Z14,0,AC14/AB14))</f>
        <v/>
      </c>
      <c r="AE14" s="26">
        <f>IF(AND(C14=1,M14&gt;0),Q14/P14,"n/a")</f>
        <v/>
      </c>
      <c r="AF14" s="15" t="n">
        <v>0</v>
      </c>
      <c r="AG14" s="6">
        <f>IF(AND(C14=1,AF14=1),1+SUMPRODUCT($C$12:$C$267*$AF$12:$AF$267*(($M$12:$M$267&lt;M14)+($M$12:$M$267=M14)*($N$12:$N$267&lt;N14)+($M$12:$M$267=M14)*($N$12:$N$267=N14)*($A$12:$A$267&lt;A14))),0)</f>
        <v/>
      </c>
    </row>
    <row r="15">
      <c r="A15" s="4" t="n">
        <v>4</v>
      </c>
      <c r="B15" s="4" t="inlineStr">
        <is>
          <t>3F + 19A</t>
        </is>
      </c>
      <c r="C15" s="10">
        <f>IF(SUMPRODUCT(D15:K15,1-$D$5:$K$5)=0,1,0)</f>
        <v/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1</v>
      </c>
      <c r="K15" s="4" t="n">
        <v>1</v>
      </c>
      <c r="L15" s="6">
        <f>IF(C15=1,1+SUMPRODUCT(D15:K15,$D$9:$K$9),"")</f>
        <v/>
      </c>
      <c r="M15" s="6">
        <f>SUMPRODUCT(D15:K15,$D$6:$K$6)</f>
        <v/>
      </c>
      <c r="N15" s="6">
        <f>SUMPRODUCT(D15:K15,$D$7:$K$7)</f>
        <v/>
      </c>
      <c r="O15" s="25">
        <f>SUMPRODUCT(D15:K15,$D$8:$K$8)</f>
        <v/>
      </c>
      <c r="P15" s="21">
        <f>M15/10^in_out_dp</f>
        <v/>
      </c>
      <c r="Q15" s="26">
        <f>N15/10^in_cost_dp</f>
        <v/>
      </c>
      <c r="R15" s="10">
        <f>IF(SUM(D15:K15)=0,1,0)</f>
        <v/>
      </c>
      <c r="S15" s="10">
        <f>SUMPRODUCT($C$12:$C$267*(($M$12:$M$267=M15)*($N$12:$N$267&lt;N15)+($M$12:$M$267&gt;M15)*($N$12:$N$267&lt;=N15)))</f>
        <v/>
      </c>
      <c r="T15" s="10">
        <f>IF(C15=0,0,IF(OR(R15=1,S15=0),1,0))</f>
        <v/>
      </c>
      <c r="U15" s="10">
        <f>IF(AND(T15=1,R15=0,M15&gt;0),1,0)</f>
        <v/>
      </c>
      <c r="V15" s="30">
        <f>IF(U15=1,MAX(N15/M15,SUMPRODUCT(MAX(((N15-$N$12:$N$267)*($U$12:$U$267*($M$12:$M$267&lt;M15)))/((M15-$M$12:$M$267)*($U$12:$U$267*($M$12:$M$267&lt;M15))+1-($U$12:$U$267*($M$12:$M$267&lt;M15)))-(1-($U$12:$U$267*($M$12:$M$267&lt;M15)))*1E+300))),0)</f>
        <v/>
      </c>
      <c r="W15" s="30">
        <f>IF(U15=1,SUMPRODUCT(MIN(((($N$12:$N$267-N15)*($U$12:$U$267*($M$12:$M$267&gt;M15)))/(($M$12:$M$267-M15)*($U$12:$U$267*($M$12:$M$267&gt;M15))+1-($U$12:$U$267*($M$12:$M$267&gt;M15)))+(1-($U$12:$U$267*($M$12:$M$267&gt;M15)))*1E+300))),0)</f>
        <v/>
      </c>
      <c r="X15" s="10">
        <f>IF(C15=0,0,IF(R15=1,1,IF(AND(U15=1,V15&lt;=W15),1,0)))</f>
        <v/>
      </c>
      <c r="Y15" s="10">
        <f>IF(X15=1,1+SUMPRODUCT($X$12:$X$267*(($M$12:$M$267&lt;M15)+($M$12:$M$267=M15)*($A$12:$A$267&lt;A15))),0)</f>
        <v/>
      </c>
      <c r="Z15" s="10">
        <f>IF(Y15&lt;=1,0,SUMPRODUCT(($Y$12:$Y$267=Y15-1)*$M$12:$M$267))</f>
        <v/>
      </c>
      <c r="AA15" s="10">
        <f>IF(Y15&lt;=1,0,SUMPRODUCT(($Y$12:$Y$267=Y15-1)*$N$12:$N$267))</f>
        <v/>
      </c>
      <c r="AB15" s="21">
        <f>IF(Y15=0,"",(M15-Z15)/10^in_out_dp)</f>
        <v/>
      </c>
      <c r="AC15" s="26">
        <f>IF(Y15=0,"",(N15-AA15)/10^in_cost_dp)</f>
        <v/>
      </c>
      <c r="AD15" s="26">
        <f>IF(Y15=0,"",IF(M15=Z15,0,AC15/AB15))</f>
        <v/>
      </c>
      <c r="AE15" s="26">
        <f>IF(AND(C15=1,M15&gt;0),Q15/P15,"n/a")</f>
        <v/>
      </c>
      <c r="AF15" s="15" t="n">
        <v>0</v>
      </c>
      <c r="AG15" s="6">
        <f>IF(AND(C15=1,AF15=1),1+SUMPRODUCT($C$12:$C$267*$AF$12:$AF$267*(($M$12:$M$267&lt;M15)+($M$12:$M$267=M15)*($N$12:$N$267&lt;N15)+($M$12:$M$267=M15)*($N$12:$N$267=N15)*($A$12:$A$267&lt;A15))),0)</f>
        <v/>
      </c>
    </row>
    <row r="16">
      <c r="A16" s="4" t="n">
        <v>5</v>
      </c>
      <c r="B16" s="4" t="inlineStr">
        <is>
          <t>3E</t>
        </is>
      </c>
      <c r="C16" s="10">
        <f>IF(SUMPRODUCT(D16:K16,1-$D$5:$K$5)=0,1,0)</f>
        <v/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6">
        <f>IF(C16=1,1+SUMPRODUCT(D16:K16,$D$9:$K$9),"")</f>
        <v/>
      </c>
      <c r="M16" s="6">
        <f>SUMPRODUCT(D16:K16,$D$6:$K$6)</f>
        <v/>
      </c>
      <c r="N16" s="6">
        <f>SUMPRODUCT(D16:K16,$D$7:$K$7)</f>
        <v/>
      </c>
      <c r="O16" s="25">
        <f>SUMPRODUCT(D16:K16,$D$8:$K$8)</f>
        <v/>
      </c>
      <c r="P16" s="21">
        <f>M16/10^in_out_dp</f>
        <v/>
      </c>
      <c r="Q16" s="26">
        <f>N16/10^in_cost_dp</f>
        <v/>
      </c>
      <c r="R16" s="10">
        <f>IF(SUM(D16:K16)=0,1,0)</f>
        <v/>
      </c>
      <c r="S16" s="10">
        <f>SUMPRODUCT($C$12:$C$267*(($M$12:$M$267=M16)*($N$12:$N$267&lt;N16)+($M$12:$M$267&gt;M16)*($N$12:$N$267&lt;=N16)))</f>
        <v/>
      </c>
      <c r="T16" s="10">
        <f>IF(C16=0,0,IF(OR(R16=1,S16=0),1,0))</f>
        <v/>
      </c>
      <c r="U16" s="10">
        <f>IF(AND(T16=1,R16=0,M16&gt;0),1,0)</f>
        <v/>
      </c>
      <c r="V16" s="30">
        <f>IF(U16=1,MAX(N16/M16,SUMPRODUCT(MAX(((N16-$N$12:$N$267)*($U$12:$U$267*($M$12:$M$267&lt;M16)))/((M16-$M$12:$M$267)*($U$12:$U$267*($M$12:$M$267&lt;M16))+1-($U$12:$U$267*($M$12:$M$267&lt;M16)))-(1-($U$12:$U$267*($M$12:$M$267&lt;M16)))*1E+300))),0)</f>
        <v/>
      </c>
      <c r="W16" s="30">
        <f>IF(U16=1,SUMPRODUCT(MIN(((($N$12:$N$267-N16)*($U$12:$U$267*($M$12:$M$267&gt;M16)))/(($M$12:$M$267-M16)*($U$12:$U$267*($M$12:$M$267&gt;M16))+1-($U$12:$U$267*($M$12:$M$267&gt;M16)))+(1-($U$12:$U$267*($M$12:$M$267&gt;M16)))*1E+300))),0)</f>
        <v/>
      </c>
      <c r="X16" s="10">
        <f>IF(C16=0,0,IF(R16=1,1,IF(AND(U16=1,V16&lt;=W16),1,0)))</f>
        <v/>
      </c>
      <c r="Y16" s="10">
        <f>IF(X16=1,1+SUMPRODUCT($X$12:$X$267*(($M$12:$M$267&lt;M16)+($M$12:$M$267=M16)*($A$12:$A$267&lt;A16))),0)</f>
        <v/>
      </c>
      <c r="Z16" s="10">
        <f>IF(Y16&lt;=1,0,SUMPRODUCT(($Y$12:$Y$267=Y16-1)*$M$12:$M$267))</f>
        <v/>
      </c>
      <c r="AA16" s="10">
        <f>IF(Y16&lt;=1,0,SUMPRODUCT(($Y$12:$Y$267=Y16-1)*$N$12:$N$267))</f>
        <v/>
      </c>
      <c r="AB16" s="21">
        <f>IF(Y16=0,"",(M16-Z16)/10^in_out_dp)</f>
        <v/>
      </c>
      <c r="AC16" s="26">
        <f>IF(Y16=0,"",(N16-AA16)/10^in_cost_dp)</f>
        <v/>
      </c>
      <c r="AD16" s="26">
        <f>IF(Y16=0,"",IF(M16=Z16,0,AC16/AB16))</f>
        <v/>
      </c>
      <c r="AE16" s="26">
        <f>IF(AND(C16=1,M16&gt;0),Q16/P16,"n/a")</f>
        <v/>
      </c>
      <c r="AF16" s="15" t="n">
        <v>1</v>
      </c>
      <c r="AG16" s="6">
        <f>IF(AND(C16=1,AF16=1),1+SUMPRODUCT($C$12:$C$267*$AF$12:$AF$267*(($M$12:$M$267&lt;M16)+($M$12:$M$267=M16)*($N$12:$N$267&lt;N16)+($M$12:$M$267=M16)*($N$12:$N$267=N16)*($A$12:$A$267&lt;A16))),0)</f>
        <v/>
      </c>
    </row>
    <row r="17">
      <c r="A17" s="4" t="n">
        <v>6</v>
      </c>
      <c r="B17" s="4" t="inlineStr">
        <is>
          <t>3E + 19A</t>
        </is>
      </c>
      <c r="C17" s="10">
        <f>IF(SUMPRODUCT(D17:K17,1-$D$5:$K$5)=0,1,0)</f>
        <v/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1</v>
      </c>
      <c r="J17" s="4" t="n">
        <v>0</v>
      </c>
      <c r="K17" s="4" t="n">
        <v>1</v>
      </c>
      <c r="L17" s="6">
        <f>IF(C17=1,1+SUMPRODUCT(D17:K17,$D$9:$K$9),"")</f>
        <v/>
      </c>
      <c r="M17" s="6">
        <f>SUMPRODUCT(D17:K17,$D$6:$K$6)</f>
        <v/>
      </c>
      <c r="N17" s="6">
        <f>SUMPRODUCT(D17:K17,$D$7:$K$7)</f>
        <v/>
      </c>
      <c r="O17" s="25">
        <f>SUMPRODUCT(D17:K17,$D$8:$K$8)</f>
        <v/>
      </c>
      <c r="P17" s="21">
        <f>M17/10^in_out_dp</f>
        <v/>
      </c>
      <c r="Q17" s="26">
        <f>N17/10^in_cost_dp</f>
        <v/>
      </c>
      <c r="R17" s="10">
        <f>IF(SUM(D17:K17)=0,1,0)</f>
        <v/>
      </c>
      <c r="S17" s="10">
        <f>SUMPRODUCT($C$12:$C$267*(($M$12:$M$267=M17)*($N$12:$N$267&lt;N17)+($M$12:$M$267&gt;M17)*($N$12:$N$267&lt;=N17)))</f>
        <v/>
      </c>
      <c r="T17" s="10">
        <f>IF(C17=0,0,IF(OR(R17=1,S17=0),1,0))</f>
        <v/>
      </c>
      <c r="U17" s="10">
        <f>IF(AND(T17=1,R17=0,M17&gt;0),1,0)</f>
        <v/>
      </c>
      <c r="V17" s="30">
        <f>IF(U17=1,MAX(N17/M17,SUMPRODUCT(MAX(((N17-$N$12:$N$267)*($U$12:$U$267*($M$12:$M$267&lt;M17)))/((M17-$M$12:$M$267)*($U$12:$U$267*($M$12:$M$267&lt;M17))+1-($U$12:$U$267*($M$12:$M$267&lt;M17)))-(1-($U$12:$U$267*($M$12:$M$267&lt;M17)))*1E+300))),0)</f>
        <v/>
      </c>
      <c r="W17" s="30">
        <f>IF(U17=1,SUMPRODUCT(MIN(((($N$12:$N$267-N17)*($U$12:$U$267*($M$12:$M$267&gt;M17)))/(($M$12:$M$267-M17)*($U$12:$U$267*($M$12:$M$267&gt;M17))+1-($U$12:$U$267*($M$12:$M$267&gt;M17)))+(1-($U$12:$U$267*($M$12:$M$267&gt;M17)))*1E+300))),0)</f>
        <v/>
      </c>
      <c r="X17" s="10">
        <f>IF(C17=0,0,IF(R17=1,1,IF(AND(U17=1,V17&lt;=W17),1,0)))</f>
        <v/>
      </c>
      <c r="Y17" s="10">
        <f>IF(X17=1,1+SUMPRODUCT($X$12:$X$267*(($M$12:$M$267&lt;M17)+($M$12:$M$267=M17)*($A$12:$A$267&lt;A17))),0)</f>
        <v/>
      </c>
      <c r="Z17" s="10">
        <f>IF(Y17&lt;=1,0,SUMPRODUCT(($Y$12:$Y$267=Y17-1)*$M$12:$M$267))</f>
        <v/>
      </c>
      <c r="AA17" s="10">
        <f>IF(Y17&lt;=1,0,SUMPRODUCT(($Y$12:$Y$267=Y17-1)*$N$12:$N$267))</f>
        <v/>
      </c>
      <c r="AB17" s="21">
        <f>IF(Y17=0,"",(M17-Z17)/10^in_out_dp)</f>
        <v/>
      </c>
      <c r="AC17" s="26">
        <f>IF(Y17=0,"",(N17-AA17)/10^in_cost_dp)</f>
        <v/>
      </c>
      <c r="AD17" s="26">
        <f>IF(Y17=0,"",IF(M17=Z17,0,AC17/AB17))</f>
        <v/>
      </c>
      <c r="AE17" s="26">
        <f>IF(AND(C17=1,M17&gt;0),Q17/P17,"n/a")</f>
        <v/>
      </c>
      <c r="AF17" s="15" t="n">
        <v>0</v>
      </c>
      <c r="AG17" s="6">
        <f>IF(AND(C17=1,AF17=1),1+SUMPRODUCT($C$12:$C$267*$AF$12:$AF$267*(($M$12:$M$267&lt;M17)+($M$12:$M$267=M17)*($N$12:$N$267&lt;N17)+($M$12:$M$267=M17)*($N$12:$N$267=N17)*($A$12:$A$267&lt;A17))),0)</f>
        <v/>
      </c>
    </row>
    <row r="18">
      <c r="A18" s="4" t="n">
        <v>7</v>
      </c>
      <c r="B18" s="4" t="inlineStr">
        <is>
          <t>3E + 3F</t>
        </is>
      </c>
      <c r="C18" s="10">
        <f>IF(SUMPRODUCT(D18:K18,1-$D$5:$K$5)=0,1,0)</f>
        <v/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</v>
      </c>
      <c r="J18" s="4" t="n">
        <v>1</v>
      </c>
      <c r="K18" s="4" t="n">
        <v>0</v>
      </c>
      <c r="L18" s="6">
        <f>IF(C18=1,1+SUMPRODUCT(D18:K18,$D$9:$K$9),"")</f>
        <v/>
      </c>
      <c r="M18" s="6">
        <f>SUMPRODUCT(D18:K18,$D$6:$K$6)</f>
        <v/>
      </c>
      <c r="N18" s="6">
        <f>SUMPRODUCT(D18:K18,$D$7:$K$7)</f>
        <v/>
      </c>
      <c r="O18" s="25">
        <f>SUMPRODUCT(D18:K18,$D$8:$K$8)</f>
        <v/>
      </c>
      <c r="P18" s="21">
        <f>M18/10^in_out_dp</f>
        <v/>
      </c>
      <c r="Q18" s="26">
        <f>N18/10^in_cost_dp</f>
        <v/>
      </c>
      <c r="R18" s="10">
        <f>IF(SUM(D18:K18)=0,1,0)</f>
        <v/>
      </c>
      <c r="S18" s="10">
        <f>SUMPRODUCT($C$12:$C$267*(($M$12:$M$267=M18)*($N$12:$N$267&lt;N18)+($M$12:$M$267&gt;M18)*($N$12:$N$267&lt;=N18)))</f>
        <v/>
      </c>
      <c r="T18" s="10">
        <f>IF(C18=0,0,IF(OR(R18=1,S18=0),1,0))</f>
        <v/>
      </c>
      <c r="U18" s="10">
        <f>IF(AND(T18=1,R18=0,M18&gt;0),1,0)</f>
        <v/>
      </c>
      <c r="V18" s="30">
        <f>IF(U18=1,MAX(N18/M18,SUMPRODUCT(MAX(((N18-$N$12:$N$267)*($U$12:$U$267*($M$12:$M$267&lt;M18)))/((M18-$M$12:$M$267)*($U$12:$U$267*($M$12:$M$267&lt;M18))+1-($U$12:$U$267*($M$12:$M$267&lt;M18)))-(1-($U$12:$U$267*($M$12:$M$267&lt;M18)))*1E+300))),0)</f>
        <v/>
      </c>
      <c r="W18" s="30">
        <f>IF(U18=1,SUMPRODUCT(MIN(((($N$12:$N$267-N18)*($U$12:$U$267*($M$12:$M$267&gt;M18)))/(($M$12:$M$267-M18)*($U$12:$U$267*($M$12:$M$267&gt;M18))+1-($U$12:$U$267*($M$12:$M$267&gt;M18)))+(1-($U$12:$U$267*($M$12:$M$267&gt;M18)))*1E+300))),0)</f>
        <v/>
      </c>
      <c r="X18" s="10">
        <f>IF(C18=0,0,IF(R18=1,1,IF(AND(U18=1,V18&lt;=W18),1,0)))</f>
        <v/>
      </c>
      <c r="Y18" s="10">
        <f>IF(X18=1,1+SUMPRODUCT($X$12:$X$267*(($M$12:$M$267&lt;M18)+($M$12:$M$267=M18)*($A$12:$A$267&lt;A18))),0)</f>
        <v/>
      </c>
      <c r="Z18" s="10">
        <f>IF(Y18&lt;=1,0,SUMPRODUCT(($Y$12:$Y$267=Y18-1)*$M$12:$M$267))</f>
        <v/>
      </c>
      <c r="AA18" s="10">
        <f>IF(Y18&lt;=1,0,SUMPRODUCT(($Y$12:$Y$267=Y18-1)*$N$12:$N$267))</f>
        <v/>
      </c>
      <c r="AB18" s="21">
        <f>IF(Y18=0,"",(M18-Z18)/10^in_out_dp)</f>
        <v/>
      </c>
      <c r="AC18" s="26">
        <f>IF(Y18=0,"",(N18-AA18)/10^in_cost_dp)</f>
        <v/>
      </c>
      <c r="AD18" s="26">
        <f>IF(Y18=0,"",IF(M18=Z18,0,AC18/AB18))</f>
        <v/>
      </c>
      <c r="AE18" s="26">
        <f>IF(AND(C18=1,M18&gt;0),Q18/P18,"n/a")</f>
        <v/>
      </c>
      <c r="AF18" s="15" t="n">
        <v>0</v>
      </c>
      <c r="AG18" s="6">
        <f>IF(AND(C18=1,AF18=1),1+SUMPRODUCT($C$12:$C$267*$AF$12:$AF$267*(($M$12:$M$267&lt;M18)+($M$12:$M$267=M18)*($N$12:$N$267&lt;N18)+($M$12:$M$267=M18)*($N$12:$N$267=N18)*($A$12:$A$267&lt;A18))),0)</f>
        <v/>
      </c>
    </row>
    <row r="19">
      <c r="A19" s="4" t="n">
        <v>8</v>
      </c>
      <c r="B19" s="4" t="inlineStr">
        <is>
          <t>3E + 3F + 19A</t>
        </is>
      </c>
      <c r="C19" s="10">
        <f>IF(SUMPRODUCT(D19:K19,1-$D$5:$K$5)=0,1,0)</f>
        <v/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1</v>
      </c>
      <c r="J19" s="4" t="n">
        <v>1</v>
      </c>
      <c r="K19" s="4" t="n">
        <v>1</v>
      </c>
      <c r="L19" s="6">
        <f>IF(C19=1,1+SUMPRODUCT(D19:K19,$D$9:$K$9),"")</f>
        <v/>
      </c>
      <c r="M19" s="6">
        <f>SUMPRODUCT(D19:K19,$D$6:$K$6)</f>
        <v/>
      </c>
      <c r="N19" s="6">
        <f>SUMPRODUCT(D19:K19,$D$7:$K$7)</f>
        <v/>
      </c>
      <c r="O19" s="25">
        <f>SUMPRODUCT(D19:K19,$D$8:$K$8)</f>
        <v/>
      </c>
      <c r="P19" s="21">
        <f>M19/10^in_out_dp</f>
        <v/>
      </c>
      <c r="Q19" s="26">
        <f>N19/10^in_cost_dp</f>
        <v/>
      </c>
      <c r="R19" s="10">
        <f>IF(SUM(D19:K19)=0,1,0)</f>
        <v/>
      </c>
      <c r="S19" s="10">
        <f>SUMPRODUCT($C$12:$C$267*(($M$12:$M$267=M19)*($N$12:$N$267&lt;N19)+($M$12:$M$267&gt;M19)*($N$12:$N$267&lt;=N19)))</f>
        <v/>
      </c>
      <c r="T19" s="10">
        <f>IF(C19=0,0,IF(OR(R19=1,S19=0),1,0))</f>
        <v/>
      </c>
      <c r="U19" s="10">
        <f>IF(AND(T19=1,R19=0,M19&gt;0),1,0)</f>
        <v/>
      </c>
      <c r="V19" s="30">
        <f>IF(U19=1,MAX(N19/M19,SUMPRODUCT(MAX(((N19-$N$12:$N$267)*($U$12:$U$267*($M$12:$M$267&lt;M19)))/((M19-$M$12:$M$267)*($U$12:$U$267*($M$12:$M$267&lt;M19))+1-($U$12:$U$267*($M$12:$M$267&lt;M19)))-(1-($U$12:$U$267*($M$12:$M$267&lt;M19)))*1E+300))),0)</f>
        <v/>
      </c>
      <c r="W19" s="30">
        <f>IF(U19=1,SUMPRODUCT(MIN(((($N$12:$N$267-N19)*($U$12:$U$267*($M$12:$M$267&gt;M19)))/(($M$12:$M$267-M19)*($U$12:$U$267*($M$12:$M$267&gt;M19))+1-($U$12:$U$267*($M$12:$M$267&gt;M19)))+(1-($U$12:$U$267*($M$12:$M$267&gt;M19)))*1E+300))),0)</f>
        <v/>
      </c>
      <c r="X19" s="10">
        <f>IF(C19=0,0,IF(R19=1,1,IF(AND(U19=1,V19&lt;=W19),1,0)))</f>
        <v/>
      </c>
      <c r="Y19" s="10">
        <f>IF(X19=1,1+SUMPRODUCT($X$12:$X$267*(($M$12:$M$267&lt;M19)+($M$12:$M$267=M19)*($A$12:$A$267&lt;A19))),0)</f>
        <v/>
      </c>
      <c r="Z19" s="10">
        <f>IF(Y19&lt;=1,0,SUMPRODUCT(($Y$12:$Y$267=Y19-1)*$M$12:$M$267))</f>
        <v/>
      </c>
      <c r="AA19" s="10">
        <f>IF(Y19&lt;=1,0,SUMPRODUCT(($Y$12:$Y$267=Y19-1)*$N$12:$N$267))</f>
        <v/>
      </c>
      <c r="AB19" s="21">
        <f>IF(Y19=0,"",(M19-Z19)/10^in_out_dp)</f>
        <v/>
      </c>
      <c r="AC19" s="26">
        <f>IF(Y19=0,"",(N19-AA19)/10^in_cost_dp)</f>
        <v/>
      </c>
      <c r="AD19" s="26">
        <f>IF(Y19=0,"",IF(M19=Z19,0,AC19/AB19))</f>
        <v/>
      </c>
      <c r="AE19" s="26">
        <f>IF(AND(C19=1,M19&gt;0),Q19/P19,"n/a")</f>
        <v/>
      </c>
      <c r="AF19" s="15" t="n">
        <v>0</v>
      </c>
      <c r="AG19" s="6">
        <f>IF(AND(C19=1,AF19=1),1+SUMPRODUCT($C$12:$C$267*$AF$12:$AF$267*(($M$12:$M$267&lt;M19)+($M$12:$M$267=M19)*($N$12:$N$267&lt;N19)+($M$12:$M$267=M19)*($N$12:$N$267=N19)*($A$12:$A$267&lt;A19))),0)</f>
        <v/>
      </c>
    </row>
    <row r="20">
      <c r="A20" s="4" t="n">
        <v>9</v>
      </c>
      <c r="B20" s="4" t="inlineStr">
        <is>
          <t>2B</t>
        </is>
      </c>
      <c r="C20" s="10">
        <f>IF(SUMPRODUCT(D20:K20,1-$D$5:$K$5)=0,1,0)</f>
        <v/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1</v>
      </c>
      <c r="I20" s="4" t="n">
        <v>0</v>
      </c>
      <c r="J20" s="4" t="n">
        <v>0</v>
      </c>
      <c r="K20" s="4" t="n">
        <v>0</v>
      </c>
      <c r="L20" s="6">
        <f>IF(C20=1,1+SUMPRODUCT(D20:K20,$D$9:$K$9),"")</f>
        <v/>
      </c>
      <c r="M20" s="6">
        <f>SUMPRODUCT(D20:K20,$D$6:$K$6)</f>
        <v/>
      </c>
      <c r="N20" s="6">
        <f>SUMPRODUCT(D20:K20,$D$7:$K$7)</f>
        <v/>
      </c>
      <c r="O20" s="25">
        <f>SUMPRODUCT(D20:K20,$D$8:$K$8)</f>
        <v/>
      </c>
      <c r="P20" s="21">
        <f>M20/10^in_out_dp</f>
        <v/>
      </c>
      <c r="Q20" s="26">
        <f>N20/10^in_cost_dp</f>
        <v/>
      </c>
      <c r="R20" s="10">
        <f>IF(SUM(D20:K20)=0,1,0)</f>
        <v/>
      </c>
      <c r="S20" s="10">
        <f>SUMPRODUCT($C$12:$C$267*(($M$12:$M$267=M20)*($N$12:$N$267&lt;N20)+($M$12:$M$267&gt;M20)*($N$12:$N$267&lt;=N20)))</f>
        <v/>
      </c>
      <c r="T20" s="10">
        <f>IF(C20=0,0,IF(OR(R20=1,S20=0),1,0))</f>
        <v/>
      </c>
      <c r="U20" s="10">
        <f>IF(AND(T20=1,R20=0,M20&gt;0),1,0)</f>
        <v/>
      </c>
      <c r="V20" s="30">
        <f>IF(U20=1,MAX(N20/M20,SUMPRODUCT(MAX(((N20-$N$12:$N$267)*($U$12:$U$267*($M$12:$M$267&lt;M20)))/((M20-$M$12:$M$267)*($U$12:$U$267*($M$12:$M$267&lt;M20))+1-($U$12:$U$267*($M$12:$M$267&lt;M20)))-(1-($U$12:$U$267*($M$12:$M$267&lt;M20)))*1E+300))),0)</f>
        <v/>
      </c>
      <c r="W20" s="30">
        <f>IF(U20=1,SUMPRODUCT(MIN(((($N$12:$N$267-N20)*($U$12:$U$267*($M$12:$M$267&gt;M20)))/(($M$12:$M$267-M20)*($U$12:$U$267*($M$12:$M$267&gt;M20))+1-($U$12:$U$267*($M$12:$M$267&gt;M20)))+(1-($U$12:$U$267*($M$12:$M$267&gt;M20)))*1E+300))),0)</f>
        <v/>
      </c>
      <c r="X20" s="10">
        <f>IF(C20=0,0,IF(R20=1,1,IF(AND(U20=1,V20&lt;=W20),1,0)))</f>
        <v/>
      </c>
      <c r="Y20" s="10">
        <f>IF(X20=1,1+SUMPRODUCT($X$12:$X$267*(($M$12:$M$267&lt;M20)+($M$12:$M$267=M20)*($A$12:$A$267&lt;A20))),0)</f>
        <v/>
      </c>
      <c r="Z20" s="10">
        <f>IF(Y20&lt;=1,0,SUMPRODUCT(($Y$12:$Y$267=Y20-1)*$M$12:$M$267))</f>
        <v/>
      </c>
      <c r="AA20" s="10">
        <f>IF(Y20&lt;=1,0,SUMPRODUCT(($Y$12:$Y$267=Y20-1)*$N$12:$N$267))</f>
        <v/>
      </c>
      <c r="AB20" s="21">
        <f>IF(Y20=0,"",(M20-Z20)/10^in_out_dp)</f>
        <v/>
      </c>
      <c r="AC20" s="26">
        <f>IF(Y20=0,"",(N20-AA20)/10^in_cost_dp)</f>
        <v/>
      </c>
      <c r="AD20" s="26">
        <f>IF(Y20=0,"",IF(M20=Z20,0,AC20/AB20))</f>
        <v/>
      </c>
      <c r="AE20" s="26">
        <f>IF(AND(C20=1,M20&gt;0),Q20/P20,"n/a")</f>
        <v/>
      </c>
      <c r="AF20" s="15" t="n">
        <v>0</v>
      </c>
      <c r="AG20" s="6">
        <f>IF(AND(C20=1,AF20=1),1+SUMPRODUCT($C$12:$C$267*$AF$12:$AF$267*(($M$12:$M$267&lt;M20)+($M$12:$M$267=M20)*($N$12:$N$267&lt;N20)+($M$12:$M$267=M20)*($N$12:$N$267=N20)*($A$12:$A$267&lt;A20))),0)</f>
        <v/>
      </c>
    </row>
    <row r="21">
      <c r="A21" s="4" t="n">
        <v>10</v>
      </c>
      <c r="B21" s="4" t="inlineStr">
        <is>
          <t>2B + 19A</t>
        </is>
      </c>
      <c r="C21" s="10">
        <f>IF(SUMPRODUCT(D21:K21,1-$D$5:$K$5)=0,1,0)</f>
        <v/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1</v>
      </c>
      <c r="I21" s="4" t="n">
        <v>0</v>
      </c>
      <c r="J21" s="4" t="n">
        <v>0</v>
      </c>
      <c r="K21" s="4" t="n">
        <v>1</v>
      </c>
      <c r="L21" s="6">
        <f>IF(C21=1,1+SUMPRODUCT(D21:K21,$D$9:$K$9),"")</f>
        <v/>
      </c>
      <c r="M21" s="6">
        <f>SUMPRODUCT(D21:K21,$D$6:$K$6)</f>
        <v/>
      </c>
      <c r="N21" s="6">
        <f>SUMPRODUCT(D21:K21,$D$7:$K$7)</f>
        <v/>
      </c>
      <c r="O21" s="25">
        <f>SUMPRODUCT(D21:K21,$D$8:$K$8)</f>
        <v/>
      </c>
      <c r="P21" s="21">
        <f>M21/10^in_out_dp</f>
        <v/>
      </c>
      <c r="Q21" s="26">
        <f>N21/10^in_cost_dp</f>
        <v/>
      </c>
      <c r="R21" s="10">
        <f>IF(SUM(D21:K21)=0,1,0)</f>
        <v/>
      </c>
      <c r="S21" s="10">
        <f>SUMPRODUCT($C$12:$C$267*(($M$12:$M$267=M21)*($N$12:$N$267&lt;N21)+($M$12:$M$267&gt;M21)*($N$12:$N$267&lt;=N21)))</f>
        <v/>
      </c>
      <c r="T21" s="10">
        <f>IF(C21=0,0,IF(OR(R21=1,S21=0),1,0))</f>
        <v/>
      </c>
      <c r="U21" s="10">
        <f>IF(AND(T21=1,R21=0,M21&gt;0),1,0)</f>
        <v/>
      </c>
      <c r="V21" s="30">
        <f>IF(U21=1,MAX(N21/M21,SUMPRODUCT(MAX(((N21-$N$12:$N$267)*($U$12:$U$267*($M$12:$M$267&lt;M21)))/((M21-$M$12:$M$267)*($U$12:$U$267*($M$12:$M$267&lt;M21))+1-($U$12:$U$267*($M$12:$M$267&lt;M21)))-(1-($U$12:$U$267*($M$12:$M$267&lt;M21)))*1E+300))),0)</f>
        <v/>
      </c>
      <c r="W21" s="30">
        <f>IF(U21=1,SUMPRODUCT(MIN(((($N$12:$N$267-N21)*($U$12:$U$267*($M$12:$M$267&gt;M21)))/(($M$12:$M$267-M21)*($U$12:$U$267*($M$12:$M$267&gt;M21))+1-($U$12:$U$267*($M$12:$M$267&gt;M21)))+(1-($U$12:$U$267*($M$12:$M$267&gt;M21)))*1E+300))),0)</f>
        <v/>
      </c>
      <c r="X21" s="10">
        <f>IF(C21=0,0,IF(R21=1,1,IF(AND(U21=1,V21&lt;=W21),1,0)))</f>
        <v/>
      </c>
      <c r="Y21" s="10">
        <f>IF(X21=1,1+SUMPRODUCT($X$12:$X$267*(($M$12:$M$267&lt;M21)+($M$12:$M$267=M21)*($A$12:$A$267&lt;A21))),0)</f>
        <v/>
      </c>
      <c r="Z21" s="10">
        <f>IF(Y21&lt;=1,0,SUMPRODUCT(($Y$12:$Y$267=Y21-1)*$M$12:$M$267))</f>
        <v/>
      </c>
      <c r="AA21" s="10">
        <f>IF(Y21&lt;=1,0,SUMPRODUCT(($Y$12:$Y$267=Y21-1)*$N$12:$N$267))</f>
        <v/>
      </c>
      <c r="AB21" s="21">
        <f>IF(Y21=0,"",(M21-Z21)/10^in_out_dp)</f>
        <v/>
      </c>
      <c r="AC21" s="26">
        <f>IF(Y21=0,"",(N21-AA21)/10^in_cost_dp)</f>
        <v/>
      </c>
      <c r="AD21" s="26">
        <f>IF(Y21=0,"",IF(M21=Z21,0,AC21/AB21))</f>
        <v/>
      </c>
      <c r="AE21" s="26">
        <f>IF(AND(C21=1,M21&gt;0),Q21/P21,"n/a")</f>
        <v/>
      </c>
      <c r="AF21" s="15" t="n">
        <v>0</v>
      </c>
      <c r="AG21" s="6">
        <f>IF(AND(C21=1,AF21=1),1+SUMPRODUCT($C$12:$C$267*$AF$12:$AF$267*(($M$12:$M$267&lt;M21)+($M$12:$M$267=M21)*($N$12:$N$267&lt;N21)+($M$12:$M$267=M21)*($N$12:$N$267=N21)*($A$12:$A$267&lt;A21))),0)</f>
        <v/>
      </c>
    </row>
    <row r="22">
      <c r="A22" s="4" t="n">
        <v>11</v>
      </c>
      <c r="B22" s="4" t="inlineStr">
        <is>
          <t>2B + 3F</t>
        </is>
      </c>
      <c r="C22" s="10">
        <f>IF(SUMPRODUCT(D22:K22,1-$D$5:$K$5)=0,1,0)</f>
        <v/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1</v>
      </c>
      <c r="I22" s="4" t="n">
        <v>0</v>
      </c>
      <c r="J22" s="4" t="n">
        <v>1</v>
      </c>
      <c r="K22" s="4" t="n">
        <v>0</v>
      </c>
      <c r="L22" s="6">
        <f>IF(C22=1,1+SUMPRODUCT(D22:K22,$D$9:$K$9),"")</f>
        <v/>
      </c>
      <c r="M22" s="6">
        <f>SUMPRODUCT(D22:K22,$D$6:$K$6)</f>
        <v/>
      </c>
      <c r="N22" s="6">
        <f>SUMPRODUCT(D22:K22,$D$7:$K$7)</f>
        <v/>
      </c>
      <c r="O22" s="25">
        <f>SUMPRODUCT(D22:K22,$D$8:$K$8)</f>
        <v/>
      </c>
      <c r="P22" s="21">
        <f>M22/10^in_out_dp</f>
        <v/>
      </c>
      <c r="Q22" s="26">
        <f>N22/10^in_cost_dp</f>
        <v/>
      </c>
      <c r="R22" s="10">
        <f>IF(SUM(D22:K22)=0,1,0)</f>
        <v/>
      </c>
      <c r="S22" s="10">
        <f>SUMPRODUCT($C$12:$C$267*(($M$12:$M$267=M22)*($N$12:$N$267&lt;N22)+($M$12:$M$267&gt;M22)*($N$12:$N$267&lt;=N22)))</f>
        <v/>
      </c>
      <c r="T22" s="10">
        <f>IF(C22=0,0,IF(OR(R22=1,S22=0),1,0))</f>
        <v/>
      </c>
      <c r="U22" s="10">
        <f>IF(AND(T22=1,R22=0,M22&gt;0),1,0)</f>
        <v/>
      </c>
      <c r="V22" s="30">
        <f>IF(U22=1,MAX(N22/M22,SUMPRODUCT(MAX(((N22-$N$12:$N$267)*($U$12:$U$267*($M$12:$M$267&lt;M22)))/((M22-$M$12:$M$267)*($U$12:$U$267*($M$12:$M$267&lt;M22))+1-($U$12:$U$267*($M$12:$M$267&lt;M22)))-(1-($U$12:$U$267*($M$12:$M$267&lt;M22)))*1E+300))),0)</f>
        <v/>
      </c>
      <c r="W22" s="30">
        <f>IF(U22=1,SUMPRODUCT(MIN(((($N$12:$N$267-N22)*($U$12:$U$267*($M$12:$M$267&gt;M22)))/(($M$12:$M$267-M22)*($U$12:$U$267*($M$12:$M$267&gt;M22))+1-($U$12:$U$267*($M$12:$M$267&gt;M22)))+(1-($U$12:$U$267*($M$12:$M$267&gt;M22)))*1E+300))),0)</f>
        <v/>
      </c>
      <c r="X22" s="10">
        <f>IF(C22=0,0,IF(R22=1,1,IF(AND(U22=1,V22&lt;=W22),1,0)))</f>
        <v/>
      </c>
      <c r="Y22" s="10">
        <f>IF(X22=1,1+SUMPRODUCT($X$12:$X$267*(($M$12:$M$267&lt;M22)+($M$12:$M$267=M22)*($A$12:$A$267&lt;A22))),0)</f>
        <v/>
      </c>
      <c r="Z22" s="10">
        <f>IF(Y22&lt;=1,0,SUMPRODUCT(($Y$12:$Y$267=Y22-1)*$M$12:$M$267))</f>
        <v/>
      </c>
      <c r="AA22" s="10">
        <f>IF(Y22&lt;=1,0,SUMPRODUCT(($Y$12:$Y$267=Y22-1)*$N$12:$N$267))</f>
        <v/>
      </c>
      <c r="AB22" s="21">
        <f>IF(Y22=0,"",(M22-Z22)/10^in_out_dp)</f>
        <v/>
      </c>
      <c r="AC22" s="26">
        <f>IF(Y22=0,"",(N22-AA22)/10^in_cost_dp)</f>
        <v/>
      </c>
      <c r="AD22" s="26">
        <f>IF(Y22=0,"",IF(M22=Z22,0,AC22/AB22))</f>
        <v/>
      </c>
      <c r="AE22" s="26">
        <f>IF(AND(C22=1,M22&gt;0),Q22/P22,"n/a")</f>
        <v/>
      </c>
      <c r="AF22" s="15" t="n">
        <v>0</v>
      </c>
      <c r="AG22" s="6">
        <f>IF(AND(C22=1,AF22=1),1+SUMPRODUCT($C$12:$C$267*$AF$12:$AF$267*(($M$12:$M$267&lt;M22)+($M$12:$M$267=M22)*($N$12:$N$267&lt;N22)+($M$12:$M$267=M22)*($N$12:$N$267=N22)*($A$12:$A$267&lt;A22))),0)</f>
        <v/>
      </c>
    </row>
    <row r="23">
      <c r="A23" s="4" t="n">
        <v>12</v>
      </c>
      <c r="B23" s="4" t="inlineStr">
        <is>
          <t>2B + 3F + 19A</t>
        </is>
      </c>
      <c r="C23" s="10">
        <f>IF(SUMPRODUCT(D23:K23,1-$D$5:$K$5)=0,1,0)</f>
        <v/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1</v>
      </c>
      <c r="I23" s="4" t="n">
        <v>0</v>
      </c>
      <c r="J23" s="4" t="n">
        <v>1</v>
      </c>
      <c r="K23" s="4" t="n">
        <v>1</v>
      </c>
      <c r="L23" s="6">
        <f>IF(C23=1,1+SUMPRODUCT(D23:K23,$D$9:$K$9),"")</f>
        <v/>
      </c>
      <c r="M23" s="6">
        <f>SUMPRODUCT(D23:K23,$D$6:$K$6)</f>
        <v/>
      </c>
      <c r="N23" s="6">
        <f>SUMPRODUCT(D23:K23,$D$7:$K$7)</f>
        <v/>
      </c>
      <c r="O23" s="25">
        <f>SUMPRODUCT(D23:K23,$D$8:$K$8)</f>
        <v/>
      </c>
      <c r="P23" s="21">
        <f>M23/10^in_out_dp</f>
        <v/>
      </c>
      <c r="Q23" s="26">
        <f>N23/10^in_cost_dp</f>
        <v/>
      </c>
      <c r="R23" s="10">
        <f>IF(SUM(D23:K23)=0,1,0)</f>
        <v/>
      </c>
      <c r="S23" s="10">
        <f>SUMPRODUCT($C$12:$C$267*(($M$12:$M$267=M23)*($N$12:$N$267&lt;N23)+($M$12:$M$267&gt;M23)*($N$12:$N$267&lt;=N23)))</f>
        <v/>
      </c>
      <c r="T23" s="10">
        <f>IF(C23=0,0,IF(OR(R23=1,S23=0),1,0))</f>
        <v/>
      </c>
      <c r="U23" s="10">
        <f>IF(AND(T23=1,R23=0,M23&gt;0),1,0)</f>
        <v/>
      </c>
      <c r="V23" s="30">
        <f>IF(U23=1,MAX(N23/M23,SUMPRODUCT(MAX(((N23-$N$12:$N$267)*($U$12:$U$267*($M$12:$M$267&lt;M23)))/((M23-$M$12:$M$267)*($U$12:$U$267*($M$12:$M$267&lt;M23))+1-($U$12:$U$267*($M$12:$M$267&lt;M23)))-(1-($U$12:$U$267*($M$12:$M$267&lt;M23)))*1E+300))),0)</f>
        <v/>
      </c>
      <c r="W23" s="30">
        <f>IF(U23=1,SUMPRODUCT(MIN(((($N$12:$N$267-N23)*($U$12:$U$267*($M$12:$M$267&gt;M23)))/(($M$12:$M$267-M23)*($U$12:$U$267*($M$12:$M$267&gt;M23))+1-($U$12:$U$267*($M$12:$M$267&gt;M23)))+(1-($U$12:$U$267*($M$12:$M$267&gt;M23)))*1E+300))),0)</f>
        <v/>
      </c>
      <c r="X23" s="10">
        <f>IF(C23=0,0,IF(R23=1,1,IF(AND(U23=1,V23&lt;=W23),1,0)))</f>
        <v/>
      </c>
      <c r="Y23" s="10">
        <f>IF(X23=1,1+SUMPRODUCT($X$12:$X$267*(($M$12:$M$267&lt;M23)+($M$12:$M$267=M23)*($A$12:$A$267&lt;A23))),0)</f>
        <v/>
      </c>
      <c r="Z23" s="10">
        <f>IF(Y23&lt;=1,0,SUMPRODUCT(($Y$12:$Y$267=Y23-1)*$M$12:$M$267))</f>
        <v/>
      </c>
      <c r="AA23" s="10">
        <f>IF(Y23&lt;=1,0,SUMPRODUCT(($Y$12:$Y$267=Y23-1)*$N$12:$N$267))</f>
        <v/>
      </c>
      <c r="AB23" s="21">
        <f>IF(Y23=0,"",(M23-Z23)/10^in_out_dp)</f>
        <v/>
      </c>
      <c r="AC23" s="26">
        <f>IF(Y23=0,"",(N23-AA23)/10^in_cost_dp)</f>
        <v/>
      </c>
      <c r="AD23" s="26">
        <f>IF(Y23=0,"",IF(M23=Z23,0,AC23/AB23))</f>
        <v/>
      </c>
      <c r="AE23" s="26">
        <f>IF(AND(C23=1,M23&gt;0),Q23/P23,"n/a")</f>
        <v/>
      </c>
      <c r="AF23" s="15" t="n">
        <v>0</v>
      </c>
      <c r="AG23" s="6">
        <f>IF(AND(C23=1,AF23=1),1+SUMPRODUCT($C$12:$C$267*$AF$12:$AF$267*(($M$12:$M$267&lt;M23)+($M$12:$M$267=M23)*($N$12:$N$267&lt;N23)+($M$12:$M$267=M23)*($N$12:$N$267=N23)*($A$12:$A$267&lt;A23))),0)</f>
        <v/>
      </c>
    </row>
    <row r="24">
      <c r="A24" s="4" t="n">
        <v>13</v>
      </c>
      <c r="B24" s="4" t="inlineStr">
        <is>
          <t>2B + 3E</t>
        </is>
      </c>
      <c r="C24" s="10">
        <f>IF(SUMPRODUCT(D24:K24,1-$D$5:$K$5)=0,1,0)</f>
        <v/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1</v>
      </c>
      <c r="I24" s="4" t="n">
        <v>1</v>
      </c>
      <c r="J24" s="4" t="n">
        <v>0</v>
      </c>
      <c r="K24" s="4" t="n">
        <v>0</v>
      </c>
      <c r="L24" s="6">
        <f>IF(C24=1,1+SUMPRODUCT(D24:K24,$D$9:$K$9),"")</f>
        <v/>
      </c>
      <c r="M24" s="6">
        <f>SUMPRODUCT(D24:K24,$D$6:$K$6)</f>
        <v/>
      </c>
      <c r="N24" s="6">
        <f>SUMPRODUCT(D24:K24,$D$7:$K$7)</f>
        <v/>
      </c>
      <c r="O24" s="25">
        <f>SUMPRODUCT(D24:K24,$D$8:$K$8)</f>
        <v/>
      </c>
      <c r="P24" s="21">
        <f>M24/10^in_out_dp</f>
        <v/>
      </c>
      <c r="Q24" s="26">
        <f>N24/10^in_cost_dp</f>
        <v/>
      </c>
      <c r="R24" s="10">
        <f>IF(SUM(D24:K24)=0,1,0)</f>
        <v/>
      </c>
      <c r="S24" s="10">
        <f>SUMPRODUCT($C$12:$C$267*(($M$12:$M$267=M24)*($N$12:$N$267&lt;N24)+($M$12:$M$267&gt;M24)*($N$12:$N$267&lt;=N24)))</f>
        <v/>
      </c>
      <c r="T24" s="10">
        <f>IF(C24=0,0,IF(OR(R24=1,S24=0),1,0))</f>
        <v/>
      </c>
      <c r="U24" s="10">
        <f>IF(AND(T24=1,R24=0,M24&gt;0),1,0)</f>
        <v/>
      </c>
      <c r="V24" s="30">
        <f>IF(U24=1,MAX(N24/M24,SUMPRODUCT(MAX(((N24-$N$12:$N$267)*($U$12:$U$267*($M$12:$M$267&lt;M24)))/((M24-$M$12:$M$267)*($U$12:$U$267*($M$12:$M$267&lt;M24))+1-($U$12:$U$267*($M$12:$M$267&lt;M24)))-(1-($U$12:$U$267*($M$12:$M$267&lt;M24)))*1E+300))),0)</f>
        <v/>
      </c>
      <c r="W24" s="30">
        <f>IF(U24=1,SUMPRODUCT(MIN(((($N$12:$N$267-N24)*($U$12:$U$267*($M$12:$M$267&gt;M24)))/(($M$12:$M$267-M24)*($U$12:$U$267*($M$12:$M$267&gt;M24))+1-($U$12:$U$267*($M$12:$M$267&gt;M24)))+(1-($U$12:$U$267*($M$12:$M$267&gt;M24)))*1E+300))),0)</f>
        <v/>
      </c>
      <c r="X24" s="10">
        <f>IF(C24=0,0,IF(R24=1,1,IF(AND(U24=1,V24&lt;=W24),1,0)))</f>
        <v/>
      </c>
      <c r="Y24" s="10">
        <f>IF(X24=1,1+SUMPRODUCT($X$12:$X$267*(($M$12:$M$267&lt;M24)+($M$12:$M$267=M24)*($A$12:$A$267&lt;A24))),0)</f>
        <v/>
      </c>
      <c r="Z24" s="10">
        <f>IF(Y24&lt;=1,0,SUMPRODUCT(($Y$12:$Y$267=Y24-1)*$M$12:$M$267))</f>
        <v/>
      </c>
      <c r="AA24" s="10">
        <f>IF(Y24&lt;=1,0,SUMPRODUCT(($Y$12:$Y$267=Y24-1)*$N$12:$N$267))</f>
        <v/>
      </c>
      <c r="AB24" s="21">
        <f>IF(Y24=0,"",(M24-Z24)/10^in_out_dp)</f>
        <v/>
      </c>
      <c r="AC24" s="26">
        <f>IF(Y24=0,"",(N24-AA24)/10^in_cost_dp)</f>
        <v/>
      </c>
      <c r="AD24" s="26">
        <f>IF(Y24=0,"",IF(M24=Z24,0,AC24/AB24))</f>
        <v/>
      </c>
      <c r="AE24" s="26">
        <f>IF(AND(C24=1,M24&gt;0),Q24/P24,"n/a")</f>
        <v/>
      </c>
      <c r="AF24" s="15" t="n">
        <v>0</v>
      </c>
      <c r="AG24" s="6">
        <f>IF(AND(C24=1,AF24=1),1+SUMPRODUCT($C$12:$C$267*$AF$12:$AF$267*(($M$12:$M$267&lt;M24)+($M$12:$M$267=M24)*($N$12:$N$267&lt;N24)+($M$12:$M$267=M24)*($N$12:$N$267=N24)*($A$12:$A$267&lt;A24))),0)</f>
        <v/>
      </c>
    </row>
    <row r="25">
      <c r="A25" s="4" t="n">
        <v>14</v>
      </c>
      <c r="B25" s="4" t="inlineStr">
        <is>
          <t>2B + 3E + 19A</t>
        </is>
      </c>
      <c r="C25" s="10">
        <f>IF(SUMPRODUCT(D25:K25,1-$D$5:$K$5)=0,1,0)</f>
        <v/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1</v>
      </c>
      <c r="I25" s="4" t="n">
        <v>1</v>
      </c>
      <c r="J25" s="4" t="n">
        <v>0</v>
      </c>
      <c r="K25" s="4" t="n">
        <v>1</v>
      </c>
      <c r="L25" s="6">
        <f>IF(C25=1,1+SUMPRODUCT(D25:K25,$D$9:$K$9),"")</f>
        <v/>
      </c>
      <c r="M25" s="6">
        <f>SUMPRODUCT(D25:K25,$D$6:$K$6)</f>
        <v/>
      </c>
      <c r="N25" s="6">
        <f>SUMPRODUCT(D25:K25,$D$7:$K$7)</f>
        <v/>
      </c>
      <c r="O25" s="25">
        <f>SUMPRODUCT(D25:K25,$D$8:$K$8)</f>
        <v/>
      </c>
      <c r="P25" s="21">
        <f>M25/10^in_out_dp</f>
        <v/>
      </c>
      <c r="Q25" s="26">
        <f>N25/10^in_cost_dp</f>
        <v/>
      </c>
      <c r="R25" s="10">
        <f>IF(SUM(D25:K25)=0,1,0)</f>
        <v/>
      </c>
      <c r="S25" s="10">
        <f>SUMPRODUCT($C$12:$C$267*(($M$12:$M$267=M25)*($N$12:$N$267&lt;N25)+($M$12:$M$267&gt;M25)*($N$12:$N$267&lt;=N25)))</f>
        <v/>
      </c>
      <c r="T25" s="10">
        <f>IF(C25=0,0,IF(OR(R25=1,S25=0),1,0))</f>
        <v/>
      </c>
      <c r="U25" s="10">
        <f>IF(AND(T25=1,R25=0,M25&gt;0),1,0)</f>
        <v/>
      </c>
      <c r="V25" s="30">
        <f>IF(U25=1,MAX(N25/M25,SUMPRODUCT(MAX(((N25-$N$12:$N$267)*($U$12:$U$267*($M$12:$M$267&lt;M25)))/((M25-$M$12:$M$267)*($U$12:$U$267*($M$12:$M$267&lt;M25))+1-($U$12:$U$267*($M$12:$M$267&lt;M25)))-(1-($U$12:$U$267*($M$12:$M$267&lt;M25)))*1E+300))),0)</f>
        <v/>
      </c>
      <c r="W25" s="30">
        <f>IF(U25=1,SUMPRODUCT(MIN(((($N$12:$N$267-N25)*($U$12:$U$267*($M$12:$M$267&gt;M25)))/(($M$12:$M$267-M25)*($U$12:$U$267*($M$12:$M$267&gt;M25))+1-($U$12:$U$267*($M$12:$M$267&gt;M25)))+(1-($U$12:$U$267*($M$12:$M$267&gt;M25)))*1E+300))),0)</f>
        <v/>
      </c>
      <c r="X25" s="10">
        <f>IF(C25=0,0,IF(R25=1,1,IF(AND(U25=1,V25&lt;=W25),1,0)))</f>
        <v/>
      </c>
      <c r="Y25" s="10">
        <f>IF(X25=1,1+SUMPRODUCT($X$12:$X$267*(($M$12:$M$267&lt;M25)+($M$12:$M$267=M25)*($A$12:$A$267&lt;A25))),0)</f>
        <v/>
      </c>
      <c r="Z25" s="10">
        <f>IF(Y25&lt;=1,0,SUMPRODUCT(($Y$12:$Y$267=Y25-1)*$M$12:$M$267))</f>
        <v/>
      </c>
      <c r="AA25" s="10">
        <f>IF(Y25&lt;=1,0,SUMPRODUCT(($Y$12:$Y$267=Y25-1)*$N$12:$N$267))</f>
        <v/>
      </c>
      <c r="AB25" s="21">
        <f>IF(Y25=0,"",(M25-Z25)/10^in_out_dp)</f>
        <v/>
      </c>
      <c r="AC25" s="26">
        <f>IF(Y25=0,"",(N25-AA25)/10^in_cost_dp)</f>
        <v/>
      </c>
      <c r="AD25" s="26">
        <f>IF(Y25=0,"",IF(M25=Z25,0,AC25/AB25))</f>
        <v/>
      </c>
      <c r="AE25" s="26">
        <f>IF(AND(C25=1,M25&gt;0),Q25/P25,"n/a")</f>
        <v/>
      </c>
      <c r="AF25" s="15" t="n">
        <v>0</v>
      </c>
      <c r="AG25" s="6">
        <f>IF(AND(C25=1,AF25=1),1+SUMPRODUCT($C$12:$C$267*$AF$12:$AF$267*(($M$12:$M$267&lt;M25)+($M$12:$M$267=M25)*($N$12:$N$267&lt;N25)+($M$12:$M$267=M25)*($N$12:$N$267=N25)*($A$12:$A$267&lt;A25))),0)</f>
        <v/>
      </c>
    </row>
    <row r="26">
      <c r="A26" s="4" t="n">
        <v>15</v>
      </c>
      <c r="B26" s="4" t="inlineStr">
        <is>
          <t>2B + 3E + 3F</t>
        </is>
      </c>
      <c r="C26" s="10">
        <f>IF(SUMPRODUCT(D26:K26,1-$D$5:$K$5)=0,1,0)</f>
        <v/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1</v>
      </c>
      <c r="I26" s="4" t="n">
        <v>1</v>
      </c>
      <c r="J26" s="4" t="n">
        <v>1</v>
      </c>
      <c r="K26" s="4" t="n">
        <v>0</v>
      </c>
      <c r="L26" s="6">
        <f>IF(C26=1,1+SUMPRODUCT(D26:K26,$D$9:$K$9),"")</f>
        <v/>
      </c>
      <c r="M26" s="6">
        <f>SUMPRODUCT(D26:K26,$D$6:$K$6)</f>
        <v/>
      </c>
      <c r="N26" s="6">
        <f>SUMPRODUCT(D26:K26,$D$7:$K$7)</f>
        <v/>
      </c>
      <c r="O26" s="25">
        <f>SUMPRODUCT(D26:K26,$D$8:$K$8)</f>
        <v/>
      </c>
      <c r="P26" s="21">
        <f>M26/10^in_out_dp</f>
        <v/>
      </c>
      <c r="Q26" s="26">
        <f>N26/10^in_cost_dp</f>
        <v/>
      </c>
      <c r="R26" s="10">
        <f>IF(SUM(D26:K26)=0,1,0)</f>
        <v/>
      </c>
      <c r="S26" s="10">
        <f>SUMPRODUCT($C$12:$C$267*(($M$12:$M$267=M26)*($N$12:$N$267&lt;N26)+($M$12:$M$267&gt;M26)*($N$12:$N$267&lt;=N26)))</f>
        <v/>
      </c>
      <c r="T26" s="10">
        <f>IF(C26=0,0,IF(OR(R26=1,S26=0),1,0))</f>
        <v/>
      </c>
      <c r="U26" s="10">
        <f>IF(AND(T26=1,R26=0,M26&gt;0),1,0)</f>
        <v/>
      </c>
      <c r="V26" s="30">
        <f>IF(U26=1,MAX(N26/M26,SUMPRODUCT(MAX(((N26-$N$12:$N$267)*($U$12:$U$267*($M$12:$M$267&lt;M26)))/((M26-$M$12:$M$267)*($U$12:$U$267*($M$12:$M$267&lt;M26))+1-($U$12:$U$267*($M$12:$M$267&lt;M26)))-(1-($U$12:$U$267*($M$12:$M$267&lt;M26)))*1E+300))),0)</f>
        <v/>
      </c>
      <c r="W26" s="30">
        <f>IF(U26=1,SUMPRODUCT(MIN(((($N$12:$N$267-N26)*($U$12:$U$267*($M$12:$M$267&gt;M26)))/(($M$12:$M$267-M26)*($U$12:$U$267*($M$12:$M$267&gt;M26))+1-($U$12:$U$267*($M$12:$M$267&gt;M26)))+(1-($U$12:$U$267*($M$12:$M$267&gt;M26)))*1E+300))),0)</f>
        <v/>
      </c>
      <c r="X26" s="10">
        <f>IF(C26=0,0,IF(R26=1,1,IF(AND(U26=1,V26&lt;=W26),1,0)))</f>
        <v/>
      </c>
      <c r="Y26" s="10">
        <f>IF(X26=1,1+SUMPRODUCT($X$12:$X$267*(($M$12:$M$267&lt;M26)+($M$12:$M$267=M26)*($A$12:$A$267&lt;A26))),0)</f>
        <v/>
      </c>
      <c r="Z26" s="10">
        <f>IF(Y26&lt;=1,0,SUMPRODUCT(($Y$12:$Y$267=Y26-1)*$M$12:$M$267))</f>
        <v/>
      </c>
      <c r="AA26" s="10">
        <f>IF(Y26&lt;=1,0,SUMPRODUCT(($Y$12:$Y$267=Y26-1)*$N$12:$N$267))</f>
        <v/>
      </c>
      <c r="AB26" s="21">
        <f>IF(Y26=0,"",(M26-Z26)/10^in_out_dp)</f>
        <v/>
      </c>
      <c r="AC26" s="26">
        <f>IF(Y26=0,"",(N26-AA26)/10^in_cost_dp)</f>
        <v/>
      </c>
      <c r="AD26" s="26">
        <f>IF(Y26=0,"",IF(M26=Z26,0,AC26/AB26))</f>
        <v/>
      </c>
      <c r="AE26" s="26">
        <f>IF(AND(C26=1,M26&gt;0),Q26/P26,"n/a")</f>
        <v/>
      </c>
      <c r="AF26" s="15" t="n">
        <v>0</v>
      </c>
      <c r="AG26" s="6">
        <f>IF(AND(C26=1,AF26=1),1+SUMPRODUCT($C$12:$C$267*$AF$12:$AF$267*(($M$12:$M$267&lt;M26)+($M$12:$M$267=M26)*($N$12:$N$267&lt;N26)+($M$12:$M$267=M26)*($N$12:$N$267=N26)*($A$12:$A$267&lt;A26))),0)</f>
        <v/>
      </c>
    </row>
    <row r="27">
      <c r="A27" s="4" t="n">
        <v>16</v>
      </c>
      <c r="B27" s="4" t="inlineStr">
        <is>
          <t>2B + 3E + 3F + 19A</t>
        </is>
      </c>
      <c r="C27" s="10">
        <f>IF(SUMPRODUCT(D27:K27,1-$D$5:$K$5)=0,1,0)</f>
        <v/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1</v>
      </c>
      <c r="I27" s="4" t="n">
        <v>1</v>
      </c>
      <c r="J27" s="4" t="n">
        <v>1</v>
      </c>
      <c r="K27" s="4" t="n">
        <v>1</v>
      </c>
      <c r="L27" s="6">
        <f>IF(C27=1,1+SUMPRODUCT(D27:K27,$D$9:$K$9),"")</f>
        <v/>
      </c>
      <c r="M27" s="6">
        <f>SUMPRODUCT(D27:K27,$D$6:$K$6)</f>
        <v/>
      </c>
      <c r="N27" s="6">
        <f>SUMPRODUCT(D27:K27,$D$7:$K$7)</f>
        <v/>
      </c>
      <c r="O27" s="25">
        <f>SUMPRODUCT(D27:K27,$D$8:$K$8)</f>
        <v/>
      </c>
      <c r="P27" s="21">
        <f>M27/10^in_out_dp</f>
        <v/>
      </c>
      <c r="Q27" s="26">
        <f>N27/10^in_cost_dp</f>
        <v/>
      </c>
      <c r="R27" s="10">
        <f>IF(SUM(D27:K27)=0,1,0)</f>
        <v/>
      </c>
      <c r="S27" s="10">
        <f>SUMPRODUCT($C$12:$C$267*(($M$12:$M$267=M27)*($N$12:$N$267&lt;N27)+($M$12:$M$267&gt;M27)*($N$12:$N$267&lt;=N27)))</f>
        <v/>
      </c>
      <c r="T27" s="10">
        <f>IF(C27=0,0,IF(OR(R27=1,S27=0),1,0))</f>
        <v/>
      </c>
      <c r="U27" s="10">
        <f>IF(AND(T27=1,R27=0,M27&gt;0),1,0)</f>
        <v/>
      </c>
      <c r="V27" s="30">
        <f>IF(U27=1,MAX(N27/M27,SUMPRODUCT(MAX(((N27-$N$12:$N$267)*($U$12:$U$267*($M$12:$M$267&lt;M27)))/((M27-$M$12:$M$267)*($U$12:$U$267*($M$12:$M$267&lt;M27))+1-($U$12:$U$267*($M$12:$M$267&lt;M27)))-(1-($U$12:$U$267*($M$12:$M$267&lt;M27)))*1E+300))),0)</f>
        <v/>
      </c>
      <c r="W27" s="30">
        <f>IF(U27=1,SUMPRODUCT(MIN(((($N$12:$N$267-N27)*($U$12:$U$267*($M$12:$M$267&gt;M27)))/(($M$12:$M$267-M27)*($U$12:$U$267*($M$12:$M$267&gt;M27))+1-($U$12:$U$267*($M$12:$M$267&gt;M27)))+(1-($U$12:$U$267*($M$12:$M$267&gt;M27)))*1E+300))),0)</f>
        <v/>
      </c>
      <c r="X27" s="10">
        <f>IF(C27=0,0,IF(R27=1,1,IF(AND(U27=1,V27&lt;=W27),1,0)))</f>
        <v/>
      </c>
      <c r="Y27" s="10">
        <f>IF(X27=1,1+SUMPRODUCT($X$12:$X$267*(($M$12:$M$267&lt;M27)+($M$12:$M$267=M27)*($A$12:$A$267&lt;A27))),0)</f>
        <v/>
      </c>
      <c r="Z27" s="10">
        <f>IF(Y27&lt;=1,0,SUMPRODUCT(($Y$12:$Y$267=Y27-1)*$M$12:$M$267))</f>
        <v/>
      </c>
      <c r="AA27" s="10">
        <f>IF(Y27&lt;=1,0,SUMPRODUCT(($Y$12:$Y$267=Y27-1)*$N$12:$N$267))</f>
        <v/>
      </c>
      <c r="AB27" s="21">
        <f>IF(Y27=0,"",(M27-Z27)/10^in_out_dp)</f>
        <v/>
      </c>
      <c r="AC27" s="26">
        <f>IF(Y27=0,"",(N27-AA27)/10^in_cost_dp)</f>
        <v/>
      </c>
      <c r="AD27" s="26">
        <f>IF(Y27=0,"",IF(M27=Z27,0,AC27/AB27))</f>
        <v/>
      </c>
      <c r="AE27" s="26">
        <f>IF(AND(C27=1,M27&gt;0),Q27/P27,"n/a")</f>
        <v/>
      </c>
      <c r="AF27" s="15" t="n">
        <v>0</v>
      </c>
      <c r="AG27" s="6">
        <f>IF(AND(C27=1,AF27=1),1+SUMPRODUCT($C$12:$C$267*$AF$12:$AF$267*(($M$12:$M$267&lt;M27)+($M$12:$M$267=M27)*($N$12:$N$267&lt;N27)+($M$12:$M$267=M27)*($N$12:$N$267=N27)*($A$12:$A$267&lt;A27))),0)</f>
        <v/>
      </c>
    </row>
    <row r="28">
      <c r="A28" s="4" t="n">
        <v>17</v>
      </c>
      <c r="B28" s="4" t="inlineStr">
        <is>
          <t>2A</t>
        </is>
      </c>
      <c r="C28" s="10">
        <f>IF(SUMPRODUCT(D28:K28,1-$D$5:$K$5)=0,1,0)</f>
        <v/>
      </c>
      <c r="D28" s="4" t="n">
        <v>0</v>
      </c>
      <c r="E28" s="4" t="n">
        <v>0</v>
      </c>
      <c r="F28" s="4" t="n">
        <v>0</v>
      </c>
      <c r="G28" s="4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6">
        <f>IF(C28=1,1+SUMPRODUCT(D28:K28,$D$9:$K$9),"")</f>
        <v/>
      </c>
      <c r="M28" s="6">
        <f>SUMPRODUCT(D28:K28,$D$6:$K$6)</f>
        <v/>
      </c>
      <c r="N28" s="6">
        <f>SUMPRODUCT(D28:K28,$D$7:$K$7)</f>
        <v/>
      </c>
      <c r="O28" s="25">
        <f>SUMPRODUCT(D28:K28,$D$8:$K$8)</f>
        <v/>
      </c>
      <c r="P28" s="21">
        <f>M28/10^in_out_dp</f>
        <v/>
      </c>
      <c r="Q28" s="26">
        <f>N28/10^in_cost_dp</f>
        <v/>
      </c>
      <c r="R28" s="10">
        <f>IF(SUM(D28:K28)=0,1,0)</f>
        <v/>
      </c>
      <c r="S28" s="10">
        <f>SUMPRODUCT($C$12:$C$267*(($M$12:$M$267=M28)*($N$12:$N$267&lt;N28)+($M$12:$M$267&gt;M28)*($N$12:$N$267&lt;=N28)))</f>
        <v/>
      </c>
      <c r="T28" s="10">
        <f>IF(C28=0,0,IF(OR(R28=1,S28=0),1,0))</f>
        <v/>
      </c>
      <c r="U28" s="10">
        <f>IF(AND(T28=1,R28=0,M28&gt;0),1,0)</f>
        <v/>
      </c>
      <c r="V28" s="30">
        <f>IF(U28=1,MAX(N28/M28,SUMPRODUCT(MAX(((N28-$N$12:$N$267)*($U$12:$U$267*($M$12:$M$267&lt;M28)))/((M28-$M$12:$M$267)*($U$12:$U$267*($M$12:$M$267&lt;M28))+1-($U$12:$U$267*($M$12:$M$267&lt;M28)))-(1-($U$12:$U$267*($M$12:$M$267&lt;M28)))*1E+300))),0)</f>
        <v/>
      </c>
      <c r="W28" s="30">
        <f>IF(U28=1,SUMPRODUCT(MIN(((($N$12:$N$267-N28)*($U$12:$U$267*($M$12:$M$267&gt;M28)))/(($M$12:$M$267-M28)*($U$12:$U$267*($M$12:$M$267&gt;M28))+1-($U$12:$U$267*($M$12:$M$267&gt;M28)))+(1-($U$12:$U$267*($M$12:$M$267&gt;M28)))*1E+300))),0)</f>
        <v/>
      </c>
      <c r="X28" s="10">
        <f>IF(C28=0,0,IF(R28=1,1,IF(AND(U28=1,V28&lt;=W28),1,0)))</f>
        <v/>
      </c>
      <c r="Y28" s="10">
        <f>IF(X28=1,1+SUMPRODUCT($X$12:$X$267*(($M$12:$M$267&lt;M28)+($M$12:$M$267=M28)*($A$12:$A$267&lt;A28))),0)</f>
        <v/>
      </c>
      <c r="Z28" s="10">
        <f>IF(Y28&lt;=1,0,SUMPRODUCT(($Y$12:$Y$267=Y28-1)*$M$12:$M$267))</f>
        <v/>
      </c>
      <c r="AA28" s="10">
        <f>IF(Y28&lt;=1,0,SUMPRODUCT(($Y$12:$Y$267=Y28-1)*$N$12:$N$267))</f>
        <v/>
      </c>
      <c r="AB28" s="21">
        <f>IF(Y28=0,"",(M28-Z28)/10^in_out_dp)</f>
        <v/>
      </c>
      <c r="AC28" s="26">
        <f>IF(Y28=0,"",(N28-AA28)/10^in_cost_dp)</f>
        <v/>
      </c>
      <c r="AD28" s="26">
        <f>IF(Y28=0,"",IF(M28=Z28,0,AC28/AB28))</f>
        <v/>
      </c>
      <c r="AE28" s="26">
        <f>IF(AND(C28=1,M28&gt;0),Q28/P28,"n/a")</f>
        <v/>
      </c>
      <c r="AF28" s="15" t="n">
        <v>0</v>
      </c>
      <c r="AG28" s="6">
        <f>IF(AND(C28=1,AF28=1),1+SUMPRODUCT($C$12:$C$267*$AF$12:$AF$267*(($M$12:$M$267&lt;M28)+($M$12:$M$267=M28)*($N$12:$N$267&lt;N28)+($M$12:$M$267=M28)*($N$12:$N$267=N28)*($A$12:$A$267&lt;A28))),0)</f>
        <v/>
      </c>
    </row>
    <row r="29">
      <c r="A29" s="4" t="n">
        <v>18</v>
      </c>
      <c r="B29" s="4" t="inlineStr">
        <is>
          <t>2A + 19A</t>
        </is>
      </c>
      <c r="C29" s="10">
        <f>IF(SUMPRODUCT(D29:K29,1-$D$5:$K$5)=0,1,0)</f>
        <v/>
      </c>
      <c r="D29" s="4" t="n">
        <v>0</v>
      </c>
      <c r="E29" s="4" t="n">
        <v>0</v>
      </c>
      <c r="F29" s="4" t="n">
        <v>0</v>
      </c>
      <c r="G29" s="4" t="n">
        <v>1</v>
      </c>
      <c r="H29" s="4" t="n">
        <v>0</v>
      </c>
      <c r="I29" s="4" t="n">
        <v>0</v>
      </c>
      <c r="J29" s="4" t="n">
        <v>0</v>
      </c>
      <c r="K29" s="4" t="n">
        <v>1</v>
      </c>
      <c r="L29" s="6">
        <f>IF(C29=1,1+SUMPRODUCT(D29:K29,$D$9:$K$9),"")</f>
        <v/>
      </c>
      <c r="M29" s="6">
        <f>SUMPRODUCT(D29:K29,$D$6:$K$6)</f>
        <v/>
      </c>
      <c r="N29" s="6">
        <f>SUMPRODUCT(D29:K29,$D$7:$K$7)</f>
        <v/>
      </c>
      <c r="O29" s="25">
        <f>SUMPRODUCT(D29:K29,$D$8:$K$8)</f>
        <v/>
      </c>
      <c r="P29" s="21">
        <f>M29/10^in_out_dp</f>
        <v/>
      </c>
      <c r="Q29" s="26">
        <f>N29/10^in_cost_dp</f>
        <v/>
      </c>
      <c r="R29" s="10">
        <f>IF(SUM(D29:K29)=0,1,0)</f>
        <v/>
      </c>
      <c r="S29" s="10">
        <f>SUMPRODUCT($C$12:$C$267*(($M$12:$M$267=M29)*($N$12:$N$267&lt;N29)+($M$12:$M$267&gt;M29)*($N$12:$N$267&lt;=N29)))</f>
        <v/>
      </c>
      <c r="T29" s="10">
        <f>IF(C29=0,0,IF(OR(R29=1,S29=0),1,0))</f>
        <v/>
      </c>
      <c r="U29" s="10">
        <f>IF(AND(T29=1,R29=0,M29&gt;0),1,0)</f>
        <v/>
      </c>
      <c r="V29" s="30">
        <f>IF(U29=1,MAX(N29/M29,SUMPRODUCT(MAX(((N29-$N$12:$N$267)*($U$12:$U$267*($M$12:$M$267&lt;M29)))/((M29-$M$12:$M$267)*($U$12:$U$267*($M$12:$M$267&lt;M29))+1-($U$12:$U$267*($M$12:$M$267&lt;M29)))-(1-($U$12:$U$267*($M$12:$M$267&lt;M29)))*1E+300))),0)</f>
        <v/>
      </c>
      <c r="W29" s="30">
        <f>IF(U29=1,SUMPRODUCT(MIN(((($N$12:$N$267-N29)*($U$12:$U$267*($M$12:$M$267&gt;M29)))/(($M$12:$M$267-M29)*($U$12:$U$267*($M$12:$M$267&gt;M29))+1-($U$12:$U$267*($M$12:$M$267&gt;M29)))+(1-($U$12:$U$267*($M$12:$M$267&gt;M29)))*1E+300))),0)</f>
        <v/>
      </c>
      <c r="X29" s="10">
        <f>IF(C29=0,0,IF(R29=1,1,IF(AND(U29=1,V29&lt;=W29),1,0)))</f>
        <v/>
      </c>
      <c r="Y29" s="10">
        <f>IF(X29=1,1+SUMPRODUCT($X$12:$X$267*(($M$12:$M$267&lt;M29)+($M$12:$M$267=M29)*($A$12:$A$267&lt;A29))),0)</f>
        <v/>
      </c>
      <c r="Z29" s="10">
        <f>IF(Y29&lt;=1,0,SUMPRODUCT(($Y$12:$Y$267=Y29-1)*$M$12:$M$267))</f>
        <v/>
      </c>
      <c r="AA29" s="10">
        <f>IF(Y29&lt;=1,0,SUMPRODUCT(($Y$12:$Y$267=Y29-1)*$N$12:$N$267))</f>
        <v/>
      </c>
      <c r="AB29" s="21">
        <f>IF(Y29=0,"",(M29-Z29)/10^in_out_dp)</f>
        <v/>
      </c>
      <c r="AC29" s="26">
        <f>IF(Y29=0,"",(N29-AA29)/10^in_cost_dp)</f>
        <v/>
      </c>
      <c r="AD29" s="26">
        <f>IF(Y29=0,"",IF(M29=Z29,0,AC29/AB29))</f>
        <v/>
      </c>
      <c r="AE29" s="26">
        <f>IF(AND(C29=1,M29&gt;0),Q29/P29,"n/a")</f>
        <v/>
      </c>
      <c r="AF29" s="15" t="n">
        <v>0</v>
      </c>
      <c r="AG29" s="6">
        <f>IF(AND(C29=1,AF29=1),1+SUMPRODUCT($C$12:$C$267*$AF$12:$AF$267*(($M$12:$M$267&lt;M29)+($M$12:$M$267=M29)*($N$12:$N$267&lt;N29)+($M$12:$M$267=M29)*($N$12:$N$267=N29)*($A$12:$A$267&lt;A29))),0)</f>
        <v/>
      </c>
    </row>
    <row r="30">
      <c r="A30" s="4" t="n">
        <v>19</v>
      </c>
      <c r="B30" s="4" t="inlineStr">
        <is>
          <t>2A + 3F</t>
        </is>
      </c>
      <c r="C30" s="10">
        <f>IF(SUMPRODUCT(D30:K30,1-$D$5:$K$5)=0,1,0)</f>
        <v/>
      </c>
      <c r="D30" s="4" t="n">
        <v>0</v>
      </c>
      <c r="E30" s="4" t="n">
        <v>0</v>
      </c>
      <c r="F30" s="4" t="n">
        <v>0</v>
      </c>
      <c r="G30" s="4" t="n">
        <v>1</v>
      </c>
      <c r="H30" s="4" t="n">
        <v>0</v>
      </c>
      <c r="I30" s="4" t="n">
        <v>0</v>
      </c>
      <c r="J30" s="4" t="n">
        <v>1</v>
      </c>
      <c r="K30" s="4" t="n">
        <v>0</v>
      </c>
      <c r="L30" s="6">
        <f>IF(C30=1,1+SUMPRODUCT(D30:K30,$D$9:$K$9),"")</f>
        <v/>
      </c>
      <c r="M30" s="6">
        <f>SUMPRODUCT(D30:K30,$D$6:$K$6)</f>
        <v/>
      </c>
      <c r="N30" s="6">
        <f>SUMPRODUCT(D30:K30,$D$7:$K$7)</f>
        <v/>
      </c>
      <c r="O30" s="25">
        <f>SUMPRODUCT(D30:K30,$D$8:$K$8)</f>
        <v/>
      </c>
      <c r="P30" s="21">
        <f>M30/10^in_out_dp</f>
        <v/>
      </c>
      <c r="Q30" s="26">
        <f>N30/10^in_cost_dp</f>
        <v/>
      </c>
      <c r="R30" s="10">
        <f>IF(SUM(D30:K30)=0,1,0)</f>
        <v/>
      </c>
      <c r="S30" s="10">
        <f>SUMPRODUCT($C$12:$C$267*(($M$12:$M$267=M30)*($N$12:$N$267&lt;N30)+($M$12:$M$267&gt;M30)*($N$12:$N$267&lt;=N30)))</f>
        <v/>
      </c>
      <c r="T30" s="10">
        <f>IF(C30=0,0,IF(OR(R30=1,S30=0),1,0))</f>
        <v/>
      </c>
      <c r="U30" s="10">
        <f>IF(AND(T30=1,R30=0,M30&gt;0),1,0)</f>
        <v/>
      </c>
      <c r="V30" s="30">
        <f>IF(U30=1,MAX(N30/M30,SUMPRODUCT(MAX(((N30-$N$12:$N$267)*($U$12:$U$267*($M$12:$M$267&lt;M30)))/((M30-$M$12:$M$267)*($U$12:$U$267*($M$12:$M$267&lt;M30))+1-($U$12:$U$267*($M$12:$M$267&lt;M30)))-(1-($U$12:$U$267*($M$12:$M$267&lt;M30)))*1E+300))),0)</f>
        <v/>
      </c>
      <c r="W30" s="30">
        <f>IF(U30=1,SUMPRODUCT(MIN(((($N$12:$N$267-N30)*($U$12:$U$267*($M$12:$M$267&gt;M30)))/(($M$12:$M$267-M30)*($U$12:$U$267*($M$12:$M$267&gt;M30))+1-($U$12:$U$267*($M$12:$M$267&gt;M30)))+(1-($U$12:$U$267*($M$12:$M$267&gt;M30)))*1E+300))),0)</f>
        <v/>
      </c>
      <c r="X30" s="10">
        <f>IF(C30=0,0,IF(R30=1,1,IF(AND(U30=1,V30&lt;=W30),1,0)))</f>
        <v/>
      </c>
      <c r="Y30" s="10">
        <f>IF(X30=1,1+SUMPRODUCT($X$12:$X$267*(($M$12:$M$267&lt;M30)+($M$12:$M$267=M30)*($A$12:$A$267&lt;A30))),0)</f>
        <v/>
      </c>
      <c r="Z30" s="10">
        <f>IF(Y30&lt;=1,0,SUMPRODUCT(($Y$12:$Y$267=Y30-1)*$M$12:$M$267))</f>
        <v/>
      </c>
      <c r="AA30" s="10">
        <f>IF(Y30&lt;=1,0,SUMPRODUCT(($Y$12:$Y$267=Y30-1)*$N$12:$N$267))</f>
        <v/>
      </c>
      <c r="AB30" s="21">
        <f>IF(Y30=0,"",(M30-Z30)/10^in_out_dp)</f>
        <v/>
      </c>
      <c r="AC30" s="26">
        <f>IF(Y30=0,"",(N30-AA30)/10^in_cost_dp)</f>
        <v/>
      </c>
      <c r="AD30" s="26">
        <f>IF(Y30=0,"",IF(M30=Z30,0,AC30/AB30))</f>
        <v/>
      </c>
      <c r="AE30" s="26">
        <f>IF(AND(C30=1,M30&gt;0),Q30/P30,"n/a")</f>
        <v/>
      </c>
      <c r="AF30" s="15" t="n">
        <v>0</v>
      </c>
      <c r="AG30" s="6">
        <f>IF(AND(C30=1,AF30=1),1+SUMPRODUCT($C$12:$C$267*$AF$12:$AF$267*(($M$12:$M$267&lt;M30)+($M$12:$M$267=M30)*($N$12:$N$267&lt;N30)+($M$12:$M$267=M30)*($N$12:$N$267=N30)*($A$12:$A$267&lt;A30))),0)</f>
        <v/>
      </c>
    </row>
    <row r="31">
      <c r="A31" s="4" t="n">
        <v>20</v>
      </c>
      <c r="B31" s="4" t="inlineStr">
        <is>
          <t>2A + 3F + 19A</t>
        </is>
      </c>
      <c r="C31" s="10">
        <f>IF(SUMPRODUCT(D31:K31,1-$D$5:$K$5)=0,1,0)</f>
        <v/>
      </c>
      <c r="D31" s="4" t="n">
        <v>0</v>
      </c>
      <c r="E31" s="4" t="n">
        <v>0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1</v>
      </c>
      <c r="K31" s="4" t="n">
        <v>1</v>
      </c>
      <c r="L31" s="6">
        <f>IF(C31=1,1+SUMPRODUCT(D31:K31,$D$9:$K$9),"")</f>
        <v/>
      </c>
      <c r="M31" s="6">
        <f>SUMPRODUCT(D31:K31,$D$6:$K$6)</f>
        <v/>
      </c>
      <c r="N31" s="6">
        <f>SUMPRODUCT(D31:K31,$D$7:$K$7)</f>
        <v/>
      </c>
      <c r="O31" s="25">
        <f>SUMPRODUCT(D31:K31,$D$8:$K$8)</f>
        <v/>
      </c>
      <c r="P31" s="21">
        <f>M31/10^in_out_dp</f>
        <v/>
      </c>
      <c r="Q31" s="26">
        <f>N31/10^in_cost_dp</f>
        <v/>
      </c>
      <c r="R31" s="10">
        <f>IF(SUM(D31:K31)=0,1,0)</f>
        <v/>
      </c>
      <c r="S31" s="10">
        <f>SUMPRODUCT($C$12:$C$267*(($M$12:$M$267=M31)*($N$12:$N$267&lt;N31)+($M$12:$M$267&gt;M31)*($N$12:$N$267&lt;=N31)))</f>
        <v/>
      </c>
      <c r="T31" s="10">
        <f>IF(C31=0,0,IF(OR(R31=1,S31=0),1,0))</f>
        <v/>
      </c>
      <c r="U31" s="10">
        <f>IF(AND(T31=1,R31=0,M31&gt;0),1,0)</f>
        <v/>
      </c>
      <c r="V31" s="30">
        <f>IF(U31=1,MAX(N31/M31,SUMPRODUCT(MAX(((N31-$N$12:$N$267)*($U$12:$U$267*($M$12:$M$267&lt;M31)))/((M31-$M$12:$M$267)*($U$12:$U$267*($M$12:$M$267&lt;M31))+1-($U$12:$U$267*($M$12:$M$267&lt;M31)))-(1-($U$12:$U$267*($M$12:$M$267&lt;M31)))*1E+300))),0)</f>
        <v/>
      </c>
      <c r="W31" s="30">
        <f>IF(U31=1,SUMPRODUCT(MIN(((($N$12:$N$267-N31)*($U$12:$U$267*($M$12:$M$267&gt;M31)))/(($M$12:$M$267-M31)*($U$12:$U$267*($M$12:$M$267&gt;M31))+1-($U$12:$U$267*($M$12:$M$267&gt;M31)))+(1-($U$12:$U$267*($M$12:$M$267&gt;M31)))*1E+300))),0)</f>
        <v/>
      </c>
      <c r="X31" s="10">
        <f>IF(C31=0,0,IF(R31=1,1,IF(AND(U31=1,V31&lt;=W31),1,0)))</f>
        <v/>
      </c>
      <c r="Y31" s="10">
        <f>IF(X31=1,1+SUMPRODUCT($X$12:$X$267*(($M$12:$M$267&lt;M31)+($M$12:$M$267=M31)*($A$12:$A$267&lt;A31))),0)</f>
        <v/>
      </c>
      <c r="Z31" s="10">
        <f>IF(Y31&lt;=1,0,SUMPRODUCT(($Y$12:$Y$267=Y31-1)*$M$12:$M$267))</f>
        <v/>
      </c>
      <c r="AA31" s="10">
        <f>IF(Y31&lt;=1,0,SUMPRODUCT(($Y$12:$Y$267=Y31-1)*$N$12:$N$267))</f>
        <v/>
      </c>
      <c r="AB31" s="21">
        <f>IF(Y31=0,"",(M31-Z31)/10^in_out_dp)</f>
        <v/>
      </c>
      <c r="AC31" s="26">
        <f>IF(Y31=0,"",(N31-AA31)/10^in_cost_dp)</f>
        <v/>
      </c>
      <c r="AD31" s="26">
        <f>IF(Y31=0,"",IF(M31=Z31,0,AC31/AB31))</f>
        <v/>
      </c>
      <c r="AE31" s="26">
        <f>IF(AND(C31=1,M31&gt;0),Q31/P31,"n/a")</f>
        <v/>
      </c>
      <c r="AF31" s="15" t="n">
        <v>0</v>
      </c>
      <c r="AG31" s="6">
        <f>IF(AND(C31=1,AF31=1),1+SUMPRODUCT($C$12:$C$267*$AF$12:$AF$267*(($M$12:$M$267&lt;M31)+($M$12:$M$267=M31)*($N$12:$N$267&lt;N31)+($M$12:$M$267=M31)*($N$12:$N$267=N31)*($A$12:$A$267&lt;A31))),0)</f>
        <v/>
      </c>
    </row>
    <row r="32">
      <c r="A32" s="4" t="n">
        <v>21</v>
      </c>
      <c r="B32" s="4" t="inlineStr">
        <is>
          <t>2A + 3E</t>
        </is>
      </c>
      <c r="C32" s="10">
        <f>IF(SUMPRODUCT(D32:K32,1-$D$5:$K$5)=0,1,0)</f>
        <v/>
      </c>
      <c r="D32" s="4" t="n">
        <v>0</v>
      </c>
      <c r="E32" s="4" t="n">
        <v>0</v>
      </c>
      <c r="F32" s="4" t="n">
        <v>0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0</v>
      </c>
      <c r="L32" s="6">
        <f>IF(C32=1,1+SUMPRODUCT(D32:K32,$D$9:$K$9),"")</f>
        <v/>
      </c>
      <c r="M32" s="6">
        <f>SUMPRODUCT(D32:K32,$D$6:$K$6)</f>
        <v/>
      </c>
      <c r="N32" s="6">
        <f>SUMPRODUCT(D32:K32,$D$7:$K$7)</f>
        <v/>
      </c>
      <c r="O32" s="25">
        <f>SUMPRODUCT(D32:K32,$D$8:$K$8)</f>
        <v/>
      </c>
      <c r="P32" s="21">
        <f>M32/10^in_out_dp</f>
        <v/>
      </c>
      <c r="Q32" s="26">
        <f>N32/10^in_cost_dp</f>
        <v/>
      </c>
      <c r="R32" s="10">
        <f>IF(SUM(D32:K32)=0,1,0)</f>
        <v/>
      </c>
      <c r="S32" s="10">
        <f>SUMPRODUCT($C$12:$C$267*(($M$12:$M$267=M32)*($N$12:$N$267&lt;N32)+($M$12:$M$267&gt;M32)*($N$12:$N$267&lt;=N32)))</f>
        <v/>
      </c>
      <c r="T32" s="10">
        <f>IF(C32=0,0,IF(OR(R32=1,S32=0),1,0))</f>
        <v/>
      </c>
      <c r="U32" s="10">
        <f>IF(AND(T32=1,R32=0,M32&gt;0),1,0)</f>
        <v/>
      </c>
      <c r="V32" s="30">
        <f>IF(U32=1,MAX(N32/M32,SUMPRODUCT(MAX(((N32-$N$12:$N$267)*($U$12:$U$267*($M$12:$M$267&lt;M32)))/((M32-$M$12:$M$267)*($U$12:$U$267*($M$12:$M$267&lt;M32))+1-($U$12:$U$267*($M$12:$M$267&lt;M32)))-(1-($U$12:$U$267*($M$12:$M$267&lt;M32)))*1E+300))),0)</f>
        <v/>
      </c>
      <c r="W32" s="30">
        <f>IF(U32=1,SUMPRODUCT(MIN(((($N$12:$N$267-N32)*($U$12:$U$267*($M$12:$M$267&gt;M32)))/(($M$12:$M$267-M32)*($U$12:$U$267*($M$12:$M$267&gt;M32))+1-($U$12:$U$267*($M$12:$M$267&gt;M32)))+(1-($U$12:$U$267*($M$12:$M$267&gt;M32)))*1E+300))),0)</f>
        <v/>
      </c>
      <c r="X32" s="10">
        <f>IF(C32=0,0,IF(R32=1,1,IF(AND(U32=1,V32&lt;=W32),1,0)))</f>
        <v/>
      </c>
      <c r="Y32" s="10">
        <f>IF(X32=1,1+SUMPRODUCT($X$12:$X$267*(($M$12:$M$267&lt;M32)+($M$12:$M$267=M32)*($A$12:$A$267&lt;A32))),0)</f>
        <v/>
      </c>
      <c r="Z32" s="10">
        <f>IF(Y32&lt;=1,0,SUMPRODUCT(($Y$12:$Y$267=Y32-1)*$M$12:$M$267))</f>
        <v/>
      </c>
      <c r="AA32" s="10">
        <f>IF(Y32&lt;=1,0,SUMPRODUCT(($Y$12:$Y$267=Y32-1)*$N$12:$N$267))</f>
        <v/>
      </c>
      <c r="AB32" s="21">
        <f>IF(Y32=0,"",(M32-Z32)/10^in_out_dp)</f>
        <v/>
      </c>
      <c r="AC32" s="26">
        <f>IF(Y32=0,"",(N32-AA32)/10^in_cost_dp)</f>
        <v/>
      </c>
      <c r="AD32" s="26">
        <f>IF(Y32=0,"",IF(M32=Z32,0,AC32/AB32))</f>
        <v/>
      </c>
      <c r="AE32" s="26">
        <f>IF(AND(C32=1,M32&gt;0),Q32/P32,"n/a")</f>
        <v/>
      </c>
      <c r="AF32" s="15" t="n">
        <v>0</v>
      </c>
      <c r="AG32" s="6">
        <f>IF(AND(C32=1,AF32=1),1+SUMPRODUCT($C$12:$C$267*$AF$12:$AF$267*(($M$12:$M$267&lt;M32)+($M$12:$M$267=M32)*($N$12:$N$267&lt;N32)+($M$12:$M$267=M32)*($N$12:$N$267=N32)*($A$12:$A$267&lt;A32))),0)</f>
        <v/>
      </c>
    </row>
    <row r="33">
      <c r="A33" s="4" t="n">
        <v>22</v>
      </c>
      <c r="B33" s="4" t="inlineStr">
        <is>
          <t>2A + 3E + 19A</t>
        </is>
      </c>
      <c r="C33" s="10">
        <f>IF(SUMPRODUCT(D33:K33,1-$D$5:$K$5)=0,1,0)</f>
        <v/>
      </c>
      <c r="D33" s="4" t="n">
        <v>0</v>
      </c>
      <c r="E33" s="4" t="n">
        <v>0</v>
      </c>
      <c r="F33" s="4" t="n">
        <v>0</v>
      </c>
      <c r="G33" s="4" t="n">
        <v>1</v>
      </c>
      <c r="H33" s="4" t="n">
        <v>0</v>
      </c>
      <c r="I33" s="4" t="n">
        <v>1</v>
      </c>
      <c r="J33" s="4" t="n">
        <v>0</v>
      </c>
      <c r="K33" s="4" t="n">
        <v>1</v>
      </c>
      <c r="L33" s="6">
        <f>IF(C33=1,1+SUMPRODUCT(D33:K33,$D$9:$K$9),"")</f>
        <v/>
      </c>
      <c r="M33" s="6">
        <f>SUMPRODUCT(D33:K33,$D$6:$K$6)</f>
        <v/>
      </c>
      <c r="N33" s="6">
        <f>SUMPRODUCT(D33:K33,$D$7:$K$7)</f>
        <v/>
      </c>
      <c r="O33" s="25">
        <f>SUMPRODUCT(D33:K33,$D$8:$K$8)</f>
        <v/>
      </c>
      <c r="P33" s="21">
        <f>M33/10^in_out_dp</f>
        <v/>
      </c>
      <c r="Q33" s="26">
        <f>N33/10^in_cost_dp</f>
        <v/>
      </c>
      <c r="R33" s="10">
        <f>IF(SUM(D33:K33)=0,1,0)</f>
        <v/>
      </c>
      <c r="S33" s="10">
        <f>SUMPRODUCT($C$12:$C$267*(($M$12:$M$267=M33)*($N$12:$N$267&lt;N33)+($M$12:$M$267&gt;M33)*($N$12:$N$267&lt;=N33)))</f>
        <v/>
      </c>
      <c r="T33" s="10">
        <f>IF(C33=0,0,IF(OR(R33=1,S33=0),1,0))</f>
        <v/>
      </c>
      <c r="U33" s="10">
        <f>IF(AND(T33=1,R33=0,M33&gt;0),1,0)</f>
        <v/>
      </c>
      <c r="V33" s="30">
        <f>IF(U33=1,MAX(N33/M33,SUMPRODUCT(MAX(((N33-$N$12:$N$267)*($U$12:$U$267*($M$12:$M$267&lt;M33)))/((M33-$M$12:$M$267)*($U$12:$U$267*($M$12:$M$267&lt;M33))+1-($U$12:$U$267*($M$12:$M$267&lt;M33)))-(1-($U$12:$U$267*($M$12:$M$267&lt;M33)))*1E+300))),0)</f>
        <v/>
      </c>
      <c r="W33" s="30">
        <f>IF(U33=1,SUMPRODUCT(MIN(((($N$12:$N$267-N33)*($U$12:$U$267*($M$12:$M$267&gt;M33)))/(($M$12:$M$267-M33)*($U$12:$U$267*($M$12:$M$267&gt;M33))+1-($U$12:$U$267*($M$12:$M$267&gt;M33)))+(1-($U$12:$U$267*($M$12:$M$267&gt;M33)))*1E+300))),0)</f>
        <v/>
      </c>
      <c r="X33" s="10">
        <f>IF(C33=0,0,IF(R33=1,1,IF(AND(U33=1,V33&lt;=W33),1,0)))</f>
        <v/>
      </c>
      <c r="Y33" s="10">
        <f>IF(X33=1,1+SUMPRODUCT($X$12:$X$267*(($M$12:$M$267&lt;M33)+($M$12:$M$267=M33)*($A$12:$A$267&lt;A33))),0)</f>
        <v/>
      </c>
      <c r="Z33" s="10">
        <f>IF(Y33&lt;=1,0,SUMPRODUCT(($Y$12:$Y$267=Y33-1)*$M$12:$M$267))</f>
        <v/>
      </c>
      <c r="AA33" s="10">
        <f>IF(Y33&lt;=1,0,SUMPRODUCT(($Y$12:$Y$267=Y33-1)*$N$12:$N$267))</f>
        <v/>
      </c>
      <c r="AB33" s="21">
        <f>IF(Y33=0,"",(M33-Z33)/10^in_out_dp)</f>
        <v/>
      </c>
      <c r="AC33" s="26">
        <f>IF(Y33=0,"",(N33-AA33)/10^in_cost_dp)</f>
        <v/>
      </c>
      <c r="AD33" s="26">
        <f>IF(Y33=0,"",IF(M33=Z33,0,AC33/AB33))</f>
        <v/>
      </c>
      <c r="AE33" s="26">
        <f>IF(AND(C33=1,M33&gt;0),Q33/P33,"n/a")</f>
        <v/>
      </c>
      <c r="AF33" s="15" t="n">
        <v>0</v>
      </c>
      <c r="AG33" s="6">
        <f>IF(AND(C33=1,AF33=1),1+SUMPRODUCT($C$12:$C$267*$AF$12:$AF$267*(($M$12:$M$267&lt;M33)+($M$12:$M$267=M33)*($N$12:$N$267&lt;N33)+($M$12:$M$267=M33)*($N$12:$N$267=N33)*($A$12:$A$267&lt;A33))),0)</f>
        <v/>
      </c>
    </row>
    <row r="34">
      <c r="A34" s="4" t="n">
        <v>23</v>
      </c>
      <c r="B34" s="4" t="inlineStr">
        <is>
          <t>2A + 3E + 3F</t>
        </is>
      </c>
      <c r="C34" s="10">
        <f>IF(SUMPRODUCT(D34:K34,1-$D$5:$K$5)=0,1,0)</f>
        <v/>
      </c>
      <c r="D34" s="4" t="n">
        <v>0</v>
      </c>
      <c r="E34" s="4" t="n">
        <v>0</v>
      </c>
      <c r="F34" s="4" t="n">
        <v>0</v>
      </c>
      <c r="G34" s="4" t="n">
        <v>1</v>
      </c>
      <c r="H34" s="4" t="n">
        <v>0</v>
      </c>
      <c r="I34" s="4" t="n">
        <v>1</v>
      </c>
      <c r="J34" s="4" t="n">
        <v>1</v>
      </c>
      <c r="K34" s="4" t="n">
        <v>0</v>
      </c>
      <c r="L34" s="6">
        <f>IF(C34=1,1+SUMPRODUCT(D34:K34,$D$9:$K$9),"")</f>
        <v/>
      </c>
      <c r="M34" s="6">
        <f>SUMPRODUCT(D34:K34,$D$6:$K$6)</f>
        <v/>
      </c>
      <c r="N34" s="6">
        <f>SUMPRODUCT(D34:K34,$D$7:$K$7)</f>
        <v/>
      </c>
      <c r="O34" s="25">
        <f>SUMPRODUCT(D34:K34,$D$8:$K$8)</f>
        <v/>
      </c>
      <c r="P34" s="21">
        <f>M34/10^in_out_dp</f>
        <v/>
      </c>
      <c r="Q34" s="26">
        <f>N34/10^in_cost_dp</f>
        <v/>
      </c>
      <c r="R34" s="10">
        <f>IF(SUM(D34:K34)=0,1,0)</f>
        <v/>
      </c>
      <c r="S34" s="10">
        <f>SUMPRODUCT($C$12:$C$267*(($M$12:$M$267=M34)*($N$12:$N$267&lt;N34)+($M$12:$M$267&gt;M34)*($N$12:$N$267&lt;=N34)))</f>
        <v/>
      </c>
      <c r="T34" s="10">
        <f>IF(C34=0,0,IF(OR(R34=1,S34=0),1,0))</f>
        <v/>
      </c>
      <c r="U34" s="10">
        <f>IF(AND(T34=1,R34=0,M34&gt;0),1,0)</f>
        <v/>
      </c>
      <c r="V34" s="30">
        <f>IF(U34=1,MAX(N34/M34,SUMPRODUCT(MAX(((N34-$N$12:$N$267)*($U$12:$U$267*($M$12:$M$267&lt;M34)))/((M34-$M$12:$M$267)*($U$12:$U$267*($M$12:$M$267&lt;M34))+1-($U$12:$U$267*($M$12:$M$267&lt;M34)))-(1-($U$12:$U$267*($M$12:$M$267&lt;M34)))*1E+300))),0)</f>
        <v/>
      </c>
      <c r="W34" s="30">
        <f>IF(U34=1,SUMPRODUCT(MIN(((($N$12:$N$267-N34)*($U$12:$U$267*($M$12:$M$267&gt;M34)))/(($M$12:$M$267-M34)*($U$12:$U$267*($M$12:$M$267&gt;M34))+1-($U$12:$U$267*($M$12:$M$267&gt;M34)))+(1-($U$12:$U$267*($M$12:$M$267&gt;M34)))*1E+300))),0)</f>
        <v/>
      </c>
      <c r="X34" s="10">
        <f>IF(C34=0,0,IF(R34=1,1,IF(AND(U34=1,V34&lt;=W34),1,0)))</f>
        <v/>
      </c>
      <c r="Y34" s="10">
        <f>IF(X34=1,1+SUMPRODUCT($X$12:$X$267*(($M$12:$M$267&lt;M34)+($M$12:$M$267=M34)*($A$12:$A$267&lt;A34))),0)</f>
        <v/>
      </c>
      <c r="Z34" s="10">
        <f>IF(Y34&lt;=1,0,SUMPRODUCT(($Y$12:$Y$267=Y34-1)*$M$12:$M$267))</f>
        <v/>
      </c>
      <c r="AA34" s="10">
        <f>IF(Y34&lt;=1,0,SUMPRODUCT(($Y$12:$Y$267=Y34-1)*$N$12:$N$267))</f>
        <v/>
      </c>
      <c r="AB34" s="21">
        <f>IF(Y34=0,"",(M34-Z34)/10^in_out_dp)</f>
        <v/>
      </c>
      <c r="AC34" s="26">
        <f>IF(Y34=0,"",(N34-AA34)/10^in_cost_dp)</f>
        <v/>
      </c>
      <c r="AD34" s="26">
        <f>IF(Y34=0,"",IF(M34=Z34,0,AC34/AB34))</f>
        <v/>
      </c>
      <c r="AE34" s="26">
        <f>IF(AND(C34=1,M34&gt;0),Q34/P34,"n/a")</f>
        <v/>
      </c>
      <c r="AF34" s="15" t="n">
        <v>0</v>
      </c>
      <c r="AG34" s="6">
        <f>IF(AND(C34=1,AF34=1),1+SUMPRODUCT($C$12:$C$267*$AF$12:$AF$267*(($M$12:$M$267&lt;M34)+($M$12:$M$267=M34)*($N$12:$N$267&lt;N34)+($M$12:$M$267=M34)*($N$12:$N$267=N34)*($A$12:$A$267&lt;A34))),0)</f>
        <v/>
      </c>
    </row>
    <row r="35">
      <c r="A35" s="4" t="n">
        <v>24</v>
      </c>
      <c r="B35" s="4" t="inlineStr">
        <is>
          <t>2A + 3E + 3F + 19A</t>
        </is>
      </c>
      <c r="C35" s="10">
        <f>IF(SUMPRODUCT(D35:K35,1-$D$5:$K$5)=0,1,0)</f>
        <v/>
      </c>
      <c r="D35" s="4" t="n">
        <v>0</v>
      </c>
      <c r="E35" s="4" t="n">
        <v>0</v>
      </c>
      <c r="F35" s="4" t="n">
        <v>0</v>
      </c>
      <c r="G35" s="4" t="n">
        <v>1</v>
      </c>
      <c r="H35" s="4" t="n">
        <v>0</v>
      </c>
      <c r="I35" s="4" t="n">
        <v>1</v>
      </c>
      <c r="J35" s="4" t="n">
        <v>1</v>
      </c>
      <c r="K35" s="4" t="n">
        <v>1</v>
      </c>
      <c r="L35" s="6">
        <f>IF(C35=1,1+SUMPRODUCT(D35:K35,$D$9:$K$9),"")</f>
        <v/>
      </c>
      <c r="M35" s="6">
        <f>SUMPRODUCT(D35:K35,$D$6:$K$6)</f>
        <v/>
      </c>
      <c r="N35" s="6">
        <f>SUMPRODUCT(D35:K35,$D$7:$K$7)</f>
        <v/>
      </c>
      <c r="O35" s="25">
        <f>SUMPRODUCT(D35:K35,$D$8:$K$8)</f>
        <v/>
      </c>
      <c r="P35" s="21">
        <f>M35/10^in_out_dp</f>
        <v/>
      </c>
      <c r="Q35" s="26">
        <f>N35/10^in_cost_dp</f>
        <v/>
      </c>
      <c r="R35" s="10">
        <f>IF(SUM(D35:K35)=0,1,0)</f>
        <v/>
      </c>
      <c r="S35" s="10">
        <f>SUMPRODUCT($C$12:$C$267*(($M$12:$M$267=M35)*($N$12:$N$267&lt;N35)+($M$12:$M$267&gt;M35)*($N$12:$N$267&lt;=N35)))</f>
        <v/>
      </c>
      <c r="T35" s="10">
        <f>IF(C35=0,0,IF(OR(R35=1,S35=0),1,0))</f>
        <v/>
      </c>
      <c r="U35" s="10">
        <f>IF(AND(T35=1,R35=0,M35&gt;0),1,0)</f>
        <v/>
      </c>
      <c r="V35" s="30">
        <f>IF(U35=1,MAX(N35/M35,SUMPRODUCT(MAX(((N35-$N$12:$N$267)*($U$12:$U$267*($M$12:$M$267&lt;M35)))/((M35-$M$12:$M$267)*($U$12:$U$267*($M$12:$M$267&lt;M35))+1-($U$12:$U$267*($M$12:$M$267&lt;M35)))-(1-($U$12:$U$267*($M$12:$M$267&lt;M35)))*1E+300))),0)</f>
        <v/>
      </c>
      <c r="W35" s="30">
        <f>IF(U35=1,SUMPRODUCT(MIN(((($N$12:$N$267-N35)*($U$12:$U$267*($M$12:$M$267&gt;M35)))/(($M$12:$M$267-M35)*($U$12:$U$267*($M$12:$M$267&gt;M35))+1-($U$12:$U$267*($M$12:$M$267&gt;M35)))+(1-($U$12:$U$267*($M$12:$M$267&gt;M35)))*1E+300))),0)</f>
        <v/>
      </c>
      <c r="X35" s="10">
        <f>IF(C35=0,0,IF(R35=1,1,IF(AND(U35=1,V35&lt;=W35),1,0)))</f>
        <v/>
      </c>
      <c r="Y35" s="10">
        <f>IF(X35=1,1+SUMPRODUCT($X$12:$X$267*(($M$12:$M$267&lt;M35)+($M$12:$M$267=M35)*($A$12:$A$267&lt;A35))),0)</f>
        <v/>
      </c>
      <c r="Z35" s="10">
        <f>IF(Y35&lt;=1,0,SUMPRODUCT(($Y$12:$Y$267=Y35-1)*$M$12:$M$267))</f>
        <v/>
      </c>
      <c r="AA35" s="10">
        <f>IF(Y35&lt;=1,0,SUMPRODUCT(($Y$12:$Y$267=Y35-1)*$N$12:$N$267))</f>
        <v/>
      </c>
      <c r="AB35" s="21">
        <f>IF(Y35=0,"",(M35-Z35)/10^in_out_dp)</f>
        <v/>
      </c>
      <c r="AC35" s="26">
        <f>IF(Y35=0,"",(N35-AA35)/10^in_cost_dp)</f>
        <v/>
      </c>
      <c r="AD35" s="26">
        <f>IF(Y35=0,"",IF(M35=Z35,0,AC35/AB35))</f>
        <v/>
      </c>
      <c r="AE35" s="26">
        <f>IF(AND(C35=1,M35&gt;0),Q35/P35,"n/a")</f>
        <v/>
      </c>
      <c r="AF35" s="15" t="n">
        <v>0</v>
      </c>
      <c r="AG35" s="6">
        <f>IF(AND(C35=1,AF35=1),1+SUMPRODUCT($C$12:$C$267*$AF$12:$AF$267*(($M$12:$M$267&lt;M35)+($M$12:$M$267=M35)*($N$12:$N$267&lt;N35)+($M$12:$M$267=M35)*($N$12:$N$267=N35)*($A$12:$A$267&lt;A35))),0)</f>
        <v/>
      </c>
    </row>
    <row r="36">
      <c r="A36" s="4" t="n">
        <v>25</v>
      </c>
      <c r="B36" s="4" t="inlineStr">
        <is>
          <t>2A + 2B</t>
        </is>
      </c>
      <c r="C36" s="10">
        <f>IF(SUMPRODUCT(D36:K36,1-$D$5:$K$5)=0,1,0)</f>
        <v/>
      </c>
      <c r="D36" s="4" t="n">
        <v>0</v>
      </c>
      <c r="E36" s="4" t="n">
        <v>0</v>
      </c>
      <c r="F36" s="4" t="n">
        <v>0</v>
      </c>
      <c r="G36" s="4" t="n">
        <v>1</v>
      </c>
      <c r="H36" s="4" t="n">
        <v>1</v>
      </c>
      <c r="I36" s="4" t="n">
        <v>0</v>
      </c>
      <c r="J36" s="4" t="n">
        <v>0</v>
      </c>
      <c r="K36" s="4" t="n">
        <v>0</v>
      </c>
      <c r="L36" s="6">
        <f>IF(C36=1,1+SUMPRODUCT(D36:K36,$D$9:$K$9),"")</f>
        <v/>
      </c>
      <c r="M36" s="6">
        <f>SUMPRODUCT(D36:K36,$D$6:$K$6)</f>
        <v/>
      </c>
      <c r="N36" s="6">
        <f>SUMPRODUCT(D36:K36,$D$7:$K$7)</f>
        <v/>
      </c>
      <c r="O36" s="25">
        <f>SUMPRODUCT(D36:K36,$D$8:$K$8)</f>
        <v/>
      </c>
      <c r="P36" s="21">
        <f>M36/10^in_out_dp</f>
        <v/>
      </c>
      <c r="Q36" s="26">
        <f>N36/10^in_cost_dp</f>
        <v/>
      </c>
      <c r="R36" s="10">
        <f>IF(SUM(D36:K36)=0,1,0)</f>
        <v/>
      </c>
      <c r="S36" s="10">
        <f>SUMPRODUCT($C$12:$C$267*(($M$12:$M$267=M36)*($N$12:$N$267&lt;N36)+($M$12:$M$267&gt;M36)*($N$12:$N$267&lt;=N36)))</f>
        <v/>
      </c>
      <c r="T36" s="10">
        <f>IF(C36=0,0,IF(OR(R36=1,S36=0),1,0))</f>
        <v/>
      </c>
      <c r="U36" s="10">
        <f>IF(AND(T36=1,R36=0,M36&gt;0),1,0)</f>
        <v/>
      </c>
      <c r="V36" s="30">
        <f>IF(U36=1,MAX(N36/M36,SUMPRODUCT(MAX(((N36-$N$12:$N$267)*($U$12:$U$267*($M$12:$M$267&lt;M36)))/((M36-$M$12:$M$267)*($U$12:$U$267*($M$12:$M$267&lt;M36))+1-($U$12:$U$267*($M$12:$M$267&lt;M36)))-(1-($U$12:$U$267*($M$12:$M$267&lt;M36)))*1E+300))),0)</f>
        <v/>
      </c>
      <c r="W36" s="30">
        <f>IF(U36=1,SUMPRODUCT(MIN(((($N$12:$N$267-N36)*($U$12:$U$267*($M$12:$M$267&gt;M36)))/(($M$12:$M$267-M36)*($U$12:$U$267*($M$12:$M$267&gt;M36))+1-($U$12:$U$267*($M$12:$M$267&gt;M36)))+(1-($U$12:$U$267*($M$12:$M$267&gt;M36)))*1E+300))),0)</f>
        <v/>
      </c>
      <c r="X36" s="10">
        <f>IF(C36=0,0,IF(R36=1,1,IF(AND(U36=1,V36&lt;=W36),1,0)))</f>
        <v/>
      </c>
      <c r="Y36" s="10">
        <f>IF(X36=1,1+SUMPRODUCT($X$12:$X$267*(($M$12:$M$267&lt;M36)+($M$12:$M$267=M36)*($A$12:$A$267&lt;A36))),0)</f>
        <v/>
      </c>
      <c r="Z36" s="10">
        <f>IF(Y36&lt;=1,0,SUMPRODUCT(($Y$12:$Y$267=Y36-1)*$M$12:$M$267))</f>
        <v/>
      </c>
      <c r="AA36" s="10">
        <f>IF(Y36&lt;=1,0,SUMPRODUCT(($Y$12:$Y$267=Y36-1)*$N$12:$N$267))</f>
        <v/>
      </c>
      <c r="AB36" s="21">
        <f>IF(Y36=0,"",(M36-Z36)/10^in_out_dp)</f>
        <v/>
      </c>
      <c r="AC36" s="26">
        <f>IF(Y36=0,"",(N36-AA36)/10^in_cost_dp)</f>
        <v/>
      </c>
      <c r="AD36" s="26">
        <f>IF(Y36=0,"",IF(M36=Z36,0,AC36/AB36))</f>
        <v/>
      </c>
      <c r="AE36" s="26">
        <f>IF(AND(C36=1,M36&gt;0),Q36/P36,"n/a")</f>
        <v/>
      </c>
      <c r="AF36" s="15" t="n">
        <v>0</v>
      </c>
      <c r="AG36" s="6">
        <f>IF(AND(C36=1,AF36=1),1+SUMPRODUCT($C$12:$C$267*$AF$12:$AF$267*(($M$12:$M$267&lt;M36)+($M$12:$M$267=M36)*($N$12:$N$267&lt;N36)+($M$12:$M$267=M36)*($N$12:$N$267=N36)*($A$12:$A$267&lt;A36))),0)</f>
        <v/>
      </c>
    </row>
    <row r="37">
      <c r="A37" s="4" t="n">
        <v>26</v>
      </c>
      <c r="B37" s="4" t="inlineStr">
        <is>
          <t>2A + 2B + 19A</t>
        </is>
      </c>
      <c r="C37" s="10">
        <f>IF(SUMPRODUCT(D37:K37,1-$D$5:$K$5)=0,1,0)</f>
        <v/>
      </c>
      <c r="D37" s="4" t="n">
        <v>0</v>
      </c>
      <c r="E37" s="4" t="n">
        <v>0</v>
      </c>
      <c r="F37" s="4" t="n">
        <v>0</v>
      </c>
      <c r="G37" s="4" t="n">
        <v>1</v>
      </c>
      <c r="H37" s="4" t="n">
        <v>1</v>
      </c>
      <c r="I37" s="4" t="n">
        <v>0</v>
      </c>
      <c r="J37" s="4" t="n">
        <v>0</v>
      </c>
      <c r="K37" s="4" t="n">
        <v>1</v>
      </c>
      <c r="L37" s="6">
        <f>IF(C37=1,1+SUMPRODUCT(D37:K37,$D$9:$K$9),"")</f>
        <v/>
      </c>
      <c r="M37" s="6">
        <f>SUMPRODUCT(D37:K37,$D$6:$K$6)</f>
        <v/>
      </c>
      <c r="N37" s="6">
        <f>SUMPRODUCT(D37:K37,$D$7:$K$7)</f>
        <v/>
      </c>
      <c r="O37" s="25">
        <f>SUMPRODUCT(D37:K37,$D$8:$K$8)</f>
        <v/>
      </c>
      <c r="P37" s="21">
        <f>M37/10^in_out_dp</f>
        <v/>
      </c>
      <c r="Q37" s="26">
        <f>N37/10^in_cost_dp</f>
        <v/>
      </c>
      <c r="R37" s="10">
        <f>IF(SUM(D37:K37)=0,1,0)</f>
        <v/>
      </c>
      <c r="S37" s="10">
        <f>SUMPRODUCT($C$12:$C$267*(($M$12:$M$267=M37)*($N$12:$N$267&lt;N37)+($M$12:$M$267&gt;M37)*($N$12:$N$267&lt;=N37)))</f>
        <v/>
      </c>
      <c r="T37" s="10">
        <f>IF(C37=0,0,IF(OR(R37=1,S37=0),1,0))</f>
        <v/>
      </c>
      <c r="U37" s="10">
        <f>IF(AND(T37=1,R37=0,M37&gt;0),1,0)</f>
        <v/>
      </c>
      <c r="V37" s="30">
        <f>IF(U37=1,MAX(N37/M37,SUMPRODUCT(MAX(((N37-$N$12:$N$267)*($U$12:$U$267*($M$12:$M$267&lt;M37)))/((M37-$M$12:$M$267)*($U$12:$U$267*($M$12:$M$267&lt;M37))+1-($U$12:$U$267*($M$12:$M$267&lt;M37)))-(1-($U$12:$U$267*($M$12:$M$267&lt;M37)))*1E+300))),0)</f>
        <v/>
      </c>
      <c r="W37" s="30">
        <f>IF(U37=1,SUMPRODUCT(MIN(((($N$12:$N$267-N37)*($U$12:$U$267*($M$12:$M$267&gt;M37)))/(($M$12:$M$267-M37)*($U$12:$U$267*($M$12:$M$267&gt;M37))+1-($U$12:$U$267*($M$12:$M$267&gt;M37)))+(1-($U$12:$U$267*($M$12:$M$267&gt;M37)))*1E+300))),0)</f>
        <v/>
      </c>
      <c r="X37" s="10">
        <f>IF(C37=0,0,IF(R37=1,1,IF(AND(U37=1,V37&lt;=W37),1,0)))</f>
        <v/>
      </c>
      <c r="Y37" s="10">
        <f>IF(X37=1,1+SUMPRODUCT($X$12:$X$267*(($M$12:$M$267&lt;M37)+($M$12:$M$267=M37)*($A$12:$A$267&lt;A37))),0)</f>
        <v/>
      </c>
      <c r="Z37" s="10">
        <f>IF(Y37&lt;=1,0,SUMPRODUCT(($Y$12:$Y$267=Y37-1)*$M$12:$M$267))</f>
        <v/>
      </c>
      <c r="AA37" s="10">
        <f>IF(Y37&lt;=1,0,SUMPRODUCT(($Y$12:$Y$267=Y37-1)*$N$12:$N$267))</f>
        <v/>
      </c>
      <c r="AB37" s="21">
        <f>IF(Y37=0,"",(M37-Z37)/10^in_out_dp)</f>
        <v/>
      </c>
      <c r="AC37" s="26">
        <f>IF(Y37=0,"",(N37-AA37)/10^in_cost_dp)</f>
        <v/>
      </c>
      <c r="AD37" s="26">
        <f>IF(Y37=0,"",IF(M37=Z37,0,AC37/AB37))</f>
        <v/>
      </c>
      <c r="AE37" s="26">
        <f>IF(AND(C37=1,M37&gt;0),Q37/P37,"n/a")</f>
        <v/>
      </c>
      <c r="AF37" s="15" t="n">
        <v>1</v>
      </c>
      <c r="AG37" s="6">
        <f>IF(AND(C37=1,AF37=1),1+SUMPRODUCT($C$12:$C$267*$AF$12:$AF$267*(($M$12:$M$267&lt;M37)+($M$12:$M$267=M37)*($N$12:$N$267&lt;N37)+($M$12:$M$267=M37)*($N$12:$N$267=N37)*($A$12:$A$267&lt;A37))),0)</f>
        <v/>
      </c>
    </row>
    <row r="38">
      <c r="A38" s="4" t="n">
        <v>27</v>
      </c>
      <c r="B38" s="4" t="inlineStr">
        <is>
          <t>2A + 2B + 3F</t>
        </is>
      </c>
      <c r="C38" s="10">
        <f>IF(SUMPRODUCT(D38:K38,1-$D$5:$K$5)=0,1,0)</f>
        <v/>
      </c>
      <c r="D38" s="4" t="n">
        <v>0</v>
      </c>
      <c r="E38" s="4" t="n">
        <v>0</v>
      </c>
      <c r="F38" s="4" t="n">
        <v>0</v>
      </c>
      <c r="G38" s="4" t="n">
        <v>1</v>
      </c>
      <c r="H38" s="4" t="n">
        <v>1</v>
      </c>
      <c r="I38" s="4" t="n">
        <v>0</v>
      </c>
      <c r="J38" s="4" t="n">
        <v>1</v>
      </c>
      <c r="K38" s="4" t="n">
        <v>0</v>
      </c>
      <c r="L38" s="6">
        <f>IF(C38=1,1+SUMPRODUCT(D38:K38,$D$9:$K$9),"")</f>
        <v/>
      </c>
      <c r="M38" s="6">
        <f>SUMPRODUCT(D38:K38,$D$6:$K$6)</f>
        <v/>
      </c>
      <c r="N38" s="6">
        <f>SUMPRODUCT(D38:K38,$D$7:$K$7)</f>
        <v/>
      </c>
      <c r="O38" s="25">
        <f>SUMPRODUCT(D38:K38,$D$8:$K$8)</f>
        <v/>
      </c>
      <c r="P38" s="21">
        <f>M38/10^in_out_dp</f>
        <v/>
      </c>
      <c r="Q38" s="26">
        <f>N38/10^in_cost_dp</f>
        <v/>
      </c>
      <c r="R38" s="10">
        <f>IF(SUM(D38:K38)=0,1,0)</f>
        <v/>
      </c>
      <c r="S38" s="10">
        <f>SUMPRODUCT($C$12:$C$267*(($M$12:$M$267=M38)*($N$12:$N$267&lt;N38)+($M$12:$M$267&gt;M38)*($N$12:$N$267&lt;=N38)))</f>
        <v/>
      </c>
      <c r="T38" s="10">
        <f>IF(C38=0,0,IF(OR(R38=1,S38=0),1,0))</f>
        <v/>
      </c>
      <c r="U38" s="10">
        <f>IF(AND(T38=1,R38=0,M38&gt;0),1,0)</f>
        <v/>
      </c>
      <c r="V38" s="30">
        <f>IF(U38=1,MAX(N38/M38,SUMPRODUCT(MAX(((N38-$N$12:$N$267)*($U$12:$U$267*($M$12:$M$267&lt;M38)))/((M38-$M$12:$M$267)*($U$12:$U$267*($M$12:$M$267&lt;M38))+1-($U$12:$U$267*($M$12:$M$267&lt;M38)))-(1-($U$12:$U$267*($M$12:$M$267&lt;M38)))*1E+300))),0)</f>
        <v/>
      </c>
      <c r="W38" s="30">
        <f>IF(U38=1,SUMPRODUCT(MIN(((($N$12:$N$267-N38)*($U$12:$U$267*($M$12:$M$267&gt;M38)))/(($M$12:$M$267-M38)*($U$12:$U$267*($M$12:$M$267&gt;M38))+1-($U$12:$U$267*($M$12:$M$267&gt;M38)))+(1-($U$12:$U$267*($M$12:$M$267&gt;M38)))*1E+300))),0)</f>
        <v/>
      </c>
      <c r="X38" s="10">
        <f>IF(C38=0,0,IF(R38=1,1,IF(AND(U38=1,V38&lt;=W38),1,0)))</f>
        <v/>
      </c>
      <c r="Y38" s="10">
        <f>IF(X38=1,1+SUMPRODUCT($X$12:$X$267*(($M$12:$M$267&lt;M38)+($M$12:$M$267=M38)*($A$12:$A$267&lt;A38))),0)</f>
        <v/>
      </c>
      <c r="Z38" s="10">
        <f>IF(Y38&lt;=1,0,SUMPRODUCT(($Y$12:$Y$267=Y38-1)*$M$12:$M$267))</f>
        <v/>
      </c>
      <c r="AA38" s="10">
        <f>IF(Y38&lt;=1,0,SUMPRODUCT(($Y$12:$Y$267=Y38-1)*$N$12:$N$267))</f>
        <v/>
      </c>
      <c r="AB38" s="21">
        <f>IF(Y38=0,"",(M38-Z38)/10^in_out_dp)</f>
        <v/>
      </c>
      <c r="AC38" s="26">
        <f>IF(Y38=0,"",(N38-AA38)/10^in_cost_dp)</f>
        <v/>
      </c>
      <c r="AD38" s="26">
        <f>IF(Y38=0,"",IF(M38=Z38,0,AC38/AB38))</f>
        <v/>
      </c>
      <c r="AE38" s="26">
        <f>IF(AND(C38=1,M38&gt;0),Q38/P38,"n/a")</f>
        <v/>
      </c>
      <c r="AF38" s="15" t="n">
        <v>0</v>
      </c>
      <c r="AG38" s="6">
        <f>IF(AND(C38=1,AF38=1),1+SUMPRODUCT($C$12:$C$267*$AF$12:$AF$267*(($M$12:$M$267&lt;M38)+($M$12:$M$267=M38)*($N$12:$N$267&lt;N38)+($M$12:$M$267=M38)*($N$12:$N$267=N38)*($A$12:$A$267&lt;A38))),0)</f>
        <v/>
      </c>
    </row>
    <row r="39">
      <c r="A39" s="4" t="n">
        <v>28</v>
      </c>
      <c r="B39" s="4" t="inlineStr">
        <is>
          <t>2A + 2B + 3F + 19A</t>
        </is>
      </c>
      <c r="C39" s="10">
        <f>IF(SUMPRODUCT(D39:K39,1-$D$5:$K$5)=0,1,0)</f>
        <v/>
      </c>
      <c r="D39" s="4" t="n">
        <v>0</v>
      </c>
      <c r="E39" s="4" t="n">
        <v>0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1</v>
      </c>
      <c r="K39" s="4" t="n">
        <v>1</v>
      </c>
      <c r="L39" s="6">
        <f>IF(C39=1,1+SUMPRODUCT(D39:K39,$D$9:$K$9),"")</f>
        <v/>
      </c>
      <c r="M39" s="6">
        <f>SUMPRODUCT(D39:K39,$D$6:$K$6)</f>
        <v/>
      </c>
      <c r="N39" s="6">
        <f>SUMPRODUCT(D39:K39,$D$7:$K$7)</f>
        <v/>
      </c>
      <c r="O39" s="25">
        <f>SUMPRODUCT(D39:K39,$D$8:$K$8)</f>
        <v/>
      </c>
      <c r="P39" s="21">
        <f>M39/10^in_out_dp</f>
        <v/>
      </c>
      <c r="Q39" s="26">
        <f>N39/10^in_cost_dp</f>
        <v/>
      </c>
      <c r="R39" s="10">
        <f>IF(SUM(D39:K39)=0,1,0)</f>
        <v/>
      </c>
      <c r="S39" s="10">
        <f>SUMPRODUCT($C$12:$C$267*(($M$12:$M$267=M39)*($N$12:$N$267&lt;N39)+($M$12:$M$267&gt;M39)*($N$12:$N$267&lt;=N39)))</f>
        <v/>
      </c>
      <c r="T39" s="10">
        <f>IF(C39=0,0,IF(OR(R39=1,S39=0),1,0))</f>
        <v/>
      </c>
      <c r="U39" s="10">
        <f>IF(AND(T39=1,R39=0,M39&gt;0),1,0)</f>
        <v/>
      </c>
      <c r="V39" s="30">
        <f>IF(U39=1,MAX(N39/M39,SUMPRODUCT(MAX(((N39-$N$12:$N$267)*($U$12:$U$267*($M$12:$M$267&lt;M39)))/((M39-$M$12:$M$267)*($U$12:$U$267*($M$12:$M$267&lt;M39))+1-($U$12:$U$267*($M$12:$M$267&lt;M39)))-(1-($U$12:$U$267*($M$12:$M$267&lt;M39)))*1E+300))),0)</f>
        <v/>
      </c>
      <c r="W39" s="30">
        <f>IF(U39=1,SUMPRODUCT(MIN(((($N$12:$N$267-N39)*($U$12:$U$267*($M$12:$M$267&gt;M39)))/(($M$12:$M$267-M39)*($U$12:$U$267*($M$12:$M$267&gt;M39))+1-($U$12:$U$267*($M$12:$M$267&gt;M39)))+(1-($U$12:$U$267*($M$12:$M$267&gt;M39)))*1E+300))),0)</f>
        <v/>
      </c>
      <c r="X39" s="10">
        <f>IF(C39=0,0,IF(R39=1,1,IF(AND(U39=1,V39&lt;=W39),1,0)))</f>
        <v/>
      </c>
      <c r="Y39" s="10">
        <f>IF(X39=1,1+SUMPRODUCT($X$12:$X$267*(($M$12:$M$267&lt;M39)+($M$12:$M$267=M39)*($A$12:$A$267&lt;A39))),0)</f>
        <v/>
      </c>
      <c r="Z39" s="10">
        <f>IF(Y39&lt;=1,0,SUMPRODUCT(($Y$12:$Y$267=Y39-1)*$M$12:$M$267))</f>
        <v/>
      </c>
      <c r="AA39" s="10">
        <f>IF(Y39&lt;=1,0,SUMPRODUCT(($Y$12:$Y$267=Y39-1)*$N$12:$N$267))</f>
        <v/>
      </c>
      <c r="AB39" s="21">
        <f>IF(Y39=0,"",(M39-Z39)/10^in_out_dp)</f>
        <v/>
      </c>
      <c r="AC39" s="26">
        <f>IF(Y39=0,"",(N39-AA39)/10^in_cost_dp)</f>
        <v/>
      </c>
      <c r="AD39" s="26">
        <f>IF(Y39=0,"",IF(M39=Z39,0,AC39/AB39))</f>
        <v/>
      </c>
      <c r="AE39" s="26">
        <f>IF(AND(C39=1,M39&gt;0),Q39/P39,"n/a")</f>
        <v/>
      </c>
      <c r="AF39" s="15" t="n">
        <v>1</v>
      </c>
      <c r="AG39" s="6">
        <f>IF(AND(C39=1,AF39=1),1+SUMPRODUCT($C$12:$C$267*$AF$12:$AF$267*(($M$12:$M$267&lt;M39)+($M$12:$M$267=M39)*($N$12:$N$267&lt;N39)+($M$12:$M$267=M39)*($N$12:$N$267=N39)*($A$12:$A$267&lt;A39))),0)</f>
        <v/>
      </c>
    </row>
    <row r="40">
      <c r="A40" s="4" t="n">
        <v>29</v>
      </c>
      <c r="B40" s="4" t="inlineStr">
        <is>
          <t>2A + 2B + 3E</t>
        </is>
      </c>
      <c r="C40" s="10">
        <f>IF(SUMPRODUCT(D40:K40,1-$D$5:$K$5)=0,1,0)</f>
        <v/>
      </c>
      <c r="D40" s="4" t="n">
        <v>0</v>
      </c>
      <c r="E40" s="4" t="n">
        <v>0</v>
      </c>
      <c r="F40" s="4" t="n">
        <v>0</v>
      </c>
      <c r="G40" s="4" t="n">
        <v>1</v>
      </c>
      <c r="H40" s="4" t="n">
        <v>1</v>
      </c>
      <c r="I40" s="4" t="n">
        <v>1</v>
      </c>
      <c r="J40" s="4" t="n">
        <v>0</v>
      </c>
      <c r="K40" s="4" t="n">
        <v>0</v>
      </c>
      <c r="L40" s="6">
        <f>IF(C40=1,1+SUMPRODUCT(D40:K40,$D$9:$K$9),"")</f>
        <v/>
      </c>
      <c r="M40" s="6">
        <f>SUMPRODUCT(D40:K40,$D$6:$K$6)</f>
        <v/>
      </c>
      <c r="N40" s="6">
        <f>SUMPRODUCT(D40:K40,$D$7:$K$7)</f>
        <v/>
      </c>
      <c r="O40" s="25">
        <f>SUMPRODUCT(D40:K40,$D$8:$K$8)</f>
        <v/>
      </c>
      <c r="P40" s="21">
        <f>M40/10^in_out_dp</f>
        <v/>
      </c>
      <c r="Q40" s="26">
        <f>N40/10^in_cost_dp</f>
        <v/>
      </c>
      <c r="R40" s="10">
        <f>IF(SUM(D40:K40)=0,1,0)</f>
        <v/>
      </c>
      <c r="S40" s="10">
        <f>SUMPRODUCT($C$12:$C$267*(($M$12:$M$267=M40)*($N$12:$N$267&lt;N40)+($M$12:$M$267&gt;M40)*($N$12:$N$267&lt;=N40)))</f>
        <v/>
      </c>
      <c r="T40" s="10">
        <f>IF(C40=0,0,IF(OR(R40=1,S40=0),1,0))</f>
        <v/>
      </c>
      <c r="U40" s="10">
        <f>IF(AND(T40=1,R40=0,M40&gt;0),1,0)</f>
        <v/>
      </c>
      <c r="V40" s="30">
        <f>IF(U40=1,MAX(N40/M40,SUMPRODUCT(MAX(((N40-$N$12:$N$267)*($U$12:$U$267*($M$12:$M$267&lt;M40)))/((M40-$M$12:$M$267)*($U$12:$U$267*($M$12:$M$267&lt;M40))+1-($U$12:$U$267*($M$12:$M$267&lt;M40)))-(1-($U$12:$U$267*($M$12:$M$267&lt;M40)))*1E+300))),0)</f>
        <v/>
      </c>
      <c r="W40" s="30">
        <f>IF(U40=1,SUMPRODUCT(MIN(((($N$12:$N$267-N40)*($U$12:$U$267*($M$12:$M$267&gt;M40)))/(($M$12:$M$267-M40)*($U$12:$U$267*($M$12:$M$267&gt;M40))+1-($U$12:$U$267*($M$12:$M$267&gt;M40)))+(1-($U$12:$U$267*($M$12:$M$267&gt;M40)))*1E+300))),0)</f>
        <v/>
      </c>
      <c r="X40" s="10">
        <f>IF(C40=0,0,IF(R40=1,1,IF(AND(U40=1,V40&lt;=W40),1,0)))</f>
        <v/>
      </c>
      <c r="Y40" s="10">
        <f>IF(X40=1,1+SUMPRODUCT($X$12:$X$267*(($M$12:$M$267&lt;M40)+($M$12:$M$267=M40)*($A$12:$A$267&lt;A40))),0)</f>
        <v/>
      </c>
      <c r="Z40" s="10">
        <f>IF(Y40&lt;=1,0,SUMPRODUCT(($Y$12:$Y$267=Y40-1)*$M$12:$M$267))</f>
        <v/>
      </c>
      <c r="AA40" s="10">
        <f>IF(Y40&lt;=1,0,SUMPRODUCT(($Y$12:$Y$267=Y40-1)*$N$12:$N$267))</f>
        <v/>
      </c>
      <c r="AB40" s="21">
        <f>IF(Y40=0,"",(M40-Z40)/10^in_out_dp)</f>
        <v/>
      </c>
      <c r="AC40" s="26">
        <f>IF(Y40=0,"",(N40-AA40)/10^in_cost_dp)</f>
        <v/>
      </c>
      <c r="AD40" s="26">
        <f>IF(Y40=0,"",IF(M40=Z40,0,AC40/AB40))</f>
        <v/>
      </c>
      <c r="AE40" s="26">
        <f>IF(AND(C40=1,M40&gt;0),Q40/P40,"n/a")</f>
        <v/>
      </c>
      <c r="AF40" s="15" t="n">
        <v>0</v>
      </c>
      <c r="AG40" s="6">
        <f>IF(AND(C40=1,AF40=1),1+SUMPRODUCT($C$12:$C$267*$AF$12:$AF$267*(($M$12:$M$267&lt;M40)+($M$12:$M$267=M40)*($N$12:$N$267&lt;N40)+($M$12:$M$267=M40)*($N$12:$N$267=N40)*($A$12:$A$267&lt;A40))),0)</f>
        <v/>
      </c>
    </row>
    <row r="41">
      <c r="A41" s="4" t="n">
        <v>30</v>
      </c>
      <c r="B41" s="4" t="inlineStr">
        <is>
          <t>2A + 2B + 3E + 19A</t>
        </is>
      </c>
      <c r="C41" s="10">
        <f>IF(SUMPRODUCT(D41:K41,1-$D$5:$K$5)=0,1,0)</f>
        <v/>
      </c>
      <c r="D41" s="4" t="n">
        <v>0</v>
      </c>
      <c r="E41" s="4" t="n">
        <v>0</v>
      </c>
      <c r="F41" s="4" t="n">
        <v>0</v>
      </c>
      <c r="G41" s="4" t="n">
        <v>1</v>
      </c>
      <c r="H41" s="4" t="n">
        <v>1</v>
      </c>
      <c r="I41" s="4" t="n">
        <v>1</v>
      </c>
      <c r="J41" s="4" t="n">
        <v>0</v>
      </c>
      <c r="K41" s="4" t="n">
        <v>1</v>
      </c>
      <c r="L41" s="6">
        <f>IF(C41=1,1+SUMPRODUCT(D41:K41,$D$9:$K$9),"")</f>
        <v/>
      </c>
      <c r="M41" s="6">
        <f>SUMPRODUCT(D41:K41,$D$6:$K$6)</f>
        <v/>
      </c>
      <c r="N41" s="6">
        <f>SUMPRODUCT(D41:K41,$D$7:$K$7)</f>
        <v/>
      </c>
      <c r="O41" s="25">
        <f>SUMPRODUCT(D41:K41,$D$8:$K$8)</f>
        <v/>
      </c>
      <c r="P41" s="21">
        <f>M41/10^in_out_dp</f>
        <v/>
      </c>
      <c r="Q41" s="26">
        <f>N41/10^in_cost_dp</f>
        <v/>
      </c>
      <c r="R41" s="10">
        <f>IF(SUM(D41:K41)=0,1,0)</f>
        <v/>
      </c>
      <c r="S41" s="10">
        <f>SUMPRODUCT($C$12:$C$267*(($M$12:$M$267=M41)*($N$12:$N$267&lt;N41)+($M$12:$M$267&gt;M41)*($N$12:$N$267&lt;=N41)))</f>
        <v/>
      </c>
      <c r="T41" s="10">
        <f>IF(C41=0,0,IF(OR(R41=1,S41=0),1,0))</f>
        <v/>
      </c>
      <c r="U41" s="10">
        <f>IF(AND(T41=1,R41=0,M41&gt;0),1,0)</f>
        <v/>
      </c>
      <c r="V41" s="30">
        <f>IF(U41=1,MAX(N41/M41,SUMPRODUCT(MAX(((N41-$N$12:$N$267)*($U$12:$U$267*($M$12:$M$267&lt;M41)))/((M41-$M$12:$M$267)*($U$12:$U$267*($M$12:$M$267&lt;M41))+1-($U$12:$U$267*($M$12:$M$267&lt;M41)))-(1-($U$12:$U$267*($M$12:$M$267&lt;M41)))*1E+300))),0)</f>
        <v/>
      </c>
      <c r="W41" s="30">
        <f>IF(U41=1,SUMPRODUCT(MIN(((($N$12:$N$267-N41)*($U$12:$U$267*($M$12:$M$267&gt;M41)))/(($M$12:$M$267-M41)*($U$12:$U$267*($M$12:$M$267&gt;M41))+1-($U$12:$U$267*($M$12:$M$267&gt;M41)))+(1-($U$12:$U$267*($M$12:$M$267&gt;M41)))*1E+300))),0)</f>
        <v/>
      </c>
      <c r="X41" s="10">
        <f>IF(C41=0,0,IF(R41=1,1,IF(AND(U41=1,V41&lt;=W41),1,0)))</f>
        <v/>
      </c>
      <c r="Y41" s="10">
        <f>IF(X41=1,1+SUMPRODUCT($X$12:$X$267*(($M$12:$M$267&lt;M41)+($M$12:$M$267=M41)*($A$12:$A$267&lt;A41))),0)</f>
        <v/>
      </c>
      <c r="Z41" s="10">
        <f>IF(Y41&lt;=1,0,SUMPRODUCT(($Y$12:$Y$267=Y41-1)*$M$12:$M$267))</f>
        <v/>
      </c>
      <c r="AA41" s="10">
        <f>IF(Y41&lt;=1,0,SUMPRODUCT(($Y$12:$Y$267=Y41-1)*$N$12:$N$267))</f>
        <v/>
      </c>
      <c r="AB41" s="21">
        <f>IF(Y41=0,"",(M41-Z41)/10^in_out_dp)</f>
        <v/>
      </c>
      <c r="AC41" s="26">
        <f>IF(Y41=0,"",(N41-AA41)/10^in_cost_dp)</f>
        <v/>
      </c>
      <c r="AD41" s="26">
        <f>IF(Y41=0,"",IF(M41=Z41,0,AC41/AB41))</f>
        <v/>
      </c>
      <c r="AE41" s="26">
        <f>IF(AND(C41=1,M41&gt;0),Q41/P41,"n/a")</f>
        <v/>
      </c>
      <c r="AF41" s="15" t="n">
        <v>0</v>
      </c>
      <c r="AG41" s="6">
        <f>IF(AND(C41=1,AF41=1),1+SUMPRODUCT($C$12:$C$267*$AF$12:$AF$267*(($M$12:$M$267&lt;M41)+($M$12:$M$267=M41)*($N$12:$N$267&lt;N41)+($M$12:$M$267=M41)*($N$12:$N$267=N41)*($A$12:$A$267&lt;A41))),0)</f>
        <v/>
      </c>
    </row>
    <row r="42">
      <c r="A42" s="4" t="n">
        <v>31</v>
      </c>
      <c r="B42" s="4" t="inlineStr">
        <is>
          <t>2A + 2B + 3E + 3F</t>
        </is>
      </c>
      <c r="C42" s="10">
        <f>IF(SUMPRODUCT(D42:K42,1-$D$5:$K$5)=0,1,0)</f>
        <v/>
      </c>
      <c r="D42" s="4" t="n">
        <v>0</v>
      </c>
      <c r="E42" s="4" t="n">
        <v>0</v>
      </c>
      <c r="F42" s="4" t="n">
        <v>0</v>
      </c>
      <c r="G42" s="4" t="n">
        <v>1</v>
      </c>
      <c r="H42" s="4" t="n">
        <v>1</v>
      </c>
      <c r="I42" s="4" t="n">
        <v>1</v>
      </c>
      <c r="J42" s="4" t="n">
        <v>1</v>
      </c>
      <c r="K42" s="4" t="n">
        <v>0</v>
      </c>
      <c r="L42" s="6">
        <f>IF(C42=1,1+SUMPRODUCT(D42:K42,$D$9:$K$9),"")</f>
        <v/>
      </c>
      <c r="M42" s="6">
        <f>SUMPRODUCT(D42:K42,$D$6:$K$6)</f>
        <v/>
      </c>
      <c r="N42" s="6">
        <f>SUMPRODUCT(D42:K42,$D$7:$K$7)</f>
        <v/>
      </c>
      <c r="O42" s="25">
        <f>SUMPRODUCT(D42:K42,$D$8:$K$8)</f>
        <v/>
      </c>
      <c r="P42" s="21">
        <f>M42/10^in_out_dp</f>
        <v/>
      </c>
      <c r="Q42" s="26">
        <f>N42/10^in_cost_dp</f>
        <v/>
      </c>
      <c r="R42" s="10">
        <f>IF(SUM(D42:K42)=0,1,0)</f>
        <v/>
      </c>
      <c r="S42" s="10">
        <f>SUMPRODUCT($C$12:$C$267*(($M$12:$M$267=M42)*($N$12:$N$267&lt;N42)+($M$12:$M$267&gt;M42)*($N$12:$N$267&lt;=N42)))</f>
        <v/>
      </c>
      <c r="T42" s="10">
        <f>IF(C42=0,0,IF(OR(R42=1,S42=0),1,0))</f>
        <v/>
      </c>
      <c r="U42" s="10">
        <f>IF(AND(T42=1,R42=0,M42&gt;0),1,0)</f>
        <v/>
      </c>
      <c r="V42" s="30">
        <f>IF(U42=1,MAX(N42/M42,SUMPRODUCT(MAX(((N42-$N$12:$N$267)*($U$12:$U$267*($M$12:$M$267&lt;M42)))/((M42-$M$12:$M$267)*($U$12:$U$267*($M$12:$M$267&lt;M42))+1-($U$12:$U$267*($M$12:$M$267&lt;M42)))-(1-($U$12:$U$267*($M$12:$M$267&lt;M42)))*1E+300))),0)</f>
        <v/>
      </c>
      <c r="W42" s="30">
        <f>IF(U42=1,SUMPRODUCT(MIN(((($N$12:$N$267-N42)*($U$12:$U$267*($M$12:$M$267&gt;M42)))/(($M$12:$M$267-M42)*($U$12:$U$267*($M$12:$M$267&gt;M42))+1-($U$12:$U$267*($M$12:$M$267&gt;M42)))+(1-($U$12:$U$267*($M$12:$M$267&gt;M42)))*1E+300))),0)</f>
        <v/>
      </c>
      <c r="X42" s="10">
        <f>IF(C42=0,0,IF(R42=1,1,IF(AND(U42=1,V42&lt;=W42),1,0)))</f>
        <v/>
      </c>
      <c r="Y42" s="10">
        <f>IF(X42=1,1+SUMPRODUCT($X$12:$X$267*(($M$12:$M$267&lt;M42)+($M$12:$M$267=M42)*($A$12:$A$267&lt;A42))),0)</f>
        <v/>
      </c>
      <c r="Z42" s="10">
        <f>IF(Y42&lt;=1,0,SUMPRODUCT(($Y$12:$Y$267=Y42-1)*$M$12:$M$267))</f>
        <v/>
      </c>
      <c r="AA42" s="10">
        <f>IF(Y42&lt;=1,0,SUMPRODUCT(($Y$12:$Y$267=Y42-1)*$N$12:$N$267))</f>
        <v/>
      </c>
      <c r="AB42" s="21">
        <f>IF(Y42=0,"",(M42-Z42)/10^in_out_dp)</f>
        <v/>
      </c>
      <c r="AC42" s="26">
        <f>IF(Y42=0,"",(N42-AA42)/10^in_cost_dp)</f>
        <v/>
      </c>
      <c r="AD42" s="26">
        <f>IF(Y42=0,"",IF(M42=Z42,0,AC42/AB42))</f>
        <v/>
      </c>
      <c r="AE42" s="26">
        <f>IF(AND(C42=1,M42&gt;0),Q42/P42,"n/a")</f>
        <v/>
      </c>
      <c r="AF42" s="15" t="n">
        <v>0</v>
      </c>
      <c r="AG42" s="6">
        <f>IF(AND(C42=1,AF42=1),1+SUMPRODUCT($C$12:$C$267*$AF$12:$AF$267*(($M$12:$M$267&lt;M42)+($M$12:$M$267=M42)*($N$12:$N$267&lt;N42)+($M$12:$M$267=M42)*($N$12:$N$267=N42)*($A$12:$A$267&lt;A42))),0)</f>
        <v/>
      </c>
    </row>
    <row r="43">
      <c r="A43" s="4" t="n">
        <v>32</v>
      </c>
      <c r="B43" s="4" t="inlineStr">
        <is>
          <t>2A + 2B + 3E + 3F + 19A</t>
        </is>
      </c>
      <c r="C43" s="10">
        <f>IF(SUMPRODUCT(D43:K43,1-$D$5:$K$5)=0,1,0)</f>
        <v/>
      </c>
      <c r="D43" s="4" t="n">
        <v>0</v>
      </c>
      <c r="E43" s="4" t="n">
        <v>0</v>
      </c>
      <c r="F43" s="4" t="n">
        <v>0</v>
      </c>
      <c r="G43" s="4" t="n">
        <v>1</v>
      </c>
      <c r="H43" s="4" t="n">
        <v>1</v>
      </c>
      <c r="I43" s="4" t="n">
        <v>1</v>
      </c>
      <c r="J43" s="4" t="n">
        <v>1</v>
      </c>
      <c r="K43" s="4" t="n">
        <v>1</v>
      </c>
      <c r="L43" s="6">
        <f>IF(C43=1,1+SUMPRODUCT(D43:K43,$D$9:$K$9),"")</f>
        <v/>
      </c>
      <c r="M43" s="6">
        <f>SUMPRODUCT(D43:K43,$D$6:$K$6)</f>
        <v/>
      </c>
      <c r="N43" s="6">
        <f>SUMPRODUCT(D43:K43,$D$7:$K$7)</f>
        <v/>
      </c>
      <c r="O43" s="25">
        <f>SUMPRODUCT(D43:K43,$D$8:$K$8)</f>
        <v/>
      </c>
      <c r="P43" s="21">
        <f>M43/10^in_out_dp</f>
        <v/>
      </c>
      <c r="Q43" s="26">
        <f>N43/10^in_cost_dp</f>
        <v/>
      </c>
      <c r="R43" s="10">
        <f>IF(SUM(D43:K43)=0,1,0)</f>
        <v/>
      </c>
      <c r="S43" s="10">
        <f>SUMPRODUCT($C$12:$C$267*(($M$12:$M$267=M43)*($N$12:$N$267&lt;N43)+($M$12:$M$267&gt;M43)*($N$12:$N$267&lt;=N43)))</f>
        <v/>
      </c>
      <c r="T43" s="10">
        <f>IF(C43=0,0,IF(OR(R43=1,S43=0),1,0))</f>
        <v/>
      </c>
      <c r="U43" s="10">
        <f>IF(AND(T43=1,R43=0,M43&gt;0),1,0)</f>
        <v/>
      </c>
      <c r="V43" s="30">
        <f>IF(U43=1,MAX(N43/M43,SUMPRODUCT(MAX(((N43-$N$12:$N$267)*($U$12:$U$267*($M$12:$M$267&lt;M43)))/((M43-$M$12:$M$267)*($U$12:$U$267*($M$12:$M$267&lt;M43))+1-($U$12:$U$267*($M$12:$M$267&lt;M43)))-(1-($U$12:$U$267*($M$12:$M$267&lt;M43)))*1E+300))),0)</f>
        <v/>
      </c>
      <c r="W43" s="30">
        <f>IF(U43=1,SUMPRODUCT(MIN(((($N$12:$N$267-N43)*($U$12:$U$267*($M$12:$M$267&gt;M43)))/(($M$12:$M$267-M43)*($U$12:$U$267*($M$12:$M$267&gt;M43))+1-($U$12:$U$267*($M$12:$M$267&gt;M43)))+(1-($U$12:$U$267*($M$12:$M$267&gt;M43)))*1E+300))),0)</f>
        <v/>
      </c>
      <c r="X43" s="10">
        <f>IF(C43=0,0,IF(R43=1,1,IF(AND(U43=1,V43&lt;=W43),1,0)))</f>
        <v/>
      </c>
      <c r="Y43" s="10">
        <f>IF(X43=1,1+SUMPRODUCT($X$12:$X$267*(($M$12:$M$267&lt;M43)+($M$12:$M$267=M43)*($A$12:$A$267&lt;A43))),0)</f>
        <v/>
      </c>
      <c r="Z43" s="10">
        <f>IF(Y43&lt;=1,0,SUMPRODUCT(($Y$12:$Y$267=Y43-1)*$M$12:$M$267))</f>
        <v/>
      </c>
      <c r="AA43" s="10">
        <f>IF(Y43&lt;=1,0,SUMPRODUCT(($Y$12:$Y$267=Y43-1)*$N$12:$N$267))</f>
        <v/>
      </c>
      <c r="AB43" s="21">
        <f>IF(Y43=0,"",(M43-Z43)/10^in_out_dp)</f>
        <v/>
      </c>
      <c r="AC43" s="26">
        <f>IF(Y43=0,"",(N43-AA43)/10^in_cost_dp)</f>
        <v/>
      </c>
      <c r="AD43" s="26">
        <f>IF(Y43=0,"",IF(M43=Z43,0,AC43/AB43))</f>
        <v/>
      </c>
      <c r="AE43" s="26">
        <f>IF(AND(C43=1,M43&gt;0),Q43/P43,"n/a")</f>
        <v/>
      </c>
      <c r="AF43" s="15" t="n">
        <v>0</v>
      </c>
      <c r="AG43" s="6">
        <f>IF(AND(C43=1,AF43=1),1+SUMPRODUCT($C$12:$C$267*$AF$12:$AF$267*(($M$12:$M$267&lt;M43)+($M$12:$M$267=M43)*($N$12:$N$267&lt;N43)+($M$12:$M$267=M43)*($N$12:$N$267=N43)*($A$12:$A$267&lt;A43))),0)</f>
        <v/>
      </c>
    </row>
    <row r="44">
      <c r="A44" s="4" t="n">
        <v>33</v>
      </c>
      <c r="B44" s="4" t="inlineStr">
        <is>
          <t>17B</t>
        </is>
      </c>
      <c r="C44" s="10">
        <f>IF(SUMPRODUCT(D44:K44,1-$D$5:$K$5)=0,1,0)</f>
        <v/>
      </c>
      <c r="D44" s="4" t="n">
        <v>0</v>
      </c>
      <c r="E44" s="4" t="n">
        <v>0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6">
        <f>IF(C44=1,1+SUMPRODUCT(D44:K44,$D$9:$K$9),"")</f>
        <v/>
      </c>
      <c r="M44" s="6">
        <f>SUMPRODUCT(D44:K44,$D$6:$K$6)</f>
        <v/>
      </c>
      <c r="N44" s="6">
        <f>SUMPRODUCT(D44:K44,$D$7:$K$7)</f>
        <v/>
      </c>
      <c r="O44" s="25">
        <f>SUMPRODUCT(D44:K44,$D$8:$K$8)</f>
        <v/>
      </c>
      <c r="P44" s="21">
        <f>M44/10^in_out_dp</f>
        <v/>
      </c>
      <c r="Q44" s="26">
        <f>N44/10^in_cost_dp</f>
        <v/>
      </c>
      <c r="R44" s="10">
        <f>IF(SUM(D44:K44)=0,1,0)</f>
        <v/>
      </c>
      <c r="S44" s="10">
        <f>SUMPRODUCT($C$12:$C$267*(($M$12:$M$267=M44)*($N$12:$N$267&lt;N44)+($M$12:$M$267&gt;M44)*($N$12:$N$267&lt;=N44)))</f>
        <v/>
      </c>
      <c r="T44" s="10">
        <f>IF(C44=0,0,IF(OR(R44=1,S44=0),1,0))</f>
        <v/>
      </c>
      <c r="U44" s="10">
        <f>IF(AND(T44=1,R44=0,M44&gt;0),1,0)</f>
        <v/>
      </c>
      <c r="V44" s="30">
        <f>IF(U44=1,MAX(N44/M44,SUMPRODUCT(MAX(((N44-$N$12:$N$267)*($U$12:$U$267*($M$12:$M$267&lt;M44)))/((M44-$M$12:$M$267)*($U$12:$U$267*($M$12:$M$267&lt;M44))+1-($U$12:$U$267*($M$12:$M$267&lt;M44)))-(1-($U$12:$U$267*($M$12:$M$267&lt;M44)))*1E+300))),0)</f>
        <v/>
      </c>
      <c r="W44" s="30">
        <f>IF(U44=1,SUMPRODUCT(MIN(((($N$12:$N$267-N44)*($U$12:$U$267*($M$12:$M$267&gt;M44)))/(($M$12:$M$267-M44)*($U$12:$U$267*($M$12:$M$267&gt;M44))+1-($U$12:$U$267*($M$12:$M$267&gt;M44)))+(1-($U$12:$U$267*($M$12:$M$267&gt;M44)))*1E+300))),0)</f>
        <v/>
      </c>
      <c r="X44" s="10">
        <f>IF(C44=0,0,IF(R44=1,1,IF(AND(U44=1,V44&lt;=W44),1,0)))</f>
        <v/>
      </c>
      <c r="Y44" s="10">
        <f>IF(X44=1,1+SUMPRODUCT($X$12:$X$267*(($M$12:$M$267&lt;M44)+($M$12:$M$267=M44)*($A$12:$A$267&lt;A44))),0)</f>
        <v/>
      </c>
      <c r="Z44" s="10">
        <f>IF(Y44&lt;=1,0,SUMPRODUCT(($Y$12:$Y$267=Y44-1)*$M$12:$M$267))</f>
        <v/>
      </c>
      <c r="AA44" s="10">
        <f>IF(Y44&lt;=1,0,SUMPRODUCT(($Y$12:$Y$267=Y44-1)*$N$12:$N$267))</f>
        <v/>
      </c>
      <c r="AB44" s="21">
        <f>IF(Y44=0,"",(M44-Z44)/10^in_out_dp)</f>
        <v/>
      </c>
      <c r="AC44" s="26">
        <f>IF(Y44=0,"",(N44-AA44)/10^in_cost_dp)</f>
        <v/>
      </c>
      <c r="AD44" s="26">
        <f>IF(Y44=0,"",IF(M44=Z44,0,AC44/AB44))</f>
        <v/>
      </c>
      <c r="AE44" s="26">
        <f>IF(AND(C44=1,M44&gt;0),Q44/P44,"n/a")</f>
        <v/>
      </c>
      <c r="AF44" s="15" t="n">
        <v>0</v>
      </c>
      <c r="AG44" s="6">
        <f>IF(AND(C44=1,AF44=1),1+SUMPRODUCT($C$12:$C$267*$AF$12:$AF$267*(($M$12:$M$267&lt;M44)+($M$12:$M$267=M44)*($N$12:$N$267&lt;N44)+($M$12:$M$267=M44)*($N$12:$N$267=N44)*($A$12:$A$267&lt;A44))),0)</f>
        <v/>
      </c>
    </row>
    <row r="45">
      <c r="A45" s="4" t="n">
        <v>34</v>
      </c>
      <c r="B45" s="4" t="inlineStr">
        <is>
          <t>17B + 19A</t>
        </is>
      </c>
      <c r="C45" s="10">
        <f>IF(SUMPRODUCT(D45:K45,1-$D$5:$K$5)=0,1,0)</f>
        <v/>
      </c>
      <c r="D45" s="4" t="n">
        <v>0</v>
      </c>
      <c r="E45" s="4" t="n">
        <v>0</v>
      </c>
      <c r="F45" s="4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1</v>
      </c>
      <c r="L45" s="6">
        <f>IF(C45=1,1+SUMPRODUCT(D45:K45,$D$9:$K$9),"")</f>
        <v/>
      </c>
      <c r="M45" s="6">
        <f>SUMPRODUCT(D45:K45,$D$6:$K$6)</f>
        <v/>
      </c>
      <c r="N45" s="6">
        <f>SUMPRODUCT(D45:K45,$D$7:$K$7)</f>
        <v/>
      </c>
      <c r="O45" s="25">
        <f>SUMPRODUCT(D45:K45,$D$8:$K$8)</f>
        <v/>
      </c>
      <c r="P45" s="21">
        <f>M45/10^in_out_dp</f>
        <v/>
      </c>
      <c r="Q45" s="26">
        <f>N45/10^in_cost_dp</f>
        <v/>
      </c>
      <c r="R45" s="10">
        <f>IF(SUM(D45:K45)=0,1,0)</f>
        <v/>
      </c>
      <c r="S45" s="10">
        <f>SUMPRODUCT($C$12:$C$267*(($M$12:$M$267=M45)*($N$12:$N$267&lt;N45)+($M$12:$M$267&gt;M45)*($N$12:$N$267&lt;=N45)))</f>
        <v/>
      </c>
      <c r="T45" s="10">
        <f>IF(C45=0,0,IF(OR(R45=1,S45=0),1,0))</f>
        <v/>
      </c>
      <c r="U45" s="10">
        <f>IF(AND(T45=1,R45=0,M45&gt;0),1,0)</f>
        <v/>
      </c>
      <c r="V45" s="30">
        <f>IF(U45=1,MAX(N45/M45,SUMPRODUCT(MAX(((N45-$N$12:$N$267)*($U$12:$U$267*($M$12:$M$267&lt;M45)))/((M45-$M$12:$M$267)*($U$12:$U$267*($M$12:$M$267&lt;M45))+1-($U$12:$U$267*($M$12:$M$267&lt;M45)))-(1-($U$12:$U$267*($M$12:$M$267&lt;M45)))*1E+300))),0)</f>
        <v/>
      </c>
      <c r="W45" s="30">
        <f>IF(U45=1,SUMPRODUCT(MIN(((($N$12:$N$267-N45)*($U$12:$U$267*($M$12:$M$267&gt;M45)))/(($M$12:$M$267-M45)*($U$12:$U$267*($M$12:$M$267&gt;M45))+1-($U$12:$U$267*($M$12:$M$267&gt;M45)))+(1-($U$12:$U$267*($M$12:$M$267&gt;M45)))*1E+300))),0)</f>
        <v/>
      </c>
      <c r="X45" s="10">
        <f>IF(C45=0,0,IF(R45=1,1,IF(AND(U45=1,V45&lt;=W45),1,0)))</f>
        <v/>
      </c>
      <c r="Y45" s="10">
        <f>IF(X45=1,1+SUMPRODUCT($X$12:$X$267*(($M$12:$M$267&lt;M45)+($M$12:$M$267=M45)*($A$12:$A$267&lt;A45))),0)</f>
        <v/>
      </c>
      <c r="Z45" s="10">
        <f>IF(Y45&lt;=1,0,SUMPRODUCT(($Y$12:$Y$267=Y45-1)*$M$12:$M$267))</f>
        <v/>
      </c>
      <c r="AA45" s="10">
        <f>IF(Y45&lt;=1,0,SUMPRODUCT(($Y$12:$Y$267=Y45-1)*$N$12:$N$267))</f>
        <v/>
      </c>
      <c r="AB45" s="21">
        <f>IF(Y45=0,"",(M45-Z45)/10^in_out_dp)</f>
        <v/>
      </c>
      <c r="AC45" s="26">
        <f>IF(Y45=0,"",(N45-AA45)/10^in_cost_dp)</f>
        <v/>
      </c>
      <c r="AD45" s="26">
        <f>IF(Y45=0,"",IF(M45=Z45,0,AC45/AB45))</f>
        <v/>
      </c>
      <c r="AE45" s="26">
        <f>IF(AND(C45=1,M45&gt;0),Q45/P45,"n/a")</f>
        <v/>
      </c>
      <c r="AF45" s="15" t="n">
        <v>0</v>
      </c>
      <c r="AG45" s="6">
        <f>IF(AND(C45=1,AF45=1),1+SUMPRODUCT($C$12:$C$267*$AF$12:$AF$267*(($M$12:$M$267&lt;M45)+($M$12:$M$267=M45)*($N$12:$N$267&lt;N45)+($M$12:$M$267=M45)*($N$12:$N$267=N45)*($A$12:$A$267&lt;A45))),0)</f>
        <v/>
      </c>
    </row>
    <row r="46">
      <c r="A46" s="4" t="n">
        <v>35</v>
      </c>
      <c r="B46" s="4" t="inlineStr">
        <is>
          <t>17B + 3F</t>
        </is>
      </c>
      <c r="C46" s="10">
        <f>IF(SUMPRODUCT(D46:K46,1-$D$5:$K$5)=0,1,0)</f>
        <v/>
      </c>
      <c r="D46" s="4" t="n">
        <v>0</v>
      </c>
      <c r="E46" s="4" t="n">
        <v>0</v>
      </c>
      <c r="F46" s="4" t="n">
        <v>1</v>
      </c>
      <c r="G46" s="4" t="n">
        <v>0</v>
      </c>
      <c r="H46" s="4" t="n">
        <v>0</v>
      </c>
      <c r="I46" s="4" t="n">
        <v>0</v>
      </c>
      <c r="J46" s="4" t="n">
        <v>1</v>
      </c>
      <c r="K46" s="4" t="n">
        <v>0</v>
      </c>
      <c r="L46" s="6">
        <f>IF(C46=1,1+SUMPRODUCT(D46:K46,$D$9:$K$9),"")</f>
        <v/>
      </c>
      <c r="M46" s="6">
        <f>SUMPRODUCT(D46:K46,$D$6:$K$6)</f>
        <v/>
      </c>
      <c r="N46" s="6">
        <f>SUMPRODUCT(D46:K46,$D$7:$K$7)</f>
        <v/>
      </c>
      <c r="O46" s="25">
        <f>SUMPRODUCT(D46:K46,$D$8:$K$8)</f>
        <v/>
      </c>
      <c r="P46" s="21">
        <f>M46/10^in_out_dp</f>
        <v/>
      </c>
      <c r="Q46" s="26">
        <f>N46/10^in_cost_dp</f>
        <v/>
      </c>
      <c r="R46" s="10">
        <f>IF(SUM(D46:K46)=0,1,0)</f>
        <v/>
      </c>
      <c r="S46" s="10">
        <f>SUMPRODUCT($C$12:$C$267*(($M$12:$M$267=M46)*($N$12:$N$267&lt;N46)+($M$12:$M$267&gt;M46)*($N$12:$N$267&lt;=N46)))</f>
        <v/>
      </c>
      <c r="T46" s="10">
        <f>IF(C46=0,0,IF(OR(R46=1,S46=0),1,0))</f>
        <v/>
      </c>
      <c r="U46" s="10">
        <f>IF(AND(T46=1,R46=0,M46&gt;0),1,0)</f>
        <v/>
      </c>
      <c r="V46" s="30">
        <f>IF(U46=1,MAX(N46/M46,SUMPRODUCT(MAX(((N46-$N$12:$N$267)*($U$12:$U$267*($M$12:$M$267&lt;M46)))/((M46-$M$12:$M$267)*($U$12:$U$267*($M$12:$M$267&lt;M46))+1-($U$12:$U$267*($M$12:$M$267&lt;M46)))-(1-($U$12:$U$267*($M$12:$M$267&lt;M46)))*1E+300))),0)</f>
        <v/>
      </c>
      <c r="W46" s="30">
        <f>IF(U46=1,SUMPRODUCT(MIN(((($N$12:$N$267-N46)*($U$12:$U$267*($M$12:$M$267&gt;M46)))/(($M$12:$M$267-M46)*($U$12:$U$267*($M$12:$M$267&gt;M46))+1-($U$12:$U$267*($M$12:$M$267&gt;M46)))+(1-($U$12:$U$267*($M$12:$M$267&gt;M46)))*1E+300))),0)</f>
        <v/>
      </c>
      <c r="X46" s="10">
        <f>IF(C46=0,0,IF(R46=1,1,IF(AND(U46=1,V46&lt;=W46),1,0)))</f>
        <v/>
      </c>
      <c r="Y46" s="10">
        <f>IF(X46=1,1+SUMPRODUCT($X$12:$X$267*(($M$12:$M$267&lt;M46)+($M$12:$M$267=M46)*($A$12:$A$267&lt;A46))),0)</f>
        <v/>
      </c>
      <c r="Z46" s="10">
        <f>IF(Y46&lt;=1,0,SUMPRODUCT(($Y$12:$Y$267=Y46-1)*$M$12:$M$267))</f>
        <v/>
      </c>
      <c r="AA46" s="10">
        <f>IF(Y46&lt;=1,0,SUMPRODUCT(($Y$12:$Y$267=Y46-1)*$N$12:$N$267))</f>
        <v/>
      </c>
      <c r="AB46" s="21">
        <f>IF(Y46=0,"",(M46-Z46)/10^in_out_dp)</f>
        <v/>
      </c>
      <c r="AC46" s="26">
        <f>IF(Y46=0,"",(N46-AA46)/10^in_cost_dp)</f>
        <v/>
      </c>
      <c r="AD46" s="26">
        <f>IF(Y46=0,"",IF(M46=Z46,0,AC46/AB46))</f>
        <v/>
      </c>
      <c r="AE46" s="26">
        <f>IF(AND(C46=1,M46&gt;0),Q46/P46,"n/a")</f>
        <v/>
      </c>
      <c r="AF46" s="15" t="n">
        <v>0</v>
      </c>
      <c r="AG46" s="6">
        <f>IF(AND(C46=1,AF46=1),1+SUMPRODUCT($C$12:$C$267*$AF$12:$AF$267*(($M$12:$M$267&lt;M46)+($M$12:$M$267=M46)*($N$12:$N$267&lt;N46)+($M$12:$M$267=M46)*($N$12:$N$267=N46)*($A$12:$A$267&lt;A46))),0)</f>
        <v/>
      </c>
    </row>
    <row r="47">
      <c r="A47" s="4" t="n">
        <v>36</v>
      </c>
      <c r="B47" s="4" t="inlineStr">
        <is>
          <t>17B + 3F + 19A</t>
        </is>
      </c>
      <c r="C47" s="10">
        <f>IF(SUMPRODUCT(D47:K47,1-$D$5:$K$5)=0,1,0)</f>
        <v/>
      </c>
      <c r="D47" s="4" t="n">
        <v>0</v>
      </c>
      <c r="E47" s="4" t="n">
        <v>0</v>
      </c>
      <c r="F47" s="4" t="n">
        <v>1</v>
      </c>
      <c r="G47" s="4" t="n">
        <v>0</v>
      </c>
      <c r="H47" s="4" t="n">
        <v>0</v>
      </c>
      <c r="I47" s="4" t="n">
        <v>0</v>
      </c>
      <c r="J47" s="4" t="n">
        <v>1</v>
      </c>
      <c r="K47" s="4" t="n">
        <v>1</v>
      </c>
      <c r="L47" s="6">
        <f>IF(C47=1,1+SUMPRODUCT(D47:K47,$D$9:$K$9),"")</f>
        <v/>
      </c>
      <c r="M47" s="6">
        <f>SUMPRODUCT(D47:K47,$D$6:$K$6)</f>
        <v/>
      </c>
      <c r="N47" s="6">
        <f>SUMPRODUCT(D47:K47,$D$7:$K$7)</f>
        <v/>
      </c>
      <c r="O47" s="25">
        <f>SUMPRODUCT(D47:K47,$D$8:$K$8)</f>
        <v/>
      </c>
      <c r="P47" s="21">
        <f>M47/10^in_out_dp</f>
        <v/>
      </c>
      <c r="Q47" s="26">
        <f>N47/10^in_cost_dp</f>
        <v/>
      </c>
      <c r="R47" s="10">
        <f>IF(SUM(D47:K47)=0,1,0)</f>
        <v/>
      </c>
      <c r="S47" s="10">
        <f>SUMPRODUCT($C$12:$C$267*(($M$12:$M$267=M47)*($N$12:$N$267&lt;N47)+($M$12:$M$267&gt;M47)*($N$12:$N$267&lt;=N47)))</f>
        <v/>
      </c>
      <c r="T47" s="10">
        <f>IF(C47=0,0,IF(OR(R47=1,S47=0),1,0))</f>
        <v/>
      </c>
      <c r="U47" s="10">
        <f>IF(AND(T47=1,R47=0,M47&gt;0),1,0)</f>
        <v/>
      </c>
      <c r="V47" s="30">
        <f>IF(U47=1,MAX(N47/M47,SUMPRODUCT(MAX(((N47-$N$12:$N$267)*($U$12:$U$267*($M$12:$M$267&lt;M47)))/((M47-$M$12:$M$267)*($U$12:$U$267*($M$12:$M$267&lt;M47))+1-($U$12:$U$267*($M$12:$M$267&lt;M47)))-(1-($U$12:$U$267*($M$12:$M$267&lt;M47)))*1E+300))),0)</f>
        <v/>
      </c>
      <c r="W47" s="30">
        <f>IF(U47=1,SUMPRODUCT(MIN(((($N$12:$N$267-N47)*($U$12:$U$267*($M$12:$M$267&gt;M47)))/(($M$12:$M$267-M47)*($U$12:$U$267*($M$12:$M$267&gt;M47))+1-($U$12:$U$267*($M$12:$M$267&gt;M47)))+(1-($U$12:$U$267*($M$12:$M$267&gt;M47)))*1E+300))),0)</f>
        <v/>
      </c>
      <c r="X47" s="10">
        <f>IF(C47=0,0,IF(R47=1,1,IF(AND(U47=1,V47&lt;=W47),1,0)))</f>
        <v/>
      </c>
      <c r="Y47" s="10">
        <f>IF(X47=1,1+SUMPRODUCT($X$12:$X$267*(($M$12:$M$267&lt;M47)+($M$12:$M$267=M47)*($A$12:$A$267&lt;A47))),0)</f>
        <v/>
      </c>
      <c r="Z47" s="10">
        <f>IF(Y47&lt;=1,0,SUMPRODUCT(($Y$12:$Y$267=Y47-1)*$M$12:$M$267))</f>
        <v/>
      </c>
      <c r="AA47" s="10">
        <f>IF(Y47&lt;=1,0,SUMPRODUCT(($Y$12:$Y$267=Y47-1)*$N$12:$N$267))</f>
        <v/>
      </c>
      <c r="AB47" s="21">
        <f>IF(Y47=0,"",(M47-Z47)/10^in_out_dp)</f>
        <v/>
      </c>
      <c r="AC47" s="26">
        <f>IF(Y47=0,"",(N47-AA47)/10^in_cost_dp)</f>
        <v/>
      </c>
      <c r="AD47" s="26">
        <f>IF(Y47=0,"",IF(M47=Z47,0,AC47/AB47))</f>
        <v/>
      </c>
      <c r="AE47" s="26">
        <f>IF(AND(C47=1,M47&gt;0),Q47/P47,"n/a")</f>
        <v/>
      </c>
      <c r="AF47" s="15" t="n">
        <v>0</v>
      </c>
      <c r="AG47" s="6">
        <f>IF(AND(C47=1,AF47=1),1+SUMPRODUCT($C$12:$C$267*$AF$12:$AF$267*(($M$12:$M$267&lt;M47)+($M$12:$M$267=M47)*($N$12:$N$267&lt;N47)+($M$12:$M$267=M47)*($N$12:$N$267=N47)*($A$12:$A$267&lt;A47))),0)</f>
        <v/>
      </c>
    </row>
    <row r="48">
      <c r="A48" s="4" t="n">
        <v>37</v>
      </c>
      <c r="B48" s="4" t="inlineStr">
        <is>
          <t>17B + 3E</t>
        </is>
      </c>
      <c r="C48" s="10">
        <f>IF(SUMPRODUCT(D48:K48,1-$D$5:$K$5)=0,1,0)</f>
        <v/>
      </c>
      <c r="D48" s="4" t="n">
        <v>0</v>
      </c>
      <c r="E48" s="4" t="n">
        <v>0</v>
      </c>
      <c r="F48" s="4" t="n">
        <v>1</v>
      </c>
      <c r="G48" s="4" t="n">
        <v>0</v>
      </c>
      <c r="H48" s="4" t="n">
        <v>0</v>
      </c>
      <c r="I48" s="4" t="n">
        <v>1</v>
      </c>
      <c r="J48" s="4" t="n">
        <v>0</v>
      </c>
      <c r="K48" s="4" t="n">
        <v>0</v>
      </c>
      <c r="L48" s="6">
        <f>IF(C48=1,1+SUMPRODUCT(D48:K48,$D$9:$K$9),"")</f>
        <v/>
      </c>
      <c r="M48" s="6">
        <f>SUMPRODUCT(D48:K48,$D$6:$K$6)</f>
        <v/>
      </c>
      <c r="N48" s="6">
        <f>SUMPRODUCT(D48:K48,$D$7:$K$7)</f>
        <v/>
      </c>
      <c r="O48" s="25">
        <f>SUMPRODUCT(D48:K48,$D$8:$K$8)</f>
        <v/>
      </c>
      <c r="P48" s="21">
        <f>M48/10^in_out_dp</f>
        <v/>
      </c>
      <c r="Q48" s="26">
        <f>N48/10^in_cost_dp</f>
        <v/>
      </c>
      <c r="R48" s="10">
        <f>IF(SUM(D48:K48)=0,1,0)</f>
        <v/>
      </c>
      <c r="S48" s="10">
        <f>SUMPRODUCT($C$12:$C$267*(($M$12:$M$267=M48)*($N$12:$N$267&lt;N48)+($M$12:$M$267&gt;M48)*($N$12:$N$267&lt;=N48)))</f>
        <v/>
      </c>
      <c r="T48" s="10">
        <f>IF(C48=0,0,IF(OR(R48=1,S48=0),1,0))</f>
        <v/>
      </c>
      <c r="U48" s="10">
        <f>IF(AND(T48=1,R48=0,M48&gt;0),1,0)</f>
        <v/>
      </c>
      <c r="V48" s="30">
        <f>IF(U48=1,MAX(N48/M48,SUMPRODUCT(MAX(((N48-$N$12:$N$267)*($U$12:$U$267*($M$12:$M$267&lt;M48)))/((M48-$M$12:$M$267)*($U$12:$U$267*($M$12:$M$267&lt;M48))+1-($U$12:$U$267*($M$12:$M$267&lt;M48)))-(1-($U$12:$U$267*($M$12:$M$267&lt;M48)))*1E+300))),0)</f>
        <v/>
      </c>
      <c r="W48" s="30">
        <f>IF(U48=1,SUMPRODUCT(MIN(((($N$12:$N$267-N48)*($U$12:$U$267*($M$12:$M$267&gt;M48)))/(($M$12:$M$267-M48)*($U$12:$U$267*($M$12:$M$267&gt;M48))+1-($U$12:$U$267*($M$12:$M$267&gt;M48)))+(1-($U$12:$U$267*($M$12:$M$267&gt;M48)))*1E+300))),0)</f>
        <v/>
      </c>
      <c r="X48" s="10">
        <f>IF(C48=0,0,IF(R48=1,1,IF(AND(U48=1,V48&lt;=W48),1,0)))</f>
        <v/>
      </c>
      <c r="Y48" s="10">
        <f>IF(X48=1,1+SUMPRODUCT($X$12:$X$267*(($M$12:$M$267&lt;M48)+($M$12:$M$267=M48)*($A$12:$A$267&lt;A48))),0)</f>
        <v/>
      </c>
      <c r="Z48" s="10">
        <f>IF(Y48&lt;=1,0,SUMPRODUCT(($Y$12:$Y$267=Y48-1)*$M$12:$M$267))</f>
        <v/>
      </c>
      <c r="AA48" s="10">
        <f>IF(Y48&lt;=1,0,SUMPRODUCT(($Y$12:$Y$267=Y48-1)*$N$12:$N$267))</f>
        <v/>
      </c>
      <c r="AB48" s="21">
        <f>IF(Y48=0,"",(M48-Z48)/10^in_out_dp)</f>
        <v/>
      </c>
      <c r="AC48" s="26">
        <f>IF(Y48=0,"",(N48-AA48)/10^in_cost_dp)</f>
        <v/>
      </c>
      <c r="AD48" s="26">
        <f>IF(Y48=0,"",IF(M48=Z48,0,AC48/AB48))</f>
        <v/>
      </c>
      <c r="AE48" s="26">
        <f>IF(AND(C48=1,M48&gt;0),Q48/P48,"n/a")</f>
        <v/>
      </c>
      <c r="AF48" s="15" t="n">
        <v>0</v>
      </c>
      <c r="AG48" s="6">
        <f>IF(AND(C48=1,AF48=1),1+SUMPRODUCT($C$12:$C$267*$AF$12:$AF$267*(($M$12:$M$267&lt;M48)+($M$12:$M$267=M48)*($N$12:$N$267&lt;N48)+($M$12:$M$267=M48)*($N$12:$N$267=N48)*($A$12:$A$267&lt;A48))),0)</f>
        <v/>
      </c>
    </row>
    <row r="49">
      <c r="A49" s="4" t="n">
        <v>38</v>
      </c>
      <c r="B49" s="4" t="inlineStr">
        <is>
          <t>17B + 3E + 19A</t>
        </is>
      </c>
      <c r="C49" s="10">
        <f>IF(SUMPRODUCT(D49:K49,1-$D$5:$K$5)=0,1,0)</f>
        <v/>
      </c>
      <c r="D49" s="4" t="n">
        <v>0</v>
      </c>
      <c r="E49" s="4" t="n">
        <v>0</v>
      </c>
      <c r="F49" s="4" t="n">
        <v>1</v>
      </c>
      <c r="G49" s="4" t="n">
        <v>0</v>
      </c>
      <c r="H49" s="4" t="n">
        <v>0</v>
      </c>
      <c r="I49" s="4" t="n">
        <v>1</v>
      </c>
      <c r="J49" s="4" t="n">
        <v>0</v>
      </c>
      <c r="K49" s="4" t="n">
        <v>1</v>
      </c>
      <c r="L49" s="6">
        <f>IF(C49=1,1+SUMPRODUCT(D49:K49,$D$9:$K$9),"")</f>
        <v/>
      </c>
      <c r="M49" s="6">
        <f>SUMPRODUCT(D49:K49,$D$6:$K$6)</f>
        <v/>
      </c>
      <c r="N49" s="6">
        <f>SUMPRODUCT(D49:K49,$D$7:$K$7)</f>
        <v/>
      </c>
      <c r="O49" s="25">
        <f>SUMPRODUCT(D49:K49,$D$8:$K$8)</f>
        <v/>
      </c>
      <c r="P49" s="21">
        <f>M49/10^in_out_dp</f>
        <v/>
      </c>
      <c r="Q49" s="26">
        <f>N49/10^in_cost_dp</f>
        <v/>
      </c>
      <c r="R49" s="10">
        <f>IF(SUM(D49:K49)=0,1,0)</f>
        <v/>
      </c>
      <c r="S49" s="10">
        <f>SUMPRODUCT($C$12:$C$267*(($M$12:$M$267=M49)*($N$12:$N$267&lt;N49)+($M$12:$M$267&gt;M49)*($N$12:$N$267&lt;=N49)))</f>
        <v/>
      </c>
      <c r="T49" s="10">
        <f>IF(C49=0,0,IF(OR(R49=1,S49=0),1,0))</f>
        <v/>
      </c>
      <c r="U49" s="10">
        <f>IF(AND(T49=1,R49=0,M49&gt;0),1,0)</f>
        <v/>
      </c>
      <c r="V49" s="30">
        <f>IF(U49=1,MAX(N49/M49,SUMPRODUCT(MAX(((N49-$N$12:$N$267)*($U$12:$U$267*($M$12:$M$267&lt;M49)))/((M49-$M$12:$M$267)*($U$12:$U$267*($M$12:$M$267&lt;M49))+1-($U$12:$U$267*($M$12:$M$267&lt;M49)))-(1-($U$12:$U$267*($M$12:$M$267&lt;M49)))*1E+300))),0)</f>
        <v/>
      </c>
      <c r="W49" s="30">
        <f>IF(U49=1,SUMPRODUCT(MIN(((($N$12:$N$267-N49)*($U$12:$U$267*($M$12:$M$267&gt;M49)))/(($M$12:$M$267-M49)*($U$12:$U$267*($M$12:$M$267&gt;M49))+1-($U$12:$U$267*($M$12:$M$267&gt;M49)))+(1-($U$12:$U$267*($M$12:$M$267&gt;M49)))*1E+300))),0)</f>
        <v/>
      </c>
      <c r="X49" s="10">
        <f>IF(C49=0,0,IF(R49=1,1,IF(AND(U49=1,V49&lt;=W49),1,0)))</f>
        <v/>
      </c>
      <c r="Y49" s="10">
        <f>IF(X49=1,1+SUMPRODUCT($X$12:$X$267*(($M$12:$M$267&lt;M49)+($M$12:$M$267=M49)*($A$12:$A$267&lt;A49))),0)</f>
        <v/>
      </c>
      <c r="Z49" s="10">
        <f>IF(Y49&lt;=1,0,SUMPRODUCT(($Y$12:$Y$267=Y49-1)*$M$12:$M$267))</f>
        <v/>
      </c>
      <c r="AA49" s="10">
        <f>IF(Y49&lt;=1,0,SUMPRODUCT(($Y$12:$Y$267=Y49-1)*$N$12:$N$267))</f>
        <v/>
      </c>
      <c r="AB49" s="21">
        <f>IF(Y49=0,"",(M49-Z49)/10^in_out_dp)</f>
        <v/>
      </c>
      <c r="AC49" s="26">
        <f>IF(Y49=0,"",(N49-AA49)/10^in_cost_dp)</f>
        <v/>
      </c>
      <c r="AD49" s="26">
        <f>IF(Y49=0,"",IF(M49=Z49,0,AC49/AB49))</f>
        <v/>
      </c>
      <c r="AE49" s="26">
        <f>IF(AND(C49=1,M49&gt;0),Q49/P49,"n/a")</f>
        <v/>
      </c>
      <c r="AF49" s="15" t="n">
        <v>0</v>
      </c>
      <c r="AG49" s="6">
        <f>IF(AND(C49=1,AF49=1),1+SUMPRODUCT($C$12:$C$267*$AF$12:$AF$267*(($M$12:$M$267&lt;M49)+($M$12:$M$267=M49)*($N$12:$N$267&lt;N49)+($M$12:$M$267=M49)*($N$12:$N$267=N49)*($A$12:$A$267&lt;A49))),0)</f>
        <v/>
      </c>
    </row>
    <row r="50">
      <c r="A50" s="4" t="n">
        <v>39</v>
      </c>
      <c r="B50" s="4" t="inlineStr">
        <is>
          <t>17B + 3E + 3F</t>
        </is>
      </c>
      <c r="C50" s="10">
        <f>IF(SUMPRODUCT(D50:K50,1-$D$5:$K$5)=0,1,0)</f>
        <v/>
      </c>
      <c r="D50" s="4" t="n">
        <v>0</v>
      </c>
      <c r="E50" s="4" t="n">
        <v>0</v>
      </c>
      <c r="F50" s="4" t="n">
        <v>1</v>
      </c>
      <c r="G50" s="4" t="n">
        <v>0</v>
      </c>
      <c r="H50" s="4" t="n">
        <v>0</v>
      </c>
      <c r="I50" s="4" t="n">
        <v>1</v>
      </c>
      <c r="J50" s="4" t="n">
        <v>1</v>
      </c>
      <c r="K50" s="4" t="n">
        <v>0</v>
      </c>
      <c r="L50" s="6">
        <f>IF(C50=1,1+SUMPRODUCT(D50:K50,$D$9:$K$9),"")</f>
        <v/>
      </c>
      <c r="M50" s="6">
        <f>SUMPRODUCT(D50:K50,$D$6:$K$6)</f>
        <v/>
      </c>
      <c r="N50" s="6">
        <f>SUMPRODUCT(D50:K50,$D$7:$K$7)</f>
        <v/>
      </c>
      <c r="O50" s="25">
        <f>SUMPRODUCT(D50:K50,$D$8:$K$8)</f>
        <v/>
      </c>
      <c r="P50" s="21">
        <f>M50/10^in_out_dp</f>
        <v/>
      </c>
      <c r="Q50" s="26">
        <f>N50/10^in_cost_dp</f>
        <v/>
      </c>
      <c r="R50" s="10">
        <f>IF(SUM(D50:K50)=0,1,0)</f>
        <v/>
      </c>
      <c r="S50" s="10">
        <f>SUMPRODUCT($C$12:$C$267*(($M$12:$M$267=M50)*($N$12:$N$267&lt;N50)+($M$12:$M$267&gt;M50)*($N$12:$N$267&lt;=N50)))</f>
        <v/>
      </c>
      <c r="T50" s="10">
        <f>IF(C50=0,0,IF(OR(R50=1,S50=0),1,0))</f>
        <v/>
      </c>
      <c r="U50" s="10">
        <f>IF(AND(T50=1,R50=0,M50&gt;0),1,0)</f>
        <v/>
      </c>
      <c r="V50" s="30">
        <f>IF(U50=1,MAX(N50/M50,SUMPRODUCT(MAX(((N50-$N$12:$N$267)*($U$12:$U$267*($M$12:$M$267&lt;M50)))/((M50-$M$12:$M$267)*($U$12:$U$267*($M$12:$M$267&lt;M50))+1-($U$12:$U$267*($M$12:$M$267&lt;M50)))-(1-($U$12:$U$267*($M$12:$M$267&lt;M50)))*1E+300))),0)</f>
        <v/>
      </c>
      <c r="W50" s="30">
        <f>IF(U50=1,SUMPRODUCT(MIN(((($N$12:$N$267-N50)*($U$12:$U$267*($M$12:$M$267&gt;M50)))/(($M$12:$M$267-M50)*($U$12:$U$267*($M$12:$M$267&gt;M50))+1-($U$12:$U$267*($M$12:$M$267&gt;M50)))+(1-($U$12:$U$267*($M$12:$M$267&gt;M50)))*1E+300))),0)</f>
        <v/>
      </c>
      <c r="X50" s="10">
        <f>IF(C50=0,0,IF(R50=1,1,IF(AND(U50=1,V50&lt;=W50),1,0)))</f>
        <v/>
      </c>
      <c r="Y50" s="10">
        <f>IF(X50=1,1+SUMPRODUCT($X$12:$X$267*(($M$12:$M$267&lt;M50)+($M$12:$M$267=M50)*($A$12:$A$267&lt;A50))),0)</f>
        <v/>
      </c>
      <c r="Z50" s="10">
        <f>IF(Y50&lt;=1,0,SUMPRODUCT(($Y$12:$Y$267=Y50-1)*$M$12:$M$267))</f>
        <v/>
      </c>
      <c r="AA50" s="10">
        <f>IF(Y50&lt;=1,0,SUMPRODUCT(($Y$12:$Y$267=Y50-1)*$N$12:$N$267))</f>
        <v/>
      </c>
      <c r="AB50" s="21">
        <f>IF(Y50=0,"",(M50-Z50)/10^in_out_dp)</f>
        <v/>
      </c>
      <c r="AC50" s="26">
        <f>IF(Y50=0,"",(N50-AA50)/10^in_cost_dp)</f>
        <v/>
      </c>
      <c r="AD50" s="26">
        <f>IF(Y50=0,"",IF(M50=Z50,0,AC50/AB50))</f>
        <v/>
      </c>
      <c r="AE50" s="26">
        <f>IF(AND(C50=1,M50&gt;0),Q50/P50,"n/a")</f>
        <v/>
      </c>
      <c r="AF50" s="15" t="n">
        <v>0</v>
      </c>
      <c r="AG50" s="6">
        <f>IF(AND(C50=1,AF50=1),1+SUMPRODUCT($C$12:$C$267*$AF$12:$AF$267*(($M$12:$M$267&lt;M50)+($M$12:$M$267=M50)*($N$12:$N$267&lt;N50)+($M$12:$M$267=M50)*($N$12:$N$267=N50)*($A$12:$A$267&lt;A50))),0)</f>
        <v/>
      </c>
    </row>
    <row r="51">
      <c r="A51" s="4" t="n">
        <v>40</v>
      </c>
      <c r="B51" s="4" t="inlineStr">
        <is>
          <t>17B + 3E + 3F + 19A</t>
        </is>
      </c>
      <c r="C51" s="10">
        <f>IF(SUMPRODUCT(D51:K51,1-$D$5:$K$5)=0,1,0)</f>
        <v/>
      </c>
      <c r="D51" s="4" t="n">
        <v>0</v>
      </c>
      <c r="E51" s="4" t="n">
        <v>0</v>
      </c>
      <c r="F51" s="4" t="n">
        <v>1</v>
      </c>
      <c r="G51" s="4" t="n">
        <v>0</v>
      </c>
      <c r="H51" s="4" t="n">
        <v>0</v>
      </c>
      <c r="I51" s="4" t="n">
        <v>1</v>
      </c>
      <c r="J51" s="4" t="n">
        <v>1</v>
      </c>
      <c r="K51" s="4" t="n">
        <v>1</v>
      </c>
      <c r="L51" s="6">
        <f>IF(C51=1,1+SUMPRODUCT(D51:K51,$D$9:$K$9),"")</f>
        <v/>
      </c>
      <c r="M51" s="6">
        <f>SUMPRODUCT(D51:K51,$D$6:$K$6)</f>
        <v/>
      </c>
      <c r="N51" s="6">
        <f>SUMPRODUCT(D51:K51,$D$7:$K$7)</f>
        <v/>
      </c>
      <c r="O51" s="25">
        <f>SUMPRODUCT(D51:K51,$D$8:$K$8)</f>
        <v/>
      </c>
      <c r="P51" s="21">
        <f>M51/10^in_out_dp</f>
        <v/>
      </c>
      <c r="Q51" s="26">
        <f>N51/10^in_cost_dp</f>
        <v/>
      </c>
      <c r="R51" s="10">
        <f>IF(SUM(D51:K51)=0,1,0)</f>
        <v/>
      </c>
      <c r="S51" s="10">
        <f>SUMPRODUCT($C$12:$C$267*(($M$12:$M$267=M51)*($N$12:$N$267&lt;N51)+($M$12:$M$267&gt;M51)*($N$12:$N$267&lt;=N51)))</f>
        <v/>
      </c>
      <c r="T51" s="10">
        <f>IF(C51=0,0,IF(OR(R51=1,S51=0),1,0))</f>
        <v/>
      </c>
      <c r="U51" s="10">
        <f>IF(AND(T51=1,R51=0,M51&gt;0),1,0)</f>
        <v/>
      </c>
      <c r="V51" s="30">
        <f>IF(U51=1,MAX(N51/M51,SUMPRODUCT(MAX(((N51-$N$12:$N$267)*($U$12:$U$267*($M$12:$M$267&lt;M51)))/((M51-$M$12:$M$267)*($U$12:$U$267*($M$12:$M$267&lt;M51))+1-($U$12:$U$267*($M$12:$M$267&lt;M51)))-(1-($U$12:$U$267*($M$12:$M$267&lt;M51)))*1E+300))),0)</f>
        <v/>
      </c>
      <c r="W51" s="30">
        <f>IF(U51=1,SUMPRODUCT(MIN(((($N$12:$N$267-N51)*($U$12:$U$267*($M$12:$M$267&gt;M51)))/(($M$12:$M$267-M51)*($U$12:$U$267*($M$12:$M$267&gt;M51))+1-($U$12:$U$267*($M$12:$M$267&gt;M51)))+(1-($U$12:$U$267*($M$12:$M$267&gt;M51)))*1E+300))),0)</f>
        <v/>
      </c>
      <c r="X51" s="10">
        <f>IF(C51=0,0,IF(R51=1,1,IF(AND(U51=1,V51&lt;=W51),1,0)))</f>
        <v/>
      </c>
      <c r="Y51" s="10">
        <f>IF(X51=1,1+SUMPRODUCT($X$12:$X$267*(($M$12:$M$267&lt;M51)+($M$12:$M$267=M51)*($A$12:$A$267&lt;A51))),0)</f>
        <v/>
      </c>
      <c r="Z51" s="10">
        <f>IF(Y51&lt;=1,0,SUMPRODUCT(($Y$12:$Y$267=Y51-1)*$M$12:$M$267))</f>
        <v/>
      </c>
      <c r="AA51" s="10">
        <f>IF(Y51&lt;=1,0,SUMPRODUCT(($Y$12:$Y$267=Y51-1)*$N$12:$N$267))</f>
        <v/>
      </c>
      <c r="AB51" s="21">
        <f>IF(Y51=0,"",(M51-Z51)/10^in_out_dp)</f>
        <v/>
      </c>
      <c r="AC51" s="26">
        <f>IF(Y51=0,"",(N51-AA51)/10^in_cost_dp)</f>
        <v/>
      </c>
      <c r="AD51" s="26">
        <f>IF(Y51=0,"",IF(M51=Z51,0,AC51/AB51))</f>
        <v/>
      </c>
      <c r="AE51" s="26">
        <f>IF(AND(C51=1,M51&gt;0),Q51/P51,"n/a")</f>
        <v/>
      </c>
      <c r="AF51" s="15" t="n">
        <v>0</v>
      </c>
      <c r="AG51" s="6">
        <f>IF(AND(C51=1,AF51=1),1+SUMPRODUCT($C$12:$C$267*$AF$12:$AF$267*(($M$12:$M$267&lt;M51)+($M$12:$M$267=M51)*($N$12:$N$267&lt;N51)+($M$12:$M$267=M51)*($N$12:$N$267=N51)*($A$12:$A$267&lt;A51))),0)</f>
        <v/>
      </c>
    </row>
    <row r="52">
      <c r="A52" s="4" t="n">
        <v>41</v>
      </c>
      <c r="B52" s="4" t="inlineStr">
        <is>
          <t>17B + 2B</t>
        </is>
      </c>
      <c r="C52" s="10">
        <f>IF(SUMPRODUCT(D52:K52,1-$D$5:$K$5)=0,1,0)</f>
        <v/>
      </c>
      <c r="D52" s="4" t="n">
        <v>0</v>
      </c>
      <c r="E52" s="4" t="n">
        <v>0</v>
      </c>
      <c r="F52" s="4" t="n">
        <v>1</v>
      </c>
      <c r="G52" s="4" t="n">
        <v>0</v>
      </c>
      <c r="H52" s="4" t="n">
        <v>1</v>
      </c>
      <c r="I52" s="4" t="n">
        <v>0</v>
      </c>
      <c r="J52" s="4" t="n">
        <v>0</v>
      </c>
      <c r="K52" s="4" t="n">
        <v>0</v>
      </c>
      <c r="L52" s="6">
        <f>IF(C52=1,1+SUMPRODUCT(D52:K52,$D$9:$K$9),"")</f>
        <v/>
      </c>
      <c r="M52" s="6">
        <f>SUMPRODUCT(D52:K52,$D$6:$K$6)</f>
        <v/>
      </c>
      <c r="N52" s="6">
        <f>SUMPRODUCT(D52:K52,$D$7:$K$7)</f>
        <v/>
      </c>
      <c r="O52" s="25">
        <f>SUMPRODUCT(D52:K52,$D$8:$K$8)</f>
        <v/>
      </c>
      <c r="P52" s="21">
        <f>M52/10^in_out_dp</f>
        <v/>
      </c>
      <c r="Q52" s="26">
        <f>N52/10^in_cost_dp</f>
        <v/>
      </c>
      <c r="R52" s="10">
        <f>IF(SUM(D52:K52)=0,1,0)</f>
        <v/>
      </c>
      <c r="S52" s="10">
        <f>SUMPRODUCT($C$12:$C$267*(($M$12:$M$267=M52)*($N$12:$N$267&lt;N52)+($M$12:$M$267&gt;M52)*($N$12:$N$267&lt;=N52)))</f>
        <v/>
      </c>
      <c r="T52" s="10">
        <f>IF(C52=0,0,IF(OR(R52=1,S52=0),1,0))</f>
        <v/>
      </c>
      <c r="U52" s="10">
        <f>IF(AND(T52=1,R52=0,M52&gt;0),1,0)</f>
        <v/>
      </c>
      <c r="V52" s="30">
        <f>IF(U52=1,MAX(N52/M52,SUMPRODUCT(MAX(((N52-$N$12:$N$267)*($U$12:$U$267*($M$12:$M$267&lt;M52)))/((M52-$M$12:$M$267)*($U$12:$U$267*($M$12:$M$267&lt;M52))+1-($U$12:$U$267*($M$12:$M$267&lt;M52)))-(1-($U$12:$U$267*($M$12:$M$267&lt;M52)))*1E+300))),0)</f>
        <v/>
      </c>
      <c r="W52" s="30">
        <f>IF(U52=1,SUMPRODUCT(MIN(((($N$12:$N$267-N52)*($U$12:$U$267*($M$12:$M$267&gt;M52)))/(($M$12:$M$267-M52)*($U$12:$U$267*($M$12:$M$267&gt;M52))+1-($U$12:$U$267*($M$12:$M$267&gt;M52)))+(1-($U$12:$U$267*($M$12:$M$267&gt;M52)))*1E+300))),0)</f>
        <v/>
      </c>
      <c r="X52" s="10">
        <f>IF(C52=0,0,IF(R52=1,1,IF(AND(U52=1,V52&lt;=W52),1,0)))</f>
        <v/>
      </c>
      <c r="Y52" s="10">
        <f>IF(X52=1,1+SUMPRODUCT($X$12:$X$267*(($M$12:$M$267&lt;M52)+($M$12:$M$267=M52)*($A$12:$A$267&lt;A52))),0)</f>
        <v/>
      </c>
      <c r="Z52" s="10">
        <f>IF(Y52&lt;=1,0,SUMPRODUCT(($Y$12:$Y$267=Y52-1)*$M$12:$M$267))</f>
        <v/>
      </c>
      <c r="AA52" s="10">
        <f>IF(Y52&lt;=1,0,SUMPRODUCT(($Y$12:$Y$267=Y52-1)*$N$12:$N$267))</f>
        <v/>
      </c>
      <c r="AB52" s="21">
        <f>IF(Y52=0,"",(M52-Z52)/10^in_out_dp)</f>
        <v/>
      </c>
      <c r="AC52" s="26">
        <f>IF(Y52=0,"",(N52-AA52)/10^in_cost_dp)</f>
        <v/>
      </c>
      <c r="AD52" s="26">
        <f>IF(Y52=0,"",IF(M52=Z52,0,AC52/AB52))</f>
        <v/>
      </c>
      <c r="AE52" s="26">
        <f>IF(AND(C52=1,M52&gt;0),Q52/P52,"n/a")</f>
        <v/>
      </c>
      <c r="AF52" s="15" t="n">
        <v>0</v>
      </c>
      <c r="AG52" s="6">
        <f>IF(AND(C52=1,AF52=1),1+SUMPRODUCT($C$12:$C$267*$AF$12:$AF$267*(($M$12:$M$267&lt;M52)+($M$12:$M$267=M52)*($N$12:$N$267&lt;N52)+($M$12:$M$267=M52)*($N$12:$N$267=N52)*($A$12:$A$267&lt;A52))),0)</f>
        <v/>
      </c>
    </row>
    <row r="53">
      <c r="A53" s="4" t="n">
        <v>42</v>
      </c>
      <c r="B53" s="4" t="inlineStr">
        <is>
          <t>17B + 2B + 19A</t>
        </is>
      </c>
      <c r="C53" s="10">
        <f>IF(SUMPRODUCT(D53:K53,1-$D$5:$K$5)=0,1,0)</f>
        <v/>
      </c>
      <c r="D53" s="4" t="n">
        <v>0</v>
      </c>
      <c r="E53" s="4" t="n">
        <v>0</v>
      </c>
      <c r="F53" s="4" t="n">
        <v>1</v>
      </c>
      <c r="G53" s="4" t="n">
        <v>0</v>
      </c>
      <c r="H53" s="4" t="n">
        <v>1</v>
      </c>
      <c r="I53" s="4" t="n">
        <v>0</v>
      </c>
      <c r="J53" s="4" t="n">
        <v>0</v>
      </c>
      <c r="K53" s="4" t="n">
        <v>1</v>
      </c>
      <c r="L53" s="6">
        <f>IF(C53=1,1+SUMPRODUCT(D53:K53,$D$9:$K$9),"")</f>
        <v/>
      </c>
      <c r="M53" s="6">
        <f>SUMPRODUCT(D53:K53,$D$6:$K$6)</f>
        <v/>
      </c>
      <c r="N53" s="6">
        <f>SUMPRODUCT(D53:K53,$D$7:$K$7)</f>
        <v/>
      </c>
      <c r="O53" s="25">
        <f>SUMPRODUCT(D53:K53,$D$8:$K$8)</f>
        <v/>
      </c>
      <c r="P53" s="21">
        <f>M53/10^in_out_dp</f>
        <v/>
      </c>
      <c r="Q53" s="26">
        <f>N53/10^in_cost_dp</f>
        <v/>
      </c>
      <c r="R53" s="10">
        <f>IF(SUM(D53:K53)=0,1,0)</f>
        <v/>
      </c>
      <c r="S53" s="10">
        <f>SUMPRODUCT($C$12:$C$267*(($M$12:$M$267=M53)*($N$12:$N$267&lt;N53)+($M$12:$M$267&gt;M53)*($N$12:$N$267&lt;=N53)))</f>
        <v/>
      </c>
      <c r="T53" s="10">
        <f>IF(C53=0,0,IF(OR(R53=1,S53=0),1,0))</f>
        <v/>
      </c>
      <c r="U53" s="10">
        <f>IF(AND(T53=1,R53=0,M53&gt;0),1,0)</f>
        <v/>
      </c>
      <c r="V53" s="30">
        <f>IF(U53=1,MAX(N53/M53,SUMPRODUCT(MAX(((N53-$N$12:$N$267)*($U$12:$U$267*($M$12:$M$267&lt;M53)))/((M53-$M$12:$M$267)*($U$12:$U$267*($M$12:$M$267&lt;M53))+1-($U$12:$U$267*($M$12:$M$267&lt;M53)))-(1-($U$12:$U$267*($M$12:$M$267&lt;M53)))*1E+300))),0)</f>
        <v/>
      </c>
      <c r="W53" s="30">
        <f>IF(U53=1,SUMPRODUCT(MIN(((($N$12:$N$267-N53)*($U$12:$U$267*($M$12:$M$267&gt;M53)))/(($M$12:$M$267-M53)*($U$12:$U$267*($M$12:$M$267&gt;M53))+1-($U$12:$U$267*($M$12:$M$267&gt;M53)))+(1-($U$12:$U$267*($M$12:$M$267&gt;M53)))*1E+300))),0)</f>
        <v/>
      </c>
      <c r="X53" s="10">
        <f>IF(C53=0,0,IF(R53=1,1,IF(AND(U53=1,V53&lt;=W53),1,0)))</f>
        <v/>
      </c>
      <c r="Y53" s="10">
        <f>IF(X53=1,1+SUMPRODUCT($X$12:$X$267*(($M$12:$M$267&lt;M53)+($M$12:$M$267=M53)*($A$12:$A$267&lt;A53))),0)</f>
        <v/>
      </c>
      <c r="Z53" s="10">
        <f>IF(Y53&lt;=1,0,SUMPRODUCT(($Y$12:$Y$267=Y53-1)*$M$12:$M$267))</f>
        <v/>
      </c>
      <c r="AA53" s="10">
        <f>IF(Y53&lt;=1,0,SUMPRODUCT(($Y$12:$Y$267=Y53-1)*$N$12:$N$267))</f>
        <v/>
      </c>
      <c r="AB53" s="21">
        <f>IF(Y53=0,"",(M53-Z53)/10^in_out_dp)</f>
        <v/>
      </c>
      <c r="AC53" s="26">
        <f>IF(Y53=0,"",(N53-AA53)/10^in_cost_dp)</f>
        <v/>
      </c>
      <c r="AD53" s="26">
        <f>IF(Y53=0,"",IF(M53=Z53,0,AC53/AB53))</f>
        <v/>
      </c>
      <c r="AE53" s="26">
        <f>IF(AND(C53=1,M53&gt;0),Q53/P53,"n/a")</f>
        <v/>
      </c>
      <c r="AF53" s="15" t="n">
        <v>0</v>
      </c>
      <c r="AG53" s="6">
        <f>IF(AND(C53=1,AF53=1),1+SUMPRODUCT($C$12:$C$267*$AF$12:$AF$267*(($M$12:$M$267&lt;M53)+($M$12:$M$267=M53)*($N$12:$N$267&lt;N53)+($M$12:$M$267=M53)*($N$12:$N$267=N53)*($A$12:$A$267&lt;A53))),0)</f>
        <v/>
      </c>
    </row>
    <row r="54">
      <c r="A54" s="4" t="n">
        <v>43</v>
      </c>
      <c r="B54" s="4" t="inlineStr">
        <is>
          <t>17B + 2B + 3F</t>
        </is>
      </c>
      <c r="C54" s="10">
        <f>IF(SUMPRODUCT(D54:K54,1-$D$5:$K$5)=0,1,0)</f>
        <v/>
      </c>
      <c r="D54" s="4" t="n">
        <v>0</v>
      </c>
      <c r="E54" s="4" t="n">
        <v>0</v>
      </c>
      <c r="F54" s="4" t="n">
        <v>1</v>
      </c>
      <c r="G54" s="4" t="n">
        <v>0</v>
      </c>
      <c r="H54" s="4" t="n">
        <v>1</v>
      </c>
      <c r="I54" s="4" t="n">
        <v>0</v>
      </c>
      <c r="J54" s="4" t="n">
        <v>1</v>
      </c>
      <c r="K54" s="4" t="n">
        <v>0</v>
      </c>
      <c r="L54" s="6">
        <f>IF(C54=1,1+SUMPRODUCT(D54:K54,$D$9:$K$9),"")</f>
        <v/>
      </c>
      <c r="M54" s="6">
        <f>SUMPRODUCT(D54:K54,$D$6:$K$6)</f>
        <v/>
      </c>
      <c r="N54" s="6">
        <f>SUMPRODUCT(D54:K54,$D$7:$K$7)</f>
        <v/>
      </c>
      <c r="O54" s="25">
        <f>SUMPRODUCT(D54:K54,$D$8:$K$8)</f>
        <v/>
      </c>
      <c r="P54" s="21">
        <f>M54/10^in_out_dp</f>
        <v/>
      </c>
      <c r="Q54" s="26">
        <f>N54/10^in_cost_dp</f>
        <v/>
      </c>
      <c r="R54" s="10">
        <f>IF(SUM(D54:K54)=0,1,0)</f>
        <v/>
      </c>
      <c r="S54" s="10">
        <f>SUMPRODUCT($C$12:$C$267*(($M$12:$M$267=M54)*($N$12:$N$267&lt;N54)+($M$12:$M$267&gt;M54)*($N$12:$N$267&lt;=N54)))</f>
        <v/>
      </c>
      <c r="T54" s="10">
        <f>IF(C54=0,0,IF(OR(R54=1,S54=0),1,0))</f>
        <v/>
      </c>
      <c r="U54" s="10">
        <f>IF(AND(T54=1,R54=0,M54&gt;0),1,0)</f>
        <v/>
      </c>
      <c r="V54" s="30">
        <f>IF(U54=1,MAX(N54/M54,SUMPRODUCT(MAX(((N54-$N$12:$N$267)*($U$12:$U$267*($M$12:$M$267&lt;M54)))/((M54-$M$12:$M$267)*($U$12:$U$267*($M$12:$M$267&lt;M54))+1-($U$12:$U$267*($M$12:$M$267&lt;M54)))-(1-($U$12:$U$267*($M$12:$M$267&lt;M54)))*1E+300))),0)</f>
        <v/>
      </c>
      <c r="W54" s="30">
        <f>IF(U54=1,SUMPRODUCT(MIN(((($N$12:$N$267-N54)*($U$12:$U$267*($M$12:$M$267&gt;M54)))/(($M$12:$M$267-M54)*($U$12:$U$267*($M$12:$M$267&gt;M54))+1-($U$12:$U$267*($M$12:$M$267&gt;M54)))+(1-($U$12:$U$267*($M$12:$M$267&gt;M54)))*1E+300))),0)</f>
        <v/>
      </c>
      <c r="X54" s="10">
        <f>IF(C54=0,0,IF(R54=1,1,IF(AND(U54=1,V54&lt;=W54),1,0)))</f>
        <v/>
      </c>
      <c r="Y54" s="10">
        <f>IF(X54=1,1+SUMPRODUCT($X$12:$X$267*(($M$12:$M$267&lt;M54)+($M$12:$M$267=M54)*($A$12:$A$267&lt;A54))),0)</f>
        <v/>
      </c>
      <c r="Z54" s="10">
        <f>IF(Y54&lt;=1,0,SUMPRODUCT(($Y$12:$Y$267=Y54-1)*$M$12:$M$267))</f>
        <v/>
      </c>
      <c r="AA54" s="10">
        <f>IF(Y54&lt;=1,0,SUMPRODUCT(($Y$12:$Y$267=Y54-1)*$N$12:$N$267))</f>
        <v/>
      </c>
      <c r="AB54" s="21">
        <f>IF(Y54=0,"",(M54-Z54)/10^in_out_dp)</f>
        <v/>
      </c>
      <c r="AC54" s="26">
        <f>IF(Y54=0,"",(N54-AA54)/10^in_cost_dp)</f>
        <v/>
      </c>
      <c r="AD54" s="26">
        <f>IF(Y54=0,"",IF(M54=Z54,0,AC54/AB54))</f>
        <v/>
      </c>
      <c r="AE54" s="26">
        <f>IF(AND(C54=1,M54&gt;0),Q54/P54,"n/a")</f>
        <v/>
      </c>
      <c r="AF54" s="15" t="n">
        <v>0</v>
      </c>
      <c r="AG54" s="6">
        <f>IF(AND(C54=1,AF54=1),1+SUMPRODUCT($C$12:$C$267*$AF$12:$AF$267*(($M$12:$M$267&lt;M54)+($M$12:$M$267=M54)*($N$12:$N$267&lt;N54)+($M$12:$M$267=M54)*($N$12:$N$267=N54)*($A$12:$A$267&lt;A54))),0)</f>
        <v/>
      </c>
    </row>
    <row r="55">
      <c r="A55" s="4" t="n">
        <v>44</v>
      </c>
      <c r="B55" s="4" t="inlineStr">
        <is>
          <t>17B + 2B + 3F + 19A</t>
        </is>
      </c>
      <c r="C55" s="10">
        <f>IF(SUMPRODUCT(D55:K55,1-$D$5:$K$5)=0,1,0)</f>
        <v/>
      </c>
      <c r="D55" s="4" t="n">
        <v>0</v>
      </c>
      <c r="E55" s="4" t="n">
        <v>0</v>
      </c>
      <c r="F55" s="4" t="n">
        <v>1</v>
      </c>
      <c r="G55" s="4" t="n">
        <v>0</v>
      </c>
      <c r="H55" s="4" t="n">
        <v>1</v>
      </c>
      <c r="I55" s="4" t="n">
        <v>0</v>
      </c>
      <c r="J55" s="4" t="n">
        <v>1</v>
      </c>
      <c r="K55" s="4" t="n">
        <v>1</v>
      </c>
      <c r="L55" s="6">
        <f>IF(C55=1,1+SUMPRODUCT(D55:K55,$D$9:$K$9),"")</f>
        <v/>
      </c>
      <c r="M55" s="6">
        <f>SUMPRODUCT(D55:K55,$D$6:$K$6)</f>
        <v/>
      </c>
      <c r="N55" s="6">
        <f>SUMPRODUCT(D55:K55,$D$7:$K$7)</f>
        <v/>
      </c>
      <c r="O55" s="25">
        <f>SUMPRODUCT(D55:K55,$D$8:$K$8)</f>
        <v/>
      </c>
      <c r="P55" s="21">
        <f>M55/10^in_out_dp</f>
        <v/>
      </c>
      <c r="Q55" s="26">
        <f>N55/10^in_cost_dp</f>
        <v/>
      </c>
      <c r="R55" s="10">
        <f>IF(SUM(D55:K55)=0,1,0)</f>
        <v/>
      </c>
      <c r="S55" s="10">
        <f>SUMPRODUCT($C$12:$C$267*(($M$12:$M$267=M55)*($N$12:$N$267&lt;N55)+($M$12:$M$267&gt;M55)*($N$12:$N$267&lt;=N55)))</f>
        <v/>
      </c>
      <c r="T55" s="10">
        <f>IF(C55=0,0,IF(OR(R55=1,S55=0),1,0))</f>
        <v/>
      </c>
      <c r="U55" s="10">
        <f>IF(AND(T55=1,R55=0,M55&gt;0),1,0)</f>
        <v/>
      </c>
      <c r="V55" s="30">
        <f>IF(U55=1,MAX(N55/M55,SUMPRODUCT(MAX(((N55-$N$12:$N$267)*($U$12:$U$267*($M$12:$M$267&lt;M55)))/((M55-$M$12:$M$267)*($U$12:$U$267*($M$12:$M$267&lt;M55))+1-($U$12:$U$267*($M$12:$M$267&lt;M55)))-(1-($U$12:$U$267*($M$12:$M$267&lt;M55)))*1E+300))),0)</f>
        <v/>
      </c>
      <c r="W55" s="30">
        <f>IF(U55=1,SUMPRODUCT(MIN(((($N$12:$N$267-N55)*($U$12:$U$267*($M$12:$M$267&gt;M55)))/(($M$12:$M$267-M55)*($U$12:$U$267*($M$12:$M$267&gt;M55))+1-($U$12:$U$267*($M$12:$M$267&gt;M55)))+(1-($U$12:$U$267*($M$12:$M$267&gt;M55)))*1E+300))),0)</f>
        <v/>
      </c>
      <c r="X55" s="10">
        <f>IF(C55=0,0,IF(R55=1,1,IF(AND(U55=1,V55&lt;=W55),1,0)))</f>
        <v/>
      </c>
      <c r="Y55" s="10">
        <f>IF(X55=1,1+SUMPRODUCT($X$12:$X$267*(($M$12:$M$267&lt;M55)+($M$12:$M$267=M55)*($A$12:$A$267&lt;A55))),0)</f>
        <v/>
      </c>
      <c r="Z55" s="10">
        <f>IF(Y55&lt;=1,0,SUMPRODUCT(($Y$12:$Y$267=Y55-1)*$M$12:$M$267))</f>
        <v/>
      </c>
      <c r="AA55" s="10">
        <f>IF(Y55&lt;=1,0,SUMPRODUCT(($Y$12:$Y$267=Y55-1)*$N$12:$N$267))</f>
        <v/>
      </c>
      <c r="AB55" s="21">
        <f>IF(Y55=0,"",(M55-Z55)/10^in_out_dp)</f>
        <v/>
      </c>
      <c r="AC55" s="26">
        <f>IF(Y55=0,"",(N55-AA55)/10^in_cost_dp)</f>
        <v/>
      </c>
      <c r="AD55" s="26">
        <f>IF(Y55=0,"",IF(M55=Z55,0,AC55/AB55))</f>
        <v/>
      </c>
      <c r="AE55" s="26">
        <f>IF(AND(C55=1,M55&gt;0),Q55/P55,"n/a")</f>
        <v/>
      </c>
      <c r="AF55" s="15" t="n">
        <v>0</v>
      </c>
      <c r="AG55" s="6">
        <f>IF(AND(C55=1,AF55=1),1+SUMPRODUCT($C$12:$C$267*$AF$12:$AF$267*(($M$12:$M$267&lt;M55)+($M$12:$M$267=M55)*($N$12:$N$267&lt;N55)+($M$12:$M$267=M55)*($N$12:$N$267=N55)*($A$12:$A$267&lt;A55))),0)</f>
        <v/>
      </c>
    </row>
    <row r="56">
      <c r="A56" s="4" t="n">
        <v>45</v>
      </c>
      <c r="B56" s="4" t="inlineStr">
        <is>
          <t>17B + 2B + 3E</t>
        </is>
      </c>
      <c r="C56" s="10">
        <f>IF(SUMPRODUCT(D56:K56,1-$D$5:$K$5)=0,1,0)</f>
        <v/>
      </c>
      <c r="D56" s="4" t="n">
        <v>0</v>
      </c>
      <c r="E56" s="4" t="n">
        <v>0</v>
      </c>
      <c r="F56" s="4" t="n">
        <v>1</v>
      </c>
      <c r="G56" s="4" t="n">
        <v>0</v>
      </c>
      <c r="H56" s="4" t="n">
        <v>1</v>
      </c>
      <c r="I56" s="4" t="n">
        <v>1</v>
      </c>
      <c r="J56" s="4" t="n">
        <v>0</v>
      </c>
      <c r="K56" s="4" t="n">
        <v>0</v>
      </c>
      <c r="L56" s="6">
        <f>IF(C56=1,1+SUMPRODUCT(D56:K56,$D$9:$K$9),"")</f>
        <v/>
      </c>
      <c r="M56" s="6">
        <f>SUMPRODUCT(D56:K56,$D$6:$K$6)</f>
        <v/>
      </c>
      <c r="N56" s="6">
        <f>SUMPRODUCT(D56:K56,$D$7:$K$7)</f>
        <v/>
      </c>
      <c r="O56" s="25">
        <f>SUMPRODUCT(D56:K56,$D$8:$K$8)</f>
        <v/>
      </c>
      <c r="P56" s="21">
        <f>M56/10^in_out_dp</f>
        <v/>
      </c>
      <c r="Q56" s="26">
        <f>N56/10^in_cost_dp</f>
        <v/>
      </c>
      <c r="R56" s="10">
        <f>IF(SUM(D56:K56)=0,1,0)</f>
        <v/>
      </c>
      <c r="S56" s="10">
        <f>SUMPRODUCT($C$12:$C$267*(($M$12:$M$267=M56)*($N$12:$N$267&lt;N56)+($M$12:$M$267&gt;M56)*($N$12:$N$267&lt;=N56)))</f>
        <v/>
      </c>
      <c r="T56" s="10">
        <f>IF(C56=0,0,IF(OR(R56=1,S56=0),1,0))</f>
        <v/>
      </c>
      <c r="U56" s="10">
        <f>IF(AND(T56=1,R56=0,M56&gt;0),1,0)</f>
        <v/>
      </c>
      <c r="V56" s="30">
        <f>IF(U56=1,MAX(N56/M56,SUMPRODUCT(MAX(((N56-$N$12:$N$267)*($U$12:$U$267*($M$12:$M$267&lt;M56)))/((M56-$M$12:$M$267)*($U$12:$U$267*($M$12:$M$267&lt;M56))+1-($U$12:$U$267*($M$12:$M$267&lt;M56)))-(1-($U$12:$U$267*($M$12:$M$267&lt;M56)))*1E+300))),0)</f>
        <v/>
      </c>
      <c r="W56" s="30">
        <f>IF(U56=1,SUMPRODUCT(MIN(((($N$12:$N$267-N56)*($U$12:$U$267*($M$12:$M$267&gt;M56)))/(($M$12:$M$267-M56)*($U$12:$U$267*($M$12:$M$267&gt;M56))+1-($U$12:$U$267*($M$12:$M$267&gt;M56)))+(1-($U$12:$U$267*($M$12:$M$267&gt;M56)))*1E+300))),0)</f>
        <v/>
      </c>
      <c r="X56" s="10">
        <f>IF(C56=0,0,IF(R56=1,1,IF(AND(U56=1,V56&lt;=W56),1,0)))</f>
        <v/>
      </c>
      <c r="Y56" s="10">
        <f>IF(X56=1,1+SUMPRODUCT($X$12:$X$267*(($M$12:$M$267&lt;M56)+($M$12:$M$267=M56)*($A$12:$A$267&lt;A56))),0)</f>
        <v/>
      </c>
      <c r="Z56" s="10">
        <f>IF(Y56&lt;=1,0,SUMPRODUCT(($Y$12:$Y$267=Y56-1)*$M$12:$M$267))</f>
        <v/>
      </c>
      <c r="AA56" s="10">
        <f>IF(Y56&lt;=1,0,SUMPRODUCT(($Y$12:$Y$267=Y56-1)*$N$12:$N$267))</f>
        <v/>
      </c>
      <c r="AB56" s="21">
        <f>IF(Y56=0,"",(M56-Z56)/10^in_out_dp)</f>
        <v/>
      </c>
      <c r="AC56" s="26">
        <f>IF(Y56=0,"",(N56-AA56)/10^in_cost_dp)</f>
        <v/>
      </c>
      <c r="AD56" s="26">
        <f>IF(Y56=0,"",IF(M56=Z56,0,AC56/AB56))</f>
        <v/>
      </c>
      <c r="AE56" s="26">
        <f>IF(AND(C56=1,M56&gt;0),Q56/P56,"n/a")</f>
        <v/>
      </c>
      <c r="AF56" s="15" t="n">
        <v>0</v>
      </c>
      <c r="AG56" s="6">
        <f>IF(AND(C56=1,AF56=1),1+SUMPRODUCT($C$12:$C$267*$AF$12:$AF$267*(($M$12:$M$267&lt;M56)+($M$12:$M$267=M56)*($N$12:$N$267&lt;N56)+($M$12:$M$267=M56)*($N$12:$N$267=N56)*($A$12:$A$267&lt;A56))),0)</f>
        <v/>
      </c>
    </row>
    <row r="57">
      <c r="A57" s="4" t="n">
        <v>46</v>
      </c>
      <c r="B57" s="4" t="inlineStr">
        <is>
          <t>17B + 2B + 3E + 19A</t>
        </is>
      </c>
      <c r="C57" s="10">
        <f>IF(SUMPRODUCT(D57:K57,1-$D$5:$K$5)=0,1,0)</f>
        <v/>
      </c>
      <c r="D57" s="4" t="n">
        <v>0</v>
      </c>
      <c r="E57" s="4" t="n">
        <v>0</v>
      </c>
      <c r="F57" s="4" t="n">
        <v>1</v>
      </c>
      <c r="G57" s="4" t="n">
        <v>0</v>
      </c>
      <c r="H57" s="4" t="n">
        <v>1</v>
      </c>
      <c r="I57" s="4" t="n">
        <v>1</v>
      </c>
      <c r="J57" s="4" t="n">
        <v>0</v>
      </c>
      <c r="K57" s="4" t="n">
        <v>1</v>
      </c>
      <c r="L57" s="6">
        <f>IF(C57=1,1+SUMPRODUCT(D57:K57,$D$9:$K$9),"")</f>
        <v/>
      </c>
      <c r="M57" s="6">
        <f>SUMPRODUCT(D57:K57,$D$6:$K$6)</f>
        <v/>
      </c>
      <c r="N57" s="6">
        <f>SUMPRODUCT(D57:K57,$D$7:$K$7)</f>
        <v/>
      </c>
      <c r="O57" s="25">
        <f>SUMPRODUCT(D57:K57,$D$8:$K$8)</f>
        <v/>
      </c>
      <c r="P57" s="21">
        <f>M57/10^in_out_dp</f>
        <v/>
      </c>
      <c r="Q57" s="26">
        <f>N57/10^in_cost_dp</f>
        <v/>
      </c>
      <c r="R57" s="10">
        <f>IF(SUM(D57:K57)=0,1,0)</f>
        <v/>
      </c>
      <c r="S57" s="10">
        <f>SUMPRODUCT($C$12:$C$267*(($M$12:$M$267=M57)*($N$12:$N$267&lt;N57)+($M$12:$M$267&gt;M57)*($N$12:$N$267&lt;=N57)))</f>
        <v/>
      </c>
      <c r="T57" s="10">
        <f>IF(C57=0,0,IF(OR(R57=1,S57=0),1,0))</f>
        <v/>
      </c>
      <c r="U57" s="10">
        <f>IF(AND(T57=1,R57=0,M57&gt;0),1,0)</f>
        <v/>
      </c>
      <c r="V57" s="30">
        <f>IF(U57=1,MAX(N57/M57,SUMPRODUCT(MAX(((N57-$N$12:$N$267)*($U$12:$U$267*($M$12:$M$267&lt;M57)))/((M57-$M$12:$M$267)*($U$12:$U$267*($M$12:$M$267&lt;M57))+1-($U$12:$U$267*($M$12:$M$267&lt;M57)))-(1-($U$12:$U$267*($M$12:$M$267&lt;M57)))*1E+300))),0)</f>
        <v/>
      </c>
      <c r="W57" s="30">
        <f>IF(U57=1,SUMPRODUCT(MIN(((($N$12:$N$267-N57)*($U$12:$U$267*($M$12:$M$267&gt;M57)))/(($M$12:$M$267-M57)*($U$12:$U$267*($M$12:$M$267&gt;M57))+1-($U$12:$U$267*($M$12:$M$267&gt;M57)))+(1-($U$12:$U$267*($M$12:$M$267&gt;M57)))*1E+300))),0)</f>
        <v/>
      </c>
      <c r="X57" s="10">
        <f>IF(C57=0,0,IF(R57=1,1,IF(AND(U57=1,V57&lt;=W57),1,0)))</f>
        <v/>
      </c>
      <c r="Y57" s="10">
        <f>IF(X57=1,1+SUMPRODUCT($X$12:$X$267*(($M$12:$M$267&lt;M57)+($M$12:$M$267=M57)*($A$12:$A$267&lt;A57))),0)</f>
        <v/>
      </c>
      <c r="Z57" s="10">
        <f>IF(Y57&lt;=1,0,SUMPRODUCT(($Y$12:$Y$267=Y57-1)*$M$12:$M$267))</f>
        <v/>
      </c>
      <c r="AA57" s="10">
        <f>IF(Y57&lt;=1,0,SUMPRODUCT(($Y$12:$Y$267=Y57-1)*$N$12:$N$267))</f>
        <v/>
      </c>
      <c r="AB57" s="21">
        <f>IF(Y57=0,"",(M57-Z57)/10^in_out_dp)</f>
        <v/>
      </c>
      <c r="AC57" s="26">
        <f>IF(Y57=0,"",(N57-AA57)/10^in_cost_dp)</f>
        <v/>
      </c>
      <c r="AD57" s="26">
        <f>IF(Y57=0,"",IF(M57=Z57,0,AC57/AB57))</f>
        <v/>
      </c>
      <c r="AE57" s="26">
        <f>IF(AND(C57=1,M57&gt;0),Q57/P57,"n/a")</f>
        <v/>
      </c>
      <c r="AF57" s="15" t="n">
        <v>0</v>
      </c>
      <c r="AG57" s="6">
        <f>IF(AND(C57=1,AF57=1),1+SUMPRODUCT($C$12:$C$267*$AF$12:$AF$267*(($M$12:$M$267&lt;M57)+($M$12:$M$267=M57)*($N$12:$N$267&lt;N57)+($M$12:$M$267=M57)*($N$12:$N$267=N57)*($A$12:$A$267&lt;A57))),0)</f>
        <v/>
      </c>
    </row>
    <row r="58">
      <c r="A58" s="4" t="n">
        <v>47</v>
      </c>
      <c r="B58" s="4" t="inlineStr">
        <is>
          <t>17B + 2B + 3E + 3F</t>
        </is>
      </c>
      <c r="C58" s="10">
        <f>IF(SUMPRODUCT(D58:K58,1-$D$5:$K$5)=0,1,0)</f>
        <v/>
      </c>
      <c r="D58" s="4" t="n">
        <v>0</v>
      </c>
      <c r="E58" s="4" t="n">
        <v>0</v>
      </c>
      <c r="F58" s="4" t="n">
        <v>1</v>
      </c>
      <c r="G58" s="4" t="n">
        <v>0</v>
      </c>
      <c r="H58" s="4" t="n">
        <v>1</v>
      </c>
      <c r="I58" s="4" t="n">
        <v>1</v>
      </c>
      <c r="J58" s="4" t="n">
        <v>1</v>
      </c>
      <c r="K58" s="4" t="n">
        <v>0</v>
      </c>
      <c r="L58" s="6">
        <f>IF(C58=1,1+SUMPRODUCT(D58:K58,$D$9:$K$9),"")</f>
        <v/>
      </c>
      <c r="M58" s="6">
        <f>SUMPRODUCT(D58:K58,$D$6:$K$6)</f>
        <v/>
      </c>
      <c r="N58" s="6">
        <f>SUMPRODUCT(D58:K58,$D$7:$K$7)</f>
        <v/>
      </c>
      <c r="O58" s="25">
        <f>SUMPRODUCT(D58:K58,$D$8:$K$8)</f>
        <v/>
      </c>
      <c r="P58" s="21">
        <f>M58/10^in_out_dp</f>
        <v/>
      </c>
      <c r="Q58" s="26">
        <f>N58/10^in_cost_dp</f>
        <v/>
      </c>
      <c r="R58" s="10">
        <f>IF(SUM(D58:K58)=0,1,0)</f>
        <v/>
      </c>
      <c r="S58" s="10">
        <f>SUMPRODUCT($C$12:$C$267*(($M$12:$M$267=M58)*($N$12:$N$267&lt;N58)+($M$12:$M$267&gt;M58)*($N$12:$N$267&lt;=N58)))</f>
        <v/>
      </c>
      <c r="T58" s="10">
        <f>IF(C58=0,0,IF(OR(R58=1,S58=0),1,0))</f>
        <v/>
      </c>
      <c r="U58" s="10">
        <f>IF(AND(T58=1,R58=0,M58&gt;0),1,0)</f>
        <v/>
      </c>
      <c r="V58" s="30">
        <f>IF(U58=1,MAX(N58/M58,SUMPRODUCT(MAX(((N58-$N$12:$N$267)*($U$12:$U$267*($M$12:$M$267&lt;M58)))/((M58-$M$12:$M$267)*($U$12:$U$267*($M$12:$M$267&lt;M58))+1-($U$12:$U$267*($M$12:$M$267&lt;M58)))-(1-($U$12:$U$267*($M$12:$M$267&lt;M58)))*1E+300))),0)</f>
        <v/>
      </c>
      <c r="W58" s="30">
        <f>IF(U58=1,SUMPRODUCT(MIN(((($N$12:$N$267-N58)*($U$12:$U$267*($M$12:$M$267&gt;M58)))/(($M$12:$M$267-M58)*($U$12:$U$267*($M$12:$M$267&gt;M58))+1-($U$12:$U$267*($M$12:$M$267&gt;M58)))+(1-($U$12:$U$267*($M$12:$M$267&gt;M58)))*1E+300))),0)</f>
        <v/>
      </c>
      <c r="X58" s="10">
        <f>IF(C58=0,0,IF(R58=1,1,IF(AND(U58=1,V58&lt;=W58),1,0)))</f>
        <v/>
      </c>
      <c r="Y58" s="10">
        <f>IF(X58=1,1+SUMPRODUCT($X$12:$X$267*(($M$12:$M$267&lt;M58)+($M$12:$M$267=M58)*($A$12:$A$267&lt;A58))),0)</f>
        <v/>
      </c>
      <c r="Z58" s="10">
        <f>IF(Y58&lt;=1,0,SUMPRODUCT(($Y$12:$Y$267=Y58-1)*$M$12:$M$267))</f>
        <v/>
      </c>
      <c r="AA58" s="10">
        <f>IF(Y58&lt;=1,0,SUMPRODUCT(($Y$12:$Y$267=Y58-1)*$N$12:$N$267))</f>
        <v/>
      </c>
      <c r="AB58" s="21">
        <f>IF(Y58=0,"",(M58-Z58)/10^in_out_dp)</f>
        <v/>
      </c>
      <c r="AC58" s="26">
        <f>IF(Y58=0,"",(N58-AA58)/10^in_cost_dp)</f>
        <v/>
      </c>
      <c r="AD58" s="26">
        <f>IF(Y58=0,"",IF(M58=Z58,0,AC58/AB58))</f>
        <v/>
      </c>
      <c r="AE58" s="26">
        <f>IF(AND(C58=1,M58&gt;0),Q58/P58,"n/a")</f>
        <v/>
      </c>
      <c r="AF58" s="15" t="n">
        <v>0</v>
      </c>
      <c r="AG58" s="6">
        <f>IF(AND(C58=1,AF58=1),1+SUMPRODUCT($C$12:$C$267*$AF$12:$AF$267*(($M$12:$M$267&lt;M58)+($M$12:$M$267=M58)*($N$12:$N$267&lt;N58)+($M$12:$M$267=M58)*($N$12:$N$267=N58)*($A$12:$A$267&lt;A58))),0)</f>
        <v/>
      </c>
    </row>
    <row r="59">
      <c r="A59" s="4" t="n">
        <v>48</v>
      </c>
      <c r="B59" s="4" t="inlineStr">
        <is>
          <t>17B + 2B + 3E + 3F + 19A</t>
        </is>
      </c>
      <c r="C59" s="10">
        <f>IF(SUMPRODUCT(D59:K59,1-$D$5:$K$5)=0,1,0)</f>
        <v/>
      </c>
      <c r="D59" s="4" t="n">
        <v>0</v>
      </c>
      <c r="E59" s="4" t="n">
        <v>0</v>
      </c>
      <c r="F59" s="4" t="n">
        <v>1</v>
      </c>
      <c r="G59" s="4" t="n">
        <v>0</v>
      </c>
      <c r="H59" s="4" t="n">
        <v>1</v>
      </c>
      <c r="I59" s="4" t="n">
        <v>1</v>
      </c>
      <c r="J59" s="4" t="n">
        <v>1</v>
      </c>
      <c r="K59" s="4" t="n">
        <v>1</v>
      </c>
      <c r="L59" s="6">
        <f>IF(C59=1,1+SUMPRODUCT(D59:K59,$D$9:$K$9),"")</f>
        <v/>
      </c>
      <c r="M59" s="6">
        <f>SUMPRODUCT(D59:K59,$D$6:$K$6)</f>
        <v/>
      </c>
      <c r="N59" s="6">
        <f>SUMPRODUCT(D59:K59,$D$7:$K$7)</f>
        <v/>
      </c>
      <c r="O59" s="25">
        <f>SUMPRODUCT(D59:K59,$D$8:$K$8)</f>
        <v/>
      </c>
      <c r="P59" s="21">
        <f>M59/10^in_out_dp</f>
        <v/>
      </c>
      <c r="Q59" s="26">
        <f>N59/10^in_cost_dp</f>
        <v/>
      </c>
      <c r="R59" s="10">
        <f>IF(SUM(D59:K59)=0,1,0)</f>
        <v/>
      </c>
      <c r="S59" s="10">
        <f>SUMPRODUCT($C$12:$C$267*(($M$12:$M$267=M59)*($N$12:$N$267&lt;N59)+($M$12:$M$267&gt;M59)*($N$12:$N$267&lt;=N59)))</f>
        <v/>
      </c>
      <c r="T59" s="10">
        <f>IF(C59=0,0,IF(OR(R59=1,S59=0),1,0))</f>
        <v/>
      </c>
      <c r="U59" s="10">
        <f>IF(AND(T59=1,R59=0,M59&gt;0),1,0)</f>
        <v/>
      </c>
      <c r="V59" s="30">
        <f>IF(U59=1,MAX(N59/M59,SUMPRODUCT(MAX(((N59-$N$12:$N$267)*($U$12:$U$267*($M$12:$M$267&lt;M59)))/((M59-$M$12:$M$267)*($U$12:$U$267*($M$12:$M$267&lt;M59))+1-($U$12:$U$267*($M$12:$M$267&lt;M59)))-(1-($U$12:$U$267*($M$12:$M$267&lt;M59)))*1E+300))),0)</f>
        <v/>
      </c>
      <c r="W59" s="30">
        <f>IF(U59=1,SUMPRODUCT(MIN(((($N$12:$N$267-N59)*($U$12:$U$267*($M$12:$M$267&gt;M59)))/(($M$12:$M$267-M59)*($U$12:$U$267*($M$12:$M$267&gt;M59))+1-($U$12:$U$267*($M$12:$M$267&gt;M59)))+(1-($U$12:$U$267*($M$12:$M$267&gt;M59)))*1E+300))),0)</f>
        <v/>
      </c>
      <c r="X59" s="10">
        <f>IF(C59=0,0,IF(R59=1,1,IF(AND(U59=1,V59&lt;=W59),1,0)))</f>
        <v/>
      </c>
      <c r="Y59" s="10">
        <f>IF(X59=1,1+SUMPRODUCT($X$12:$X$267*(($M$12:$M$267&lt;M59)+($M$12:$M$267=M59)*($A$12:$A$267&lt;A59))),0)</f>
        <v/>
      </c>
      <c r="Z59" s="10">
        <f>IF(Y59&lt;=1,0,SUMPRODUCT(($Y$12:$Y$267=Y59-1)*$M$12:$M$267))</f>
        <v/>
      </c>
      <c r="AA59" s="10">
        <f>IF(Y59&lt;=1,0,SUMPRODUCT(($Y$12:$Y$267=Y59-1)*$N$12:$N$267))</f>
        <v/>
      </c>
      <c r="AB59" s="21">
        <f>IF(Y59=0,"",(M59-Z59)/10^in_out_dp)</f>
        <v/>
      </c>
      <c r="AC59" s="26">
        <f>IF(Y59=0,"",(N59-AA59)/10^in_cost_dp)</f>
        <v/>
      </c>
      <c r="AD59" s="26">
        <f>IF(Y59=0,"",IF(M59=Z59,0,AC59/AB59))</f>
        <v/>
      </c>
      <c r="AE59" s="26">
        <f>IF(AND(C59=1,M59&gt;0),Q59/P59,"n/a")</f>
        <v/>
      </c>
      <c r="AF59" s="15" t="n">
        <v>0</v>
      </c>
      <c r="AG59" s="6">
        <f>IF(AND(C59=1,AF59=1),1+SUMPRODUCT($C$12:$C$267*$AF$12:$AF$267*(($M$12:$M$267&lt;M59)+($M$12:$M$267=M59)*($N$12:$N$267&lt;N59)+($M$12:$M$267=M59)*($N$12:$N$267=N59)*($A$12:$A$267&lt;A59))),0)</f>
        <v/>
      </c>
    </row>
    <row r="60">
      <c r="A60" s="4" t="n">
        <v>49</v>
      </c>
      <c r="B60" s="4" t="inlineStr">
        <is>
          <t>17B + 2A</t>
        </is>
      </c>
      <c r="C60" s="10">
        <f>IF(SUMPRODUCT(D60:K60,1-$D$5:$K$5)=0,1,0)</f>
        <v/>
      </c>
      <c r="D60" s="4" t="n">
        <v>0</v>
      </c>
      <c r="E60" s="4" t="n">
        <v>0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6">
        <f>IF(C60=1,1+SUMPRODUCT(D60:K60,$D$9:$K$9),"")</f>
        <v/>
      </c>
      <c r="M60" s="6">
        <f>SUMPRODUCT(D60:K60,$D$6:$K$6)</f>
        <v/>
      </c>
      <c r="N60" s="6">
        <f>SUMPRODUCT(D60:K60,$D$7:$K$7)</f>
        <v/>
      </c>
      <c r="O60" s="25">
        <f>SUMPRODUCT(D60:K60,$D$8:$K$8)</f>
        <v/>
      </c>
      <c r="P60" s="21">
        <f>M60/10^in_out_dp</f>
        <v/>
      </c>
      <c r="Q60" s="26">
        <f>N60/10^in_cost_dp</f>
        <v/>
      </c>
      <c r="R60" s="10">
        <f>IF(SUM(D60:K60)=0,1,0)</f>
        <v/>
      </c>
      <c r="S60" s="10">
        <f>SUMPRODUCT($C$12:$C$267*(($M$12:$M$267=M60)*($N$12:$N$267&lt;N60)+($M$12:$M$267&gt;M60)*($N$12:$N$267&lt;=N60)))</f>
        <v/>
      </c>
      <c r="T60" s="10">
        <f>IF(C60=0,0,IF(OR(R60=1,S60=0),1,0))</f>
        <v/>
      </c>
      <c r="U60" s="10">
        <f>IF(AND(T60=1,R60=0,M60&gt;0),1,0)</f>
        <v/>
      </c>
      <c r="V60" s="30">
        <f>IF(U60=1,MAX(N60/M60,SUMPRODUCT(MAX(((N60-$N$12:$N$267)*($U$12:$U$267*($M$12:$M$267&lt;M60)))/((M60-$M$12:$M$267)*($U$12:$U$267*($M$12:$M$267&lt;M60))+1-($U$12:$U$267*($M$12:$M$267&lt;M60)))-(1-($U$12:$U$267*($M$12:$M$267&lt;M60)))*1E+300))),0)</f>
        <v/>
      </c>
      <c r="W60" s="30">
        <f>IF(U60=1,SUMPRODUCT(MIN(((($N$12:$N$267-N60)*($U$12:$U$267*($M$12:$M$267&gt;M60)))/(($M$12:$M$267-M60)*($U$12:$U$267*($M$12:$M$267&gt;M60))+1-($U$12:$U$267*($M$12:$M$267&gt;M60)))+(1-($U$12:$U$267*($M$12:$M$267&gt;M60)))*1E+300))),0)</f>
        <v/>
      </c>
      <c r="X60" s="10">
        <f>IF(C60=0,0,IF(R60=1,1,IF(AND(U60=1,V60&lt;=W60),1,0)))</f>
        <v/>
      </c>
      <c r="Y60" s="10">
        <f>IF(X60=1,1+SUMPRODUCT($X$12:$X$267*(($M$12:$M$267&lt;M60)+($M$12:$M$267=M60)*($A$12:$A$267&lt;A60))),0)</f>
        <v/>
      </c>
      <c r="Z60" s="10">
        <f>IF(Y60&lt;=1,0,SUMPRODUCT(($Y$12:$Y$267=Y60-1)*$M$12:$M$267))</f>
        <v/>
      </c>
      <c r="AA60" s="10">
        <f>IF(Y60&lt;=1,0,SUMPRODUCT(($Y$12:$Y$267=Y60-1)*$N$12:$N$267))</f>
        <v/>
      </c>
      <c r="AB60" s="21">
        <f>IF(Y60=0,"",(M60-Z60)/10^in_out_dp)</f>
        <v/>
      </c>
      <c r="AC60" s="26">
        <f>IF(Y60=0,"",(N60-AA60)/10^in_cost_dp)</f>
        <v/>
      </c>
      <c r="AD60" s="26">
        <f>IF(Y60=0,"",IF(M60=Z60,0,AC60/AB60))</f>
        <v/>
      </c>
      <c r="AE60" s="26">
        <f>IF(AND(C60=1,M60&gt;0),Q60/P60,"n/a")</f>
        <v/>
      </c>
      <c r="AF60" s="15" t="n">
        <v>0</v>
      </c>
      <c r="AG60" s="6">
        <f>IF(AND(C60=1,AF60=1),1+SUMPRODUCT($C$12:$C$267*$AF$12:$AF$267*(($M$12:$M$267&lt;M60)+($M$12:$M$267=M60)*($N$12:$N$267&lt;N60)+($M$12:$M$267=M60)*($N$12:$N$267=N60)*($A$12:$A$267&lt;A60))),0)</f>
        <v/>
      </c>
    </row>
    <row r="61">
      <c r="A61" s="4" t="n">
        <v>50</v>
      </c>
      <c r="B61" s="4" t="inlineStr">
        <is>
          <t>17B + 2A + 19A</t>
        </is>
      </c>
      <c r="C61" s="10">
        <f>IF(SUMPRODUCT(D61:K61,1-$D$5:$K$5)=0,1,0)</f>
        <v/>
      </c>
      <c r="D61" s="4" t="n">
        <v>0</v>
      </c>
      <c r="E61" s="4" t="n">
        <v>0</v>
      </c>
      <c r="F61" s="4" t="n">
        <v>1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1</v>
      </c>
      <c r="L61" s="6">
        <f>IF(C61=1,1+SUMPRODUCT(D61:K61,$D$9:$K$9),"")</f>
        <v/>
      </c>
      <c r="M61" s="6">
        <f>SUMPRODUCT(D61:K61,$D$6:$K$6)</f>
        <v/>
      </c>
      <c r="N61" s="6">
        <f>SUMPRODUCT(D61:K61,$D$7:$K$7)</f>
        <v/>
      </c>
      <c r="O61" s="25">
        <f>SUMPRODUCT(D61:K61,$D$8:$K$8)</f>
        <v/>
      </c>
      <c r="P61" s="21">
        <f>M61/10^in_out_dp</f>
        <v/>
      </c>
      <c r="Q61" s="26">
        <f>N61/10^in_cost_dp</f>
        <v/>
      </c>
      <c r="R61" s="10">
        <f>IF(SUM(D61:K61)=0,1,0)</f>
        <v/>
      </c>
      <c r="S61" s="10">
        <f>SUMPRODUCT($C$12:$C$267*(($M$12:$M$267=M61)*($N$12:$N$267&lt;N61)+($M$12:$M$267&gt;M61)*($N$12:$N$267&lt;=N61)))</f>
        <v/>
      </c>
      <c r="T61" s="10">
        <f>IF(C61=0,0,IF(OR(R61=1,S61=0),1,0))</f>
        <v/>
      </c>
      <c r="U61" s="10">
        <f>IF(AND(T61=1,R61=0,M61&gt;0),1,0)</f>
        <v/>
      </c>
      <c r="V61" s="30">
        <f>IF(U61=1,MAX(N61/M61,SUMPRODUCT(MAX(((N61-$N$12:$N$267)*($U$12:$U$267*($M$12:$M$267&lt;M61)))/((M61-$M$12:$M$267)*($U$12:$U$267*($M$12:$M$267&lt;M61))+1-($U$12:$U$267*($M$12:$M$267&lt;M61)))-(1-($U$12:$U$267*($M$12:$M$267&lt;M61)))*1E+300))),0)</f>
        <v/>
      </c>
      <c r="W61" s="30">
        <f>IF(U61=1,SUMPRODUCT(MIN(((($N$12:$N$267-N61)*($U$12:$U$267*($M$12:$M$267&gt;M61)))/(($M$12:$M$267-M61)*($U$12:$U$267*($M$12:$M$267&gt;M61))+1-($U$12:$U$267*($M$12:$M$267&gt;M61)))+(1-($U$12:$U$267*($M$12:$M$267&gt;M61)))*1E+300))),0)</f>
        <v/>
      </c>
      <c r="X61" s="10">
        <f>IF(C61=0,0,IF(R61=1,1,IF(AND(U61=1,V61&lt;=W61),1,0)))</f>
        <v/>
      </c>
      <c r="Y61" s="10">
        <f>IF(X61=1,1+SUMPRODUCT($X$12:$X$267*(($M$12:$M$267&lt;M61)+($M$12:$M$267=M61)*($A$12:$A$267&lt;A61))),0)</f>
        <v/>
      </c>
      <c r="Z61" s="10">
        <f>IF(Y61&lt;=1,0,SUMPRODUCT(($Y$12:$Y$267=Y61-1)*$M$12:$M$267))</f>
        <v/>
      </c>
      <c r="AA61" s="10">
        <f>IF(Y61&lt;=1,0,SUMPRODUCT(($Y$12:$Y$267=Y61-1)*$N$12:$N$267))</f>
        <v/>
      </c>
      <c r="AB61" s="21">
        <f>IF(Y61=0,"",(M61-Z61)/10^in_out_dp)</f>
        <v/>
      </c>
      <c r="AC61" s="26">
        <f>IF(Y61=0,"",(N61-AA61)/10^in_cost_dp)</f>
        <v/>
      </c>
      <c r="AD61" s="26">
        <f>IF(Y61=0,"",IF(M61=Z61,0,AC61/AB61))</f>
        <v/>
      </c>
      <c r="AE61" s="26">
        <f>IF(AND(C61=1,M61&gt;0),Q61/P61,"n/a")</f>
        <v/>
      </c>
      <c r="AF61" s="15" t="n">
        <v>0</v>
      </c>
      <c r="AG61" s="6">
        <f>IF(AND(C61=1,AF61=1),1+SUMPRODUCT($C$12:$C$267*$AF$12:$AF$267*(($M$12:$M$267&lt;M61)+($M$12:$M$267=M61)*($N$12:$N$267&lt;N61)+($M$12:$M$267=M61)*($N$12:$N$267=N61)*($A$12:$A$267&lt;A61))),0)</f>
        <v/>
      </c>
    </row>
    <row r="62">
      <c r="A62" s="4" t="n">
        <v>51</v>
      </c>
      <c r="B62" s="4" t="inlineStr">
        <is>
          <t>17B + 2A + 3F</t>
        </is>
      </c>
      <c r="C62" s="10">
        <f>IF(SUMPRODUCT(D62:K62,1-$D$5:$K$5)=0,1,0)</f>
        <v/>
      </c>
      <c r="D62" s="4" t="n">
        <v>0</v>
      </c>
      <c r="E62" s="4" t="n">
        <v>0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1</v>
      </c>
      <c r="K62" s="4" t="n">
        <v>0</v>
      </c>
      <c r="L62" s="6">
        <f>IF(C62=1,1+SUMPRODUCT(D62:K62,$D$9:$K$9),"")</f>
        <v/>
      </c>
      <c r="M62" s="6">
        <f>SUMPRODUCT(D62:K62,$D$6:$K$6)</f>
        <v/>
      </c>
      <c r="N62" s="6">
        <f>SUMPRODUCT(D62:K62,$D$7:$K$7)</f>
        <v/>
      </c>
      <c r="O62" s="25">
        <f>SUMPRODUCT(D62:K62,$D$8:$K$8)</f>
        <v/>
      </c>
      <c r="P62" s="21">
        <f>M62/10^in_out_dp</f>
        <v/>
      </c>
      <c r="Q62" s="26">
        <f>N62/10^in_cost_dp</f>
        <v/>
      </c>
      <c r="R62" s="10">
        <f>IF(SUM(D62:K62)=0,1,0)</f>
        <v/>
      </c>
      <c r="S62" s="10">
        <f>SUMPRODUCT($C$12:$C$267*(($M$12:$M$267=M62)*($N$12:$N$267&lt;N62)+($M$12:$M$267&gt;M62)*($N$12:$N$267&lt;=N62)))</f>
        <v/>
      </c>
      <c r="T62" s="10">
        <f>IF(C62=0,0,IF(OR(R62=1,S62=0),1,0))</f>
        <v/>
      </c>
      <c r="U62" s="10">
        <f>IF(AND(T62=1,R62=0,M62&gt;0),1,0)</f>
        <v/>
      </c>
      <c r="V62" s="30">
        <f>IF(U62=1,MAX(N62/M62,SUMPRODUCT(MAX(((N62-$N$12:$N$267)*($U$12:$U$267*($M$12:$M$267&lt;M62)))/((M62-$M$12:$M$267)*($U$12:$U$267*($M$12:$M$267&lt;M62))+1-($U$12:$U$267*($M$12:$M$267&lt;M62)))-(1-($U$12:$U$267*($M$12:$M$267&lt;M62)))*1E+300))),0)</f>
        <v/>
      </c>
      <c r="W62" s="30">
        <f>IF(U62=1,SUMPRODUCT(MIN(((($N$12:$N$267-N62)*($U$12:$U$267*($M$12:$M$267&gt;M62)))/(($M$12:$M$267-M62)*($U$12:$U$267*($M$12:$M$267&gt;M62))+1-($U$12:$U$267*($M$12:$M$267&gt;M62)))+(1-($U$12:$U$267*($M$12:$M$267&gt;M62)))*1E+300))),0)</f>
        <v/>
      </c>
      <c r="X62" s="10">
        <f>IF(C62=0,0,IF(R62=1,1,IF(AND(U62=1,V62&lt;=W62),1,0)))</f>
        <v/>
      </c>
      <c r="Y62" s="10">
        <f>IF(X62=1,1+SUMPRODUCT($X$12:$X$267*(($M$12:$M$267&lt;M62)+($M$12:$M$267=M62)*($A$12:$A$267&lt;A62))),0)</f>
        <v/>
      </c>
      <c r="Z62" s="10">
        <f>IF(Y62&lt;=1,0,SUMPRODUCT(($Y$12:$Y$267=Y62-1)*$M$12:$M$267))</f>
        <v/>
      </c>
      <c r="AA62" s="10">
        <f>IF(Y62&lt;=1,0,SUMPRODUCT(($Y$12:$Y$267=Y62-1)*$N$12:$N$267))</f>
        <v/>
      </c>
      <c r="AB62" s="21">
        <f>IF(Y62=0,"",(M62-Z62)/10^in_out_dp)</f>
        <v/>
      </c>
      <c r="AC62" s="26">
        <f>IF(Y62=0,"",(N62-AA62)/10^in_cost_dp)</f>
        <v/>
      </c>
      <c r="AD62" s="26">
        <f>IF(Y62=0,"",IF(M62=Z62,0,AC62/AB62))</f>
        <v/>
      </c>
      <c r="AE62" s="26">
        <f>IF(AND(C62=1,M62&gt;0),Q62/P62,"n/a")</f>
        <v/>
      </c>
      <c r="AF62" s="15" t="n">
        <v>0</v>
      </c>
      <c r="AG62" s="6">
        <f>IF(AND(C62=1,AF62=1),1+SUMPRODUCT($C$12:$C$267*$AF$12:$AF$267*(($M$12:$M$267&lt;M62)+($M$12:$M$267=M62)*($N$12:$N$267&lt;N62)+($M$12:$M$267=M62)*($N$12:$N$267=N62)*($A$12:$A$267&lt;A62))),0)</f>
        <v/>
      </c>
    </row>
    <row r="63">
      <c r="A63" s="4" t="n">
        <v>52</v>
      </c>
      <c r="B63" s="4" t="inlineStr">
        <is>
          <t>17B + 2A + 3F + 19A</t>
        </is>
      </c>
      <c r="C63" s="10">
        <f>IF(SUMPRODUCT(D63:K63,1-$D$5:$K$5)=0,1,0)</f>
        <v/>
      </c>
      <c r="D63" s="4" t="n">
        <v>0</v>
      </c>
      <c r="E63" s="4" t="n">
        <v>0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1</v>
      </c>
      <c r="K63" s="4" t="n">
        <v>1</v>
      </c>
      <c r="L63" s="6">
        <f>IF(C63=1,1+SUMPRODUCT(D63:K63,$D$9:$K$9),"")</f>
        <v/>
      </c>
      <c r="M63" s="6">
        <f>SUMPRODUCT(D63:K63,$D$6:$K$6)</f>
        <v/>
      </c>
      <c r="N63" s="6">
        <f>SUMPRODUCT(D63:K63,$D$7:$K$7)</f>
        <v/>
      </c>
      <c r="O63" s="25">
        <f>SUMPRODUCT(D63:K63,$D$8:$K$8)</f>
        <v/>
      </c>
      <c r="P63" s="21">
        <f>M63/10^in_out_dp</f>
        <v/>
      </c>
      <c r="Q63" s="26">
        <f>N63/10^in_cost_dp</f>
        <v/>
      </c>
      <c r="R63" s="10">
        <f>IF(SUM(D63:K63)=0,1,0)</f>
        <v/>
      </c>
      <c r="S63" s="10">
        <f>SUMPRODUCT($C$12:$C$267*(($M$12:$M$267=M63)*($N$12:$N$267&lt;N63)+($M$12:$M$267&gt;M63)*($N$12:$N$267&lt;=N63)))</f>
        <v/>
      </c>
      <c r="T63" s="10">
        <f>IF(C63=0,0,IF(OR(R63=1,S63=0),1,0))</f>
        <v/>
      </c>
      <c r="U63" s="10">
        <f>IF(AND(T63=1,R63=0,M63&gt;0),1,0)</f>
        <v/>
      </c>
      <c r="V63" s="30">
        <f>IF(U63=1,MAX(N63/M63,SUMPRODUCT(MAX(((N63-$N$12:$N$267)*($U$12:$U$267*($M$12:$M$267&lt;M63)))/((M63-$M$12:$M$267)*($U$12:$U$267*($M$12:$M$267&lt;M63))+1-($U$12:$U$267*($M$12:$M$267&lt;M63)))-(1-($U$12:$U$267*($M$12:$M$267&lt;M63)))*1E+300))),0)</f>
        <v/>
      </c>
      <c r="W63" s="30">
        <f>IF(U63=1,SUMPRODUCT(MIN(((($N$12:$N$267-N63)*($U$12:$U$267*($M$12:$M$267&gt;M63)))/(($M$12:$M$267-M63)*($U$12:$U$267*($M$12:$M$267&gt;M63))+1-($U$12:$U$267*($M$12:$M$267&gt;M63)))+(1-($U$12:$U$267*($M$12:$M$267&gt;M63)))*1E+300))),0)</f>
        <v/>
      </c>
      <c r="X63" s="10">
        <f>IF(C63=0,0,IF(R63=1,1,IF(AND(U63=1,V63&lt;=W63),1,0)))</f>
        <v/>
      </c>
      <c r="Y63" s="10">
        <f>IF(X63=1,1+SUMPRODUCT($X$12:$X$267*(($M$12:$M$267&lt;M63)+($M$12:$M$267=M63)*($A$12:$A$267&lt;A63))),0)</f>
        <v/>
      </c>
      <c r="Z63" s="10">
        <f>IF(Y63&lt;=1,0,SUMPRODUCT(($Y$12:$Y$267=Y63-1)*$M$12:$M$267))</f>
        <v/>
      </c>
      <c r="AA63" s="10">
        <f>IF(Y63&lt;=1,0,SUMPRODUCT(($Y$12:$Y$267=Y63-1)*$N$12:$N$267))</f>
        <v/>
      </c>
      <c r="AB63" s="21">
        <f>IF(Y63=0,"",(M63-Z63)/10^in_out_dp)</f>
        <v/>
      </c>
      <c r="AC63" s="26">
        <f>IF(Y63=0,"",(N63-AA63)/10^in_cost_dp)</f>
        <v/>
      </c>
      <c r="AD63" s="26">
        <f>IF(Y63=0,"",IF(M63=Z63,0,AC63/AB63))</f>
        <v/>
      </c>
      <c r="AE63" s="26">
        <f>IF(AND(C63=1,M63&gt;0),Q63/P63,"n/a")</f>
        <v/>
      </c>
      <c r="AF63" s="15" t="n">
        <v>0</v>
      </c>
      <c r="AG63" s="6">
        <f>IF(AND(C63=1,AF63=1),1+SUMPRODUCT($C$12:$C$267*$AF$12:$AF$267*(($M$12:$M$267&lt;M63)+($M$12:$M$267=M63)*($N$12:$N$267&lt;N63)+($M$12:$M$267=M63)*($N$12:$N$267=N63)*($A$12:$A$267&lt;A63))),0)</f>
        <v/>
      </c>
    </row>
    <row r="64">
      <c r="A64" s="4" t="n">
        <v>53</v>
      </c>
      <c r="B64" s="4" t="inlineStr">
        <is>
          <t>17B + 2A + 3E</t>
        </is>
      </c>
      <c r="C64" s="10">
        <f>IF(SUMPRODUCT(D64:K64,1-$D$5:$K$5)=0,1,0)</f>
        <v/>
      </c>
      <c r="D64" s="4" t="n">
        <v>0</v>
      </c>
      <c r="E64" s="4" t="n">
        <v>0</v>
      </c>
      <c r="F64" s="4" t="n">
        <v>1</v>
      </c>
      <c r="G64" s="4" t="n">
        <v>1</v>
      </c>
      <c r="H64" s="4" t="n">
        <v>0</v>
      </c>
      <c r="I64" s="4" t="n">
        <v>1</v>
      </c>
      <c r="J64" s="4" t="n">
        <v>0</v>
      </c>
      <c r="K64" s="4" t="n">
        <v>0</v>
      </c>
      <c r="L64" s="6">
        <f>IF(C64=1,1+SUMPRODUCT(D64:K64,$D$9:$K$9),"")</f>
        <v/>
      </c>
      <c r="M64" s="6">
        <f>SUMPRODUCT(D64:K64,$D$6:$K$6)</f>
        <v/>
      </c>
      <c r="N64" s="6">
        <f>SUMPRODUCT(D64:K64,$D$7:$K$7)</f>
        <v/>
      </c>
      <c r="O64" s="25">
        <f>SUMPRODUCT(D64:K64,$D$8:$K$8)</f>
        <v/>
      </c>
      <c r="P64" s="21">
        <f>M64/10^in_out_dp</f>
        <v/>
      </c>
      <c r="Q64" s="26">
        <f>N64/10^in_cost_dp</f>
        <v/>
      </c>
      <c r="R64" s="10">
        <f>IF(SUM(D64:K64)=0,1,0)</f>
        <v/>
      </c>
      <c r="S64" s="10">
        <f>SUMPRODUCT($C$12:$C$267*(($M$12:$M$267=M64)*($N$12:$N$267&lt;N64)+($M$12:$M$267&gt;M64)*($N$12:$N$267&lt;=N64)))</f>
        <v/>
      </c>
      <c r="T64" s="10">
        <f>IF(C64=0,0,IF(OR(R64=1,S64=0),1,0))</f>
        <v/>
      </c>
      <c r="U64" s="10">
        <f>IF(AND(T64=1,R64=0,M64&gt;0),1,0)</f>
        <v/>
      </c>
      <c r="V64" s="30">
        <f>IF(U64=1,MAX(N64/M64,SUMPRODUCT(MAX(((N64-$N$12:$N$267)*($U$12:$U$267*($M$12:$M$267&lt;M64)))/((M64-$M$12:$M$267)*($U$12:$U$267*($M$12:$M$267&lt;M64))+1-($U$12:$U$267*($M$12:$M$267&lt;M64)))-(1-($U$12:$U$267*($M$12:$M$267&lt;M64)))*1E+300))),0)</f>
        <v/>
      </c>
      <c r="W64" s="30">
        <f>IF(U64=1,SUMPRODUCT(MIN(((($N$12:$N$267-N64)*($U$12:$U$267*($M$12:$M$267&gt;M64)))/(($M$12:$M$267-M64)*($U$12:$U$267*($M$12:$M$267&gt;M64))+1-($U$12:$U$267*($M$12:$M$267&gt;M64)))+(1-($U$12:$U$267*($M$12:$M$267&gt;M64)))*1E+300))),0)</f>
        <v/>
      </c>
      <c r="X64" s="10">
        <f>IF(C64=0,0,IF(R64=1,1,IF(AND(U64=1,V64&lt;=W64),1,0)))</f>
        <v/>
      </c>
      <c r="Y64" s="10">
        <f>IF(X64=1,1+SUMPRODUCT($X$12:$X$267*(($M$12:$M$267&lt;M64)+($M$12:$M$267=M64)*($A$12:$A$267&lt;A64))),0)</f>
        <v/>
      </c>
      <c r="Z64" s="10">
        <f>IF(Y64&lt;=1,0,SUMPRODUCT(($Y$12:$Y$267=Y64-1)*$M$12:$M$267))</f>
        <v/>
      </c>
      <c r="AA64" s="10">
        <f>IF(Y64&lt;=1,0,SUMPRODUCT(($Y$12:$Y$267=Y64-1)*$N$12:$N$267))</f>
        <v/>
      </c>
      <c r="AB64" s="21">
        <f>IF(Y64=0,"",(M64-Z64)/10^in_out_dp)</f>
        <v/>
      </c>
      <c r="AC64" s="26">
        <f>IF(Y64=0,"",(N64-AA64)/10^in_cost_dp)</f>
        <v/>
      </c>
      <c r="AD64" s="26">
        <f>IF(Y64=0,"",IF(M64=Z64,0,AC64/AB64))</f>
        <v/>
      </c>
      <c r="AE64" s="26">
        <f>IF(AND(C64=1,M64&gt;0),Q64/P64,"n/a")</f>
        <v/>
      </c>
      <c r="AF64" s="15" t="n">
        <v>0</v>
      </c>
      <c r="AG64" s="6">
        <f>IF(AND(C64=1,AF64=1),1+SUMPRODUCT($C$12:$C$267*$AF$12:$AF$267*(($M$12:$M$267&lt;M64)+($M$12:$M$267=M64)*($N$12:$N$267&lt;N64)+($M$12:$M$267=M64)*($N$12:$N$267=N64)*($A$12:$A$267&lt;A64))),0)</f>
        <v/>
      </c>
    </row>
    <row r="65">
      <c r="A65" s="4" t="n">
        <v>54</v>
      </c>
      <c r="B65" s="4" t="inlineStr">
        <is>
          <t>17B + 2A + 3E + 19A</t>
        </is>
      </c>
      <c r="C65" s="10">
        <f>IF(SUMPRODUCT(D65:K65,1-$D$5:$K$5)=0,1,0)</f>
        <v/>
      </c>
      <c r="D65" s="4" t="n">
        <v>0</v>
      </c>
      <c r="E65" s="4" t="n">
        <v>0</v>
      </c>
      <c r="F65" s="4" t="n">
        <v>1</v>
      </c>
      <c r="G65" s="4" t="n">
        <v>1</v>
      </c>
      <c r="H65" s="4" t="n">
        <v>0</v>
      </c>
      <c r="I65" s="4" t="n">
        <v>1</v>
      </c>
      <c r="J65" s="4" t="n">
        <v>0</v>
      </c>
      <c r="K65" s="4" t="n">
        <v>1</v>
      </c>
      <c r="L65" s="6">
        <f>IF(C65=1,1+SUMPRODUCT(D65:K65,$D$9:$K$9),"")</f>
        <v/>
      </c>
      <c r="M65" s="6">
        <f>SUMPRODUCT(D65:K65,$D$6:$K$6)</f>
        <v/>
      </c>
      <c r="N65" s="6">
        <f>SUMPRODUCT(D65:K65,$D$7:$K$7)</f>
        <v/>
      </c>
      <c r="O65" s="25">
        <f>SUMPRODUCT(D65:K65,$D$8:$K$8)</f>
        <v/>
      </c>
      <c r="P65" s="21">
        <f>M65/10^in_out_dp</f>
        <v/>
      </c>
      <c r="Q65" s="26">
        <f>N65/10^in_cost_dp</f>
        <v/>
      </c>
      <c r="R65" s="10">
        <f>IF(SUM(D65:K65)=0,1,0)</f>
        <v/>
      </c>
      <c r="S65" s="10">
        <f>SUMPRODUCT($C$12:$C$267*(($M$12:$M$267=M65)*($N$12:$N$267&lt;N65)+($M$12:$M$267&gt;M65)*($N$12:$N$267&lt;=N65)))</f>
        <v/>
      </c>
      <c r="T65" s="10">
        <f>IF(C65=0,0,IF(OR(R65=1,S65=0),1,0))</f>
        <v/>
      </c>
      <c r="U65" s="10">
        <f>IF(AND(T65=1,R65=0,M65&gt;0),1,0)</f>
        <v/>
      </c>
      <c r="V65" s="30">
        <f>IF(U65=1,MAX(N65/M65,SUMPRODUCT(MAX(((N65-$N$12:$N$267)*($U$12:$U$267*($M$12:$M$267&lt;M65)))/((M65-$M$12:$M$267)*($U$12:$U$267*($M$12:$M$267&lt;M65))+1-($U$12:$U$267*($M$12:$M$267&lt;M65)))-(1-($U$12:$U$267*($M$12:$M$267&lt;M65)))*1E+300))),0)</f>
        <v/>
      </c>
      <c r="W65" s="30">
        <f>IF(U65=1,SUMPRODUCT(MIN(((($N$12:$N$267-N65)*($U$12:$U$267*($M$12:$M$267&gt;M65)))/(($M$12:$M$267-M65)*($U$12:$U$267*($M$12:$M$267&gt;M65))+1-($U$12:$U$267*($M$12:$M$267&gt;M65)))+(1-($U$12:$U$267*($M$12:$M$267&gt;M65)))*1E+300))),0)</f>
        <v/>
      </c>
      <c r="X65" s="10">
        <f>IF(C65=0,0,IF(R65=1,1,IF(AND(U65=1,V65&lt;=W65),1,0)))</f>
        <v/>
      </c>
      <c r="Y65" s="10">
        <f>IF(X65=1,1+SUMPRODUCT($X$12:$X$267*(($M$12:$M$267&lt;M65)+($M$12:$M$267=M65)*($A$12:$A$267&lt;A65))),0)</f>
        <v/>
      </c>
      <c r="Z65" s="10">
        <f>IF(Y65&lt;=1,0,SUMPRODUCT(($Y$12:$Y$267=Y65-1)*$M$12:$M$267))</f>
        <v/>
      </c>
      <c r="AA65" s="10">
        <f>IF(Y65&lt;=1,0,SUMPRODUCT(($Y$12:$Y$267=Y65-1)*$N$12:$N$267))</f>
        <v/>
      </c>
      <c r="AB65" s="21">
        <f>IF(Y65=0,"",(M65-Z65)/10^in_out_dp)</f>
        <v/>
      </c>
      <c r="AC65" s="26">
        <f>IF(Y65=0,"",(N65-AA65)/10^in_cost_dp)</f>
        <v/>
      </c>
      <c r="AD65" s="26">
        <f>IF(Y65=0,"",IF(M65=Z65,0,AC65/AB65))</f>
        <v/>
      </c>
      <c r="AE65" s="26">
        <f>IF(AND(C65=1,M65&gt;0),Q65/P65,"n/a")</f>
        <v/>
      </c>
      <c r="AF65" s="15" t="n">
        <v>0</v>
      </c>
      <c r="AG65" s="6">
        <f>IF(AND(C65=1,AF65=1),1+SUMPRODUCT($C$12:$C$267*$AF$12:$AF$267*(($M$12:$M$267&lt;M65)+($M$12:$M$267=M65)*($N$12:$N$267&lt;N65)+($M$12:$M$267=M65)*($N$12:$N$267=N65)*($A$12:$A$267&lt;A65))),0)</f>
        <v/>
      </c>
    </row>
    <row r="66">
      <c r="A66" s="4" t="n">
        <v>55</v>
      </c>
      <c r="B66" s="4" t="inlineStr">
        <is>
          <t>17B + 2A + 3E + 3F</t>
        </is>
      </c>
      <c r="C66" s="10">
        <f>IF(SUMPRODUCT(D66:K66,1-$D$5:$K$5)=0,1,0)</f>
        <v/>
      </c>
      <c r="D66" s="4" t="n">
        <v>0</v>
      </c>
      <c r="E66" s="4" t="n">
        <v>0</v>
      </c>
      <c r="F66" s="4" t="n">
        <v>1</v>
      </c>
      <c r="G66" s="4" t="n">
        <v>1</v>
      </c>
      <c r="H66" s="4" t="n">
        <v>0</v>
      </c>
      <c r="I66" s="4" t="n">
        <v>1</v>
      </c>
      <c r="J66" s="4" t="n">
        <v>1</v>
      </c>
      <c r="K66" s="4" t="n">
        <v>0</v>
      </c>
      <c r="L66" s="6">
        <f>IF(C66=1,1+SUMPRODUCT(D66:K66,$D$9:$K$9),"")</f>
        <v/>
      </c>
      <c r="M66" s="6">
        <f>SUMPRODUCT(D66:K66,$D$6:$K$6)</f>
        <v/>
      </c>
      <c r="N66" s="6">
        <f>SUMPRODUCT(D66:K66,$D$7:$K$7)</f>
        <v/>
      </c>
      <c r="O66" s="25">
        <f>SUMPRODUCT(D66:K66,$D$8:$K$8)</f>
        <v/>
      </c>
      <c r="P66" s="21">
        <f>M66/10^in_out_dp</f>
        <v/>
      </c>
      <c r="Q66" s="26">
        <f>N66/10^in_cost_dp</f>
        <v/>
      </c>
      <c r="R66" s="10">
        <f>IF(SUM(D66:K66)=0,1,0)</f>
        <v/>
      </c>
      <c r="S66" s="10">
        <f>SUMPRODUCT($C$12:$C$267*(($M$12:$M$267=M66)*($N$12:$N$267&lt;N66)+($M$12:$M$267&gt;M66)*($N$12:$N$267&lt;=N66)))</f>
        <v/>
      </c>
      <c r="T66" s="10">
        <f>IF(C66=0,0,IF(OR(R66=1,S66=0),1,0))</f>
        <v/>
      </c>
      <c r="U66" s="10">
        <f>IF(AND(T66=1,R66=0,M66&gt;0),1,0)</f>
        <v/>
      </c>
      <c r="V66" s="30">
        <f>IF(U66=1,MAX(N66/M66,SUMPRODUCT(MAX(((N66-$N$12:$N$267)*($U$12:$U$267*($M$12:$M$267&lt;M66)))/((M66-$M$12:$M$267)*($U$12:$U$267*($M$12:$M$267&lt;M66))+1-($U$12:$U$267*($M$12:$M$267&lt;M66)))-(1-($U$12:$U$267*($M$12:$M$267&lt;M66)))*1E+300))),0)</f>
        <v/>
      </c>
      <c r="W66" s="30">
        <f>IF(U66=1,SUMPRODUCT(MIN(((($N$12:$N$267-N66)*($U$12:$U$267*($M$12:$M$267&gt;M66)))/(($M$12:$M$267-M66)*($U$12:$U$267*($M$12:$M$267&gt;M66))+1-($U$12:$U$267*($M$12:$M$267&gt;M66)))+(1-($U$12:$U$267*($M$12:$M$267&gt;M66)))*1E+300))),0)</f>
        <v/>
      </c>
      <c r="X66" s="10">
        <f>IF(C66=0,0,IF(R66=1,1,IF(AND(U66=1,V66&lt;=W66),1,0)))</f>
        <v/>
      </c>
      <c r="Y66" s="10">
        <f>IF(X66=1,1+SUMPRODUCT($X$12:$X$267*(($M$12:$M$267&lt;M66)+($M$12:$M$267=M66)*($A$12:$A$267&lt;A66))),0)</f>
        <v/>
      </c>
      <c r="Z66" s="10">
        <f>IF(Y66&lt;=1,0,SUMPRODUCT(($Y$12:$Y$267=Y66-1)*$M$12:$M$267))</f>
        <v/>
      </c>
      <c r="AA66" s="10">
        <f>IF(Y66&lt;=1,0,SUMPRODUCT(($Y$12:$Y$267=Y66-1)*$N$12:$N$267))</f>
        <v/>
      </c>
      <c r="AB66" s="21">
        <f>IF(Y66=0,"",(M66-Z66)/10^in_out_dp)</f>
        <v/>
      </c>
      <c r="AC66" s="26">
        <f>IF(Y66=0,"",(N66-AA66)/10^in_cost_dp)</f>
        <v/>
      </c>
      <c r="AD66" s="26">
        <f>IF(Y66=0,"",IF(M66=Z66,0,AC66/AB66))</f>
        <v/>
      </c>
      <c r="AE66" s="26">
        <f>IF(AND(C66=1,M66&gt;0),Q66/P66,"n/a")</f>
        <v/>
      </c>
      <c r="AF66" s="15" t="n">
        <v>0</v>
      </c>
      <c r="AG66" s="6">
        <f>IF(AND(C66=1,AF66=1),1+SUMPRODUCT($C$12:$C$267*$AF$12:$AF$267*(($M$12:$M$267&lt;M66)+($M$12:$M$267=M66)*($N$12:$N$267&lt;N66)+($M$12:$M$267=M66)*($N$12:$N$267=N66)*($A$12:$A$267&lt;A66))),0)</f>
        <v/>
      </c>
    </row>
    <row r="67">
      <c r="A67" s="4" t="n">
        <v>56</v>
      </c>
      <c r="B67" s="4" t="inlineStr">
        <is>
          <t>17B + 2A + 3E + 3F + 19A</t>
        </is>
      </c>
      <c r="C67" s="10">
        <f>IF(SUMPRODUCT(D67:K67,1-$D$5:$K$5)=0,1,0)</f>
        <v/>
      </c>
      <c r="D67" s="4" t="n">
        <v>0</v>
      </c>
      <c r="E67" s="4" t="n">
        <v>0</v>
      </c>
      <c r="F67" s="4" t="n">
        <v>1</v>
      </c>
      <c r="G67" s="4" t="n">
        <v>1</v>
      </c>
      <c r="H67" s="4" t="n">
        <v>0</v>
      </c>
      <c r="I67" s="4" t="n">
        <v>1</v>
      </c>
      <c r="J67" s="4" t="n">
        <v>1</v>
      </c>
      <c r="K67" s="4" t="n">
        <v>1</v>
      </c>
      <c r="L67" s="6">
        <f>IF(C67=1,1+SUMPRODUCT(D67:K67,$D$9:$K$9),"")</f>
        <v/>
      </c>
      <c r="M67" s="6">
        <f>SUMPRODUCT(D67:K67,$D$6:$K$6)</f>
        <v/>
      </c>
      <c r="N67" s="6">
        <f>SUMPRODUCT(D67:K67,$D$7:$K$7)</f>
        <v/>
      </c>
      <c r="O67" s="25">
        <f>SUMPRODUCT(D67:K67,$D$8:$K$8)</f>
        <v/>
      </c>
      <c r="P67" s="21">
        <f>M67/10^in_out_dp</f>
        <v/>
      </c>
      <c r="Q67" s="26">
        <f>N67/10^in_cost_dp</f>
        <v/>
      </c>
      <c r="R67" s="10">
        <f>IF(SUM(D67:K67)=0,1,0)</f>
        <v/>
      </c>
      <c r="S67" s="10">
        <f>SUMPRODUCT($C$12:$C$267*(($M$12:$M$267=M67)*($N$12:$N$267&lt;N67)+($M$12:$M$267&gt;M67)*($N$12:$N$267&lt;=N67)))</f>
        <v/>
      </c>
      <c r="T67" s="10">
        <f>IF(C67=0,0,IF(OR(R67=1,S67=0),1,0))</f>
        <v/>
      </c>
      <c r="U67" s="10">
        <f>IF(AND(T67=1,R67=0,M67&gt;0),1,0)</f>
        <v/>
      </c>
      <c r="V67" s="30">
        <f>IF(U67=1,MAX(N67/M67,SUMPRODUCT(MAX(((N67-$N$12:$N$267)*($U$12:$U$267*($M$12:$M$267&lt;M67)))/((M67-$M$12:$M$267)*($U$12:$U$267*($M$12:$M$267&lt;M67))+1-($U$12:$U$267*($M$12:$M$267&lt;M67)))-(1-($U$12:$U$267*($M$12:$M$267&lt;M67)))*1E+300))),0)</f>
        <v/>
      </c>
      <c r="W67" s="30">
        <f>IF(U67=1,SUMPRODUCT(MIN(((($N$12:$N$267-N67)*($U$12:$U$267*($M$12:$M$267&gt;M67)))/(($M$12:$M$267-M67)*($U$12:$U$267*($M$12:$M$267&gt;M67))+1-($U$12:$U$267*($M$12:$M$267&gt;M67)))+(1-($U$12:$U$267*($M$12:$M$267&gt;M67)))*1E+300))),0)</f>
        <v/>
      </c>
      <c r="X67" s="10">
        <f>IF(C67=0,0,IF(R67=1,1,IF(AND(U67=1,V67&lt;=W67),1,0)))</f>
        <v/>
      </c>
      <c r="Y67" s="10">
        <f>IF(X67=1,1+SUMPRODUCT($X$12:$X$267*(($M$12:$M$267&lt;M67)+($M$12:$M$267=M67)*($A$12:$A$267&lt;A67))),0)</f>
        <v/>
      </c>
      <c r="Z67" s="10">
        <f>IF(Y67&lt;=1,0,SUMPRODUCT(($Y$12:$Y$267=Y67-1)*$M$12:$M$267))</f>
        <v/>
      </c>
      <c r="AA67" s="10">
        <f>IF(Y67&lt;=1,0,SUMPRODUCT(($Y$12:$Y$267=Y67-1)*$N$12:$N$267))</f>
        <v/>
      </c>
      <c r="AB67" s="21">
        <f>IF(Y67=0,"",(M67-Z67)/10^in_out_dp)</f>
        <v/>
      </c>
      <c r="AC67" s="26">
        <f>IF(Y67=0,"",(N67-AA67)/10^in_cost_dp)</f>
        <v/>
      </c>
      <c r="AD67" s="26">
        <f>IF(Y67=0,"",IF(M67=Z67,0,AC67/AB67))</f>
        <v/>
      </c>
      <c r="AE67" s="26">
        <f>IF(AND(C67=1,M67&gt;0),Q67/P67,"n/a")</f>
        <v/>
      </c>
      <c r="AF67" s="15" t="n">
        <v>0</v>
      </c>
      <c r="AG67" s="6">
        <f>IF(AND(C67=1,AF67=1),1+SUMPRODUCT($C$12:$C$267*$AF$12:$AF$267*(($M$12:$M$267&lt;M67)+($M$12:$M$267=M67)*($N$12:$N$267&lt;N67)+($M$12:$M$267=M67)*($N$12:$N$267=N67)*($A$12:$A$267&lt;A67))),0)</f>
        <v/>
      </c>
    </row>
    <row r="68">
      <c r="A68" s="4" t="n">
        <v>57</v>
      </c>
      <c r="B68" s="4" t="inlineStr">
        <is>
          <t>17B + 2A + 2B</t>
        </is>
      </c>
      <c r="C68" s="10">
        <f>IF(SUMPRODUCT(D68:K68,1-$D$5:$K$5)=0,1,0)</f>
        <v/>
      </c>
      <c r="D68" s="4" t="n">
        <v>0</v>
      </c>
      <c r="E68" s="4" t="n">
        <v>0</v>
      </c>
      <c r="F68" s="4" t="n">
        <v>1</v>
      </c>
      <c r="G68" s="4" t="n">
        <v>1</v>
      </c>
      <c r="H68" s="4" t="n">
        <v>1</v>
      </c>
      <c r="I68" s="4" t="n">
        <v>0</v>
      </c>
      <c r="J68" s="4" t="n">
        <v>0</v>
      </c>
      <c r="K68" s="4" t="n">
        <v>0</v>
      </c>
      <c r="L68" s="6">
        <f>IF(C68=1,1+SUMPRODUCT(D68:K68,$D$9:$K$9),"")</f>
        <v/>
      </c>
      <c r="M68" s="6">
        <f>SUMPRODUCT(D68:K68,$D$6:$K$6)</f>
        <v/>
      </c>
      <c r="N68" s="6">
        <f>SUMPRODUCT(D68:K68,$D$7:$K$7)</f>
        <v/>
      </c>
      <c r="O68" s="25">
        <f>SUMPRODUCT(D68:K68,$D$8:$K$8)</f>
        <v/>
      </c>
      <c r="P68" s="21">
        <f>M68/10^in_out_dp</f>
        <v/>
      </c>
      <c r="Q68" s="26">
        <f>N68/10^in_cost_dp</f>
        <v/>
      </c>
      <c r="R68" s="10">
        <f>IF(SUM(D68:K68)=0,1,0)</f>
        <v/>
      </c>
      <c r="S68" s="10">
        <f>SUMPRODUCT($C$12:$C$267*(($M$12:$M$267=M68)*($N$12:$N$267&lt;N68)+($M$12:$M$267&gt;M68)*($N$12:$N$267&lt;=N68)))</f>
        <v/>
      </c>
      <c r="T68" s="10">
        <f>IF(C68=0,0,IF(OR(R68=1,S68=0),1,0))</f>
        <v/>
      </c>
      <c r="U68" s="10">
        <f>IF(AND(T68=1,R68=0,M68&gt;0),1,0)</f>
        <v/>
      </c>
      <c r="V68" s="30">
        <f>IF(U68=1,MAX(N68/M68,SUMPRODUCT(MAX(((N68-$N$12:$N$267)*($U$12:$U$267*($M$12:$M$267&lt;M68)))/((M68-$M$12:$M$267)*($U$12:$U$267*($M$12:$M$267&lt;M68))+1-($U$12:$U$267*($M$12:$M$267&lt;M68)))-(1-($U$12:$U$267*($M$12:$M$267&lt;M68)))*1E+300))),0)</f>
        <v/>
      </c>
      <c r="W68" s="30">
        <f>IF(U68=1,SUMPRODUCT(MIN(((($N$12:$N$267-N68)*($U$12:$U$267*($M$12:$M$267&gt;M68)))/(($M$12:$M$267-M68)*($U$12:$U$267*($M$12:$M$267&gt;M68))+1-($U$12:$U$267*($M$12:$M$267&gt;M68)))+(1-($U$12:$U$267*($M$12:$M$267&gt;M68)))*1E+300))),0)</f>
        <v/>
      </c>
      <c r="X68" s="10">
        <f>IF(C68=0,0,IF(R68=1,1,IF(AND(U68=1,V68&lt;=W68),1,0)))</f>
        <v/>
      </c>
      <c r="Y68" s="10">
        <f>IF(X68=1,1+SUMPRODUCT($X$12:$X$267*(($M$12:$M$267&lt;M68)+($M$12:$M$267=M68)*($A$12:$A$267&lt;A68))),0)</f>
        <v/>
      </c>
      <c r="Z68" s="10">
        <f>IF(Y68&lt;=1,0,SUMPRODUCT(($Y$12:$Y$267=Y68-1)*$M$12:$M$267))</f>
        <v/>
      </c>
      <c r="AA68" s="10">
        <f>IF(Y68&lt;=1,0,SUMPRODUCT(($Y$12:$Y$267=Y68-1)*$N$12:$N$267))</f>
        <v/>
      </c>
      <c r="AB68" s="21">
        <f>IF(Y68=0,"",(M68-Z68)/10^in_out_dp)</f>
        <v/>
      </c>
      <c r="AC68" s="26">
        <f>IF(Y68=0,"",(N68-AA68)/10^in_cost_dp)</f>
        <v/>
      </c>
      <c r="AD68" s="26">
        <f>IF(Y68=0,"",IF(M68=Z68,0,AC68/AB68))</f>
        <v/>
      </c>
      <c r="AE68" s="26">
        <f>IF(AND(C68=1,M68&gt;0),Q68/P68,"n/a")</f>
        <v/>
      </c>
      <c r="AF68" s="15" t="n">
        <v>0</v>
      </c>
      <c r="AG68" s="6">
        <f>IF(AND(C68=1,AF68=1),1+SUMPRODUCT($C$12:$C$267*$AF$12:$AF$267*(($M$12:$M$267&lt;M68)+($M$12:$M$267=M68)*($N$12:$N$267&lt;N68)+($M$12:$M$267=M68)*($N$12:$N$267=N68)*($A$12:$A$267&lt;A68))),0)</f>
        <v/>
      </c>
    </row>
    <row r="69">
      <c r="A69" s="4" t="n">
        <v>58</v>
      </c>
      <c r="B69" s="4" t="inlineStr">
        <is>
          <t>17B + 2A + 2B + 19A</t>
        </is>
      </c>
      <c r="C69" s="10">
        <f>IF(SUMPRODUCT(D69:K69,1-$D$5:$K$5)=0,1,0)</f>
        <v/>
      </c>
      <c r="D69" s="4" t="n">
        <v>0</v>
      </c>
      <c r="E69" s="4" t="n">
        <v>0</v>
      </c>
      <c r="F69" s="4" t="n">
        <v>1</v>
      </c>
      <c r="G69" s="4" t="n">
        <v>1</v>
      </c>
      <c r="H69" s="4" t="n">
        <v>1</v>
      </c>
      <c r="I69" s="4" t="n">
        <v>0</v>
      </c>
      <c r="J69" s="4" t="n">
        <v>0</v>
      </c>
      <c r="K69" s="4" t="n">
        <v>1</v>
      </c>
      <c r="L69" s="6">
        <f>IF(C69=1,1+SUMPRODUCT(D69:K69,$D$9:$K$9),"")</f>
        <v/>
      </c>
      <c r="M69" s="6">
        <f>SUMPRODUCT(D69:K69,$D$6:$K$6)</f>
        <v/>
      </c>
      <c r="N69" s="6">
        <f>SUMPRODUCT(D69:K69,$D$7:$K$7)</f>
        <v/>
      </c>
      <c r="O69" s="25">
        <f>SUMPRODUCT(D69:K69,$D$8:$K$8)</f>
        <v/>
      </c>
      <c r="P69" s="21">
        <f>M69/10^in_out_dp</f>
        <v/>
      </c>
      <c r="Q69" s="26">
        <f>N69/10^in_cost_dp</f>
        <v/>
      </c>
      <c r="R69" s="10">
        <f>IF(SUM(D69:K69)=0,1,0)</f>
        <v/>
      </c>
      <c r="S69" s="10">
        <f>SUMPRODUCT($C$12:$C$267*(($M$12:$M$267=M69)*($N$12:$N$267&lt;N69)+($M$12:$M$267&gt;M69)*($N$12:$N$267&lt;=N69)))</f>
        <v/>
      </c>
      <c r="T69" s="10">
        <f>IF(C69=0,0,IF(OR(R69=1,S69=0),1,0))</f>
        <v/>
      </c>
      <c r="U69" s="10">
        <f>IF(AND(T69=1,R69=0,M69&gt;0),1,0)</f>
        <v/>
      </c>
      <c r="V69" s="30">
        <f>IF(U69=1,MAX(N69/M69,SUMPRODUCT(MAX(((N69-$N$12:$N$267)*($U$12:$U$267*($M$12:$M$267&lt;M69)))/((M69-$M$12:$M$267)*($U$12:$U$267*($M$12:$M$267&lt;M69))+1-($U$12:$U$267*($M$12:$M$267&lt;M69)))-(1-($U$12:$U$267*($M$12:$M$267&lt;M69)))*1E+300))),0)</f>
        <v/>
      </c>
      <c r="W69" s="30">
        <f>IF(U69=1,SUMPRODUCT(MIN(((($N$12:$N$267-N69)*($U$12:$U$267*($M$12:$M$267&gt;M69)))/(($M$12:$M$267-M69)*($U$12:$U$267*($M$12:$M$267&gt;M69))+1-($U$12:$U$267*($M$12:$M$267&gt;M69)))+(1-($U$12:$U$267*($M$12:$M$267&gt;M69)))*1E+300))),0)</f>
        <v/>
      </c>
      <c r="X69" s="10">
        <f>IF(C69=0,0,IF(R69=1,1,IF(AND(U69=1,V69&lt;=W69),1,0)))</f>
        <v/>
      </c>
      <c r="Y69" s="10">
        <f>IF(X69=1,1+SUMPRODUCT($X$12:$X$267*(($M$12:$M$267&lt;M69)+($M$12:$M$267=M69)*($A$12:$A$267&lt;A69))),0)</f>
        <v/>
      </c>
      <c r="Z69" s="10">
        <f>IF(Y69&lt;=1,0,SUMPRODUCT(($Y$12:$Y$267=Y69-1)*$M$12:$M$267))</f>
        <v/>
      </c>
      <c r="AA69" s="10">
        <f>IF(Y69&lt;=1,0,SUMPRODUCT(($Y$12:$Y$267=Y69-1)*$N$12:$N$267))</f>
        <v/>
      </c>
      <c r="AB69" s="21">
        <f>IF(Y69=0,"",(M69-Z69)/10^in_out_dp)</f>
        <v/>
      </c>
      <c r="AC69" s="26">
        <f>IF(Y69=0,"",(N69-AA69)/10^in_cost_dp)</f>
        <v/>
      </c>
      <c r="AD69" s="26">
        <f>IF(Y69=0,"",IF(M69=Z69,0,AC69/AB69))</f>
        <v/>
      </c>
      <c r="AE69" s="26">
        <f>IF(AND(C69=1,M69&gt;0),Q69/P69,"n/a")</f>
        <v/>
      </c>
      <c r="AF69" s="15" t="n">
        <v>1</v>
      </c>
      <c r="AG69" s="6">
        <f>IF(AND(C69=1,AF69=1),1+SUMPRODUCT($C$12:$C$267*$AF$12:$AF$267*(($M$12:$M$267&lt;M69)+($M$12:$M$267=M69)*($N$12:$N$267&lt;N69)+($M$12:$M$267=M69)*($N$12:$N$267=N69)*($A$12:$A$267&lt;A69))),0)</f>
        <v/>
      </c>
    </row>
    <row r="70">
      <c r="A70" s="4" t="n">
        <v>59</v>
      </c>
      <c r="B70" s="4" t="inlineStr">
        <is>
          <t>17B + 2A + 2B + 3F</t>
        </is>
      </c>
      <c r="C70" s="10">
        <f>IF(SUMPRODUCT(D70:K70,1-$D$5:$K$5)=0,1,0)</f>
        <v/>
      </c>
      <c r="D70" s="4" t="n">
        <v>0</v>
      </c>
      <c r="E70" s="4" t="n">
        <v>0</v>
      </c>
      <c r="F70" s="4" t="n">
        <v>1</v>
      </c>
      <c r="G70" s="4" t="n">
        <v>1</v>
      </c>
      <c r="H70" s="4" t="n">
        <v>1</v>
      </c>
      <c r="I70" s="4" t="n">
        <v>0</v>
      </c>
      <c r="J70" s="4" t="n">
        <v>1</v>
      </c>
      <c r="K70" s="4" t="n">
        <v>0</v>
      </c>
      <c r="L70" s="6">
        <f>IF(C70=1,1+SUMPRODUCT(D70:K70,$D$9:$K$9),"")</f>
        <v/>
      </c>
      <c r="M70" s="6">
        <f>SUMPRODUCT(D70:K70,$D$6:$K$6)</f>
        <v/>
      </c>
      <c r="N70" s="6">
        <f>SUMPRODUCT(D70:K70,$D$7:$K$7)</f>
        <v/>
      </c>
      <c r="O70" s="25">
        <f>SUMPRODUCT(D70:K70,$D$8:$K$8)</f>
        <v/>
      </c>
      <c r="P70" s="21">
        <f>M70/10^in_out_dp</f>
        <v/>
      </c>
      <c r="Q70" s="26">
        <f>N70/10^in_cost_dp</f>
        <v/>
      </c>
      <c r="R70" s="10">
        <f>IF(SUM(D70:K70)=0,1,0)</f>
        <v/>
      </c>
      <c r="S70" s="10">
        <f>SUMPRODUCT($C$12:$C$267*(($M$12:$M$267=M70)*($N$12:$N$267&lt;N70)+($M$12:$M$267&gt;M70)*($N$12:$N$267&lt;=N70)))</f>
        <v/>
      </c>
      <c r="T70" s="10">
        <f>IF(C70=0,0,IF(OR(R70=1,S70=0),1,0))</f>
        <v/>
      </c>
      <c r="U70" s="10">
        <f>IF(AND(T70=1,R70=0,M70&gt;0),1,0)</f>
        <v/>
      </c>
      <c r="V70" s="30">
        <f>IF(U70=1,MAX(N70/M70,SUMPRODUCT(MAX(((N70-$N$12:$N$267)*($U$12:$U$267*($M$12:$M$267&lt;M70)))/((M70-$M$12:$M$267)*($U$12:$U$267*($M$12:$M$267&lt;M70))+1-($U$12:$U$267*($M$12:$M$267&lt;M70)))-(1-($U$12:$U$267*($M$12:$M$267&lt;M70)))*1E+300))),0)</f>
        <v/>
      </c>
      <c r="W70" s="30">
        <f>IF(U70=1,SUMPRODUCT(MIN(((($N$12:$N$267-N70)*($U$12:$U$267*($M$12:$M$267&gt;M70)))/(($M$12:$M$267-M70)*($U$12:$U$267*($M$12:$M$267&gt;M70))+1-($U$12:$U$267*($M$12:$M$267&gt;M70)))+(1-($U$12:$U$267*($M$12:$M$267&gt;M70)))*1E+300))),0)</f>
        <v/>
      </c>
      <c r="X70" s="10">
        <f>IF(C70=0,0,IF(R70=1,1,IF(AND(U70=1,V70&lt;=W70),1,0)))</f>
        <v/>
      </c>
      <c r="Y70" s="10">
        <f>IF(X70=1,1+SUMPRODUCT($X$12:$X$267*(($M$12:$M$267&lt;M70)+($M$12:$M$267=M70)*($A$12:$A$267&lt;A70))),0)</f>
        <v/>
      </c>
      <c r="Z70" s="10">
        <f>IF(Y70&lt;=1,0,SUMPRODUCT(($Y$12:$Y$267=Y70-1)*$M$12:$M$267))</f>
        <v/>
      </c>
      <c r="AA70" s="10">
        <f>IF(Y70&lt;=1,0,SUMPRODUCT(($Y$12:$Y$267=Y70-1)*$N$12:$N$267))</f>
        <v/>
      </c>
      <c r="AB70" s="21">
        <f>IF(Y70=0,"",(M70-Z70)/10^in_out_dp)</f>
        <v/>
      </c>
      <c r="AC70" s="26">
        <f>IF(Y70=0,"",(N70-AA70)/10^in_cost_dp)</f>
        <v/>
      </c>
      <c r="AD70" s="26">
        <f>IF(Y70=0,"",IF(M70=Z70,0,AC70/AB70))</f>
        <v/>
      </c>
      <c r="AE70" s="26">
        <f>IF(AND(C70=1,M70&gt;0),Q70/P70,"n/a")</f>
        <v/>
      </c>
      <c r="AF70" s="15" t="n">
        <v>0</v>
      </c>
      <c r="AG70" s="6">
        <f>IF(AND(C70=1,AF70=1),1+SUMPRODUCT($C$12:$C$267*$AF$12:$AF$267*(($M$12:$M$267&lt;M70)+($M$12:$M$267=M70)*($N$12:$N$267&lt;N70)+($M$12:$M$267=M70)*($N$12:$N$267=N70)*($A$12:$A$267&lt;A70))),0)</f>
        <v/>
      </c>
    </row>
    <row r="71">
      <c r="A71" s="4" t="n">
        <v>60</v>
      </c>
      <c r="B71" s="4" t="inlineStr">
        <is>
          <t>17B + 2A + 2B + 3F + 19A</t>
        </is>
      </c>
      <c r="C71" s="10">
        <f>IF(SUMPRODUCT(D71:K71,1-$D$5:$K$5)=0,1,0)</f>
        <v/>
      </c>
      <c r="D71" s="4" t="n">
        <v>0</v>
      </c>
      <c r="E71" s="4" t="n">
        <v>0</v>
      </c>
      <c r="F71" s="4" t="n">
        <v>1</v>
      </c>
      <c r="G71" s="4" t="n">
        <v>1</v>
      </c>
      <c r="H71" s="4" t="n">
        <v>1</v>
      </c>
      <c r="I71" s="4" t="n">
        <v>0</v>
      </c>
      <c r="J71" s="4" t="n">
        <v>1</v>
      </c>
      <c r="K71" s="4" t="n">
        <v>1</v>
      </c>
      <c r="L71" s="6">
        <f>IF(C71=1,1+SUMPRODUCT(D71:K71,$D$9:$K$9),"")</f>
        <v/>
      </c>
      <c r="M71" s="6">
        <f>SUMPRODUCT(D71:K71,$D$6:$K$6)</f>
        <v/>
      </c>
      <c r="N71" s="6">
        <f>SUMPRODUCT(D71:K71,$D$7:$K$7)</f>
        <v/>
      </c>
      <c r="O71" s="25">
        <f>SUMPRODUCT(D71:K71,$D$8:$K$8)</f>
        <v/>
      </c>
      <c r="P71" s="21">
        <f>M71/10^in_out_dp</f>
        <v/>
      </c>
      <c r="Q71" s="26">
        <f>N71/10^in_cost_dp</f>
        <v/>
      </c>
      <c r="R71" s="10">
        <f>IF(SUM(D71:K71)=0,1,0)</f>
        <v/>
      </c>
      <c r="S71" s="10">
        <f>SUMPRODUCT($C$12:$C$267*(($M$12:$M$267=M71)*($N$12:$N$267&lt;N71)+($M$12:$M$267&gt;M71)*($N$12:$N$267&lt;=N71)))</f>
        <v/>
      </c>
      <c r="T71" s="10">
        <f>IF(C71=0,0,IF(OR(R71=1,S71=0),1,0))</f>
        <v/>
      </c>
      <c r="U71" s="10">
        <f>IF(AND(T71=1,R71=0,M71&gt;0),1,0)</f>
        <v/>
      </c>
      <c r="V71" s="30">
        <f>IF(U71=1,MAX(N71/M71,SUMPRODUCT(MAX(((N71-$N$12:$N$267)*($U$12:$U$267*($M$12:$M$267&lt;M71)))/((M71-$M$12:$M$267)*($U$12:$U$267*($M$12:$M$267&lt;M71))+1-($U$12:$U$267*($M$12:$M$267&lt;M71)))-(1-($U$12:$U$267*($M$12:$M$267&lt;M71)))*1E+300))),0)</f>
        <v/>
      </c>
      <c r="W71" s="30">
        <f>IF(U71=1,SUMPRODUCT(MIN(((($N$12:$N$267-N71)*($U$12:$U$267*($M$12:$M$267&gt;M71)))/(($M$12:$M$267-M71)*($U$12:$U$267*($M$12:$M$267&gt;M71))+1-($U$12:$U$267*($M$12:$M$267&gt;M71)))+(1-($U$12:$U$267*($M$12:$M$267&gt;M71)))*1E+300))),0)</f>
        <v/>
      </c>
      <c r="X71" s="10">
        <f>IF(C71=0,0,IF(R71=1,1,IF(AND(U71=1,V71&lt;=W71),1,0)))</f>
        <v/>
      </c>
      <c r="Y71" s="10">
        <f>IF(X71=1,1+SUMPRODUCT($X$12:$X$267*(($M$12:$M$267&lt;M71)+($M$12:$M$267=M71)*($A$12:$A$267&lt;A71))),0)</f>
        <v/>
      </c>
      <c r="Z71" s="10">
        <f>IF(Y71&lt;=1,0,SUMPRODUCT(($Y$12:$Y$267=Y71-1)*$M$12:$M$267))</f>
        <v/>
      </c>
      <c r="AA71" s="10">
        <f>IF(Y71&lt;=1,0,SUMPRODUCT(($Y$12:$Y$267=Y71-1)*$N$12:$N$267))</f>
        <v/>
      </c>
      <c r="AB71" s="21">
        <f>IF(Y71=0,"",(M71-Z71)/10^in_out_dp)</f>
        <v/>
      </c>
      <c r="AC71" s="26">
        <f>IF(Y71=0,"",(N71-AA71)/10^in_cost_dp)</f>
        <v/>
      </c>
      <c r="AD71" s="26">
        <f>IF(Y71=0,"",IF(M71=Z71,0,AC71/AB71))</f>
        <v/>
      </c>
      <c r="AE71" s="26">
        <f>IF(AND(C71=1,M71&gt;0),Q71/P71,"n/a")</f>
        <v/>
      </c>
      <c r="AF71" s="15" t="n">
        <v>0</v>
      </c>
      <c r="AG71" s="6">
        <f>IF(AND(C71=1,AF71=1),1+SUMPRODUCT($C$12:$C$267*$AF$12:$AF$267*(($M$12:$M$267&lt;M71)+($M$12:$M$267=M71)*($N$12:$N$267&lt;N71)+($M$12:$M$267=M71)*($N$12:$N$267=N71)*($A$12:$A$267&lt;A71))),0)</f>
        <v/>
      </c>
    </row>
    <row r="72">
      <c r="A72" s="4" t="n">
        <v>61</v>
      </c>
      <c r="B72" s="4" t="inlineStr">
        <is>
          <t>17B + 2A + 2B + 3E</t>
        </is>
      </c>
      <c r="C72" s="10">
        <f>IF(SUMPRODUCT(D72:K72,1-$D$5:$K$5)=0,1,0)</f>
        <v/>
      </c>
      <c r="D72" s="4" t="n">
        <v>0</v>
      </c>
      <c r="E72" s="4" t="n">
        <v>0</v>
      </c>
      <c r="F72" s="4" t="n">
        <v>1</v>
      </c>
      <c r="G72" s="4" t="n">
        <v>1</v>
      </c>
      <c r="H72" s="4" t="n">
        <v>1</v>
      </c>
      <c r="I72" s="4" t="n">
        <v>1</v>
      </c>
      <c r="J72" s="4" t="n">
        <v>0</v>
      </c>
      <c r="K72" s="4" t="n">
        <v>0</v>
      </c>
      <c r="L72" s="6">
        <f>IF(C72=1,1+SUMPRODUCT(D72:K72,$D$9:$K$9),"")</f>
        <v/>
      </c>
      <c r="M72" s="6">
        <f>SUMPRODUCT(D72:K72,$D$6:$K$6)</f>
        <v/>
      </c>
      <c r="N72" s="6">
        <f>SUMPRODUCT(D72:K72,$D$7:$K$7)</f>
        <v/>
      </c>
      <c r="O72" s="25">
        <f>SUMPRODUCT(D72:K72,$D$8:$K$8)</f>
        <v/>
      </c>
      <c r="P72" s="21">
        <f>M72/10^in_out_dp</f>
        <v/>
      </c>
      <c r="Q72" s="26">
        <f>N72/10^in_cost_dp</f>
        <v/>
      </c>
      <c r="R72" s="10">
        <f>IF(SUM(D72:K72)=0,1,0)</f>
        <v/>
      </c>
      <c r="S72" s="10">
        <f>SUMPRODUCT($C$12:$C$267*(($M$12:$M$267=M72)*($N$12:$N$267&lt;N72)+($M$12:$M$267&gt;M72)*($N$12:$N$267&lt;=N72)))</f>
        <v/>
      </c>
      <c r="T72" s="10">
        <f>IF(C72=0,0,IF(OR(R72=1,S72=0),1,0))</f>
        <v/>
      </c>
      <c r="U72" s="10">
        <f>IF(AND(T72=1,R72=0,M72&gt;0),1,0)</f>
        <v/>
      </c>
      <c r="V72" s="30">
        <f>IF(U72=1,MAX(N72/M72,SUMPRODUCT(MAX(((N72-$N$12:$N$267)*($U$12:$U$267*($M$12:$M$267&lt;M72)))/((M72-$M$12:$M$267)*($U$12:$U$267*($M$12:$M$267&lt;M72))+1-($U$12:$U$267*($M$12:$M$267&lt;M72)))-(1-($U$12:$U$267*($M$12:$M$267&lt;M72)))*1E+300))),0)</f>
        <v/>
      </c>
      <c r="W72" s="30">
        <f>IF(U72=1,SUMPRODUCT(MIN(((($N$12:$N$267-N72)*($U$12:$U$267*($M$12:$M$267&gt;M72)))/(($M$12:$M$267-M72)*($U$12:$U$267*($M$12:$M$267&gt;M72))+1-($U$12:$U$267*($M$12:$M$267&gt;M72)))+(1-($U$12:$U$267*($M$12:$M$267&gt;M72)))*1E+300))),0)</f>
        <v/>
      </c>
      <c r="X72" s="10">
        <f>IF(C72=0,0,IF(R72=1,1,IF(AND(U72=1,V72&lt;=W72),1,0)))</f>
        <v/>
      </c>
      <c r="Y72" s="10">
        <f>IF(X72=1,1+SUMPRODUCT($X$12:$X$267*(($M$12:$M$267&lt;M72)+($M$12:$M$267=M72)*($A$12:$A$267&lt;A72))),0)</f>
        <v/>
      </c>
      <c r="Z72" s="10">
        <f>IF(Y72&lt;=1,0,SUMPRODUCT(($Y$12:$Y$267=Y72-1)*$M$12:$M$267))</f>
        <v/>
      </c>
      <c r="AA72" s="10">
        <f>IF(Y72&lt;=1,0,SUMPRODUCT(($Y$12:$Y$267=Y72-1)*$N$12:$N$267))</f>
        <v/>
      </c>
      <c r="AB72" s="21">
        <f>IF(Y72=0,"",(M72-Z72)/10^in_out_dp)</f>
        <v/>
      </c>
      <c r="AC72" s="26">
        <f>IF(Y72=0,"",(N72-AA72)/10^in_cost_dp)</f>
        <v/>
      </c>
      <c r="AD72" s="26">
        <f>IF(Y72=0,"",IF(M72=Z72,0,AC72/AB72))</f>
        <v/>
      </c>
      <c r="AE72" s="26">
        <f>IF(AND(C72=1,M72&gt;0),Q72/P72,"n/a")</f>
        <v/>
      </c>
      <c r="AF72" s="15" t="n">
        <v>0</v>
      </c>
      <c r="AG72" s="6">
        <f>IF(AND(C72=1,AF72=1),1+SUMPRODUCT($C$12:$C$267*$AF$12:$AF$267*(($M$12:$M$267&lt;M72)+($M$12:$M$267=M72)*($N$12:$N$267&lt;N72)+($M$12:$M$267=M72)*($N$12:$N$267=N72)*($A$12:$A$267&lt;A72))),0)</f>
        <v/>
      </c>
    </row>
    <row r="73">
      <c r="A73" s="4" t="n">
        <v>62</v>
      </c>
      <c r="B73" s="4" t="inlineStr">
        <is>
          <t>17B + 2A + 2B + 3E + 19A</t>
        </is>
      </c>
      <c r="C73" s="10">
        <f>IF(SUMPRODUCT(D73:K73,1-$D$5:$K$5)=0,1,0)</f>
        <v/>
      </c>
      <c r="D73" s="4" t="n">
        <v>0</v>
      </c>
      <c r="E73" s="4" t="n">
        <v>0</v>
      </c>
      <c r="F73" s="4" t="n">
        <v>1</v>
      </c>
      <c r="G73" s="4" t="n">
        <v>1</v>
      </c>
      <c r="H73" s="4" t="n">
        <v>1</v>
      </c>
      <c r="I73" s="4" t="n">
        <v>1</v>
      </c>
      <c r="J73" s="4" t="n">
        <v>0</v>
      </c>
      <c r="K73" s="4" t="n">
        <v>1</v>
      </c>
      <c r="L73" s="6">
        <f>IF(C73=1,1+SUMPRODUCT(D73:K73,$D$9:$K$9),"")</f>
        <v/>
      </c>
      <c r="M73" s="6">
        <f>SUMPRODUCT(D73:K73,$D$6:$K$6)</f>
        <v/>
      </c>
      <c r="N73" s="6">
        <f>SUMPRODUCT(D73:K73,$D$7:$K$7)</f>
        <v/>
      </c>
      <c r="O73" s="25">
        <f>SUMPRODUCT(D73:K73,$D$8:$K$8)</f>
        <v/>
      </c>
      <c r="P73" s="21">
        <f>M73/10^in_out_dp</f>
        <v/>
      </c>
      <c r="Q73" s="26">
        <f>N73/10^in_cost_dp</f>
        <v/>
      </c>
      <c r="R73" s="10">
        <f>IF(SUM(D73:K73)=0,1,0)</f>
        <v/>
      </c>
      <c r="S73" s="10">
        <f>SUMPRODUCT($C$12:$C$267*(($M$12:$M$267=M73)*($N$12:$N$267&lt;N73)+($M$12:$M$267&gt;M73)*($N$12:$N$267&lt;=N73)))</f>
        <v/>
      </c>
      <c r="T73" s="10">
        <f>IF(C73=0,0,IF(OR(R73=1,S73=0),1,0))</f>
        <v/>
      </c>
      <c r="U73" s="10">
        <f>IF(AND(T73=1,R73=0,M73&gt;0),1,0)</f>
        <v/>
      </c>
      <c r="V73" s="30">
        <f>IF(U73=1,MAX(N73/M73,SUMPRODUCT(MAX(((N73-$N$12:$N$267)*($U$12:$U$267*($M$12:$M$267&lt;M73)))/((M73-$M$12:$M$267)*($U$12:$U$267*($M$12:$M$267&lt;M73))+1-($U$12:$U$267*($M$12:$M$267&lt;M73)))-(1-($U$12:$U$267*($M$12:$M$267&lt;M73)))*1E+300))),0)</f>
        <v/>
      </c>
      <c r="W73" s="30">
        <f>IF(U73=1,SUMPRODUCT(MIN(((($N$12:$N$267-N73)*($U$12:$U$267*($M$12:$M$267&gt;M73)))/(($M$12:$M$267-M73)*($U$12:$U$267*($M$12:$M$267&gt;M73))+1-($U$12:$U$267*($M$12:$M$267&gt;M73)))+(1-($U$12:$U$267*($M$12:$M$267&gt;M73)))*1E+300))),0)</f>
        <v/>
      </c>
      <c r="X73" s="10">
        <f>IF(C73=0,0,IF(R73=1,1,IF(AND(U73=1,V73&lt;=W73),1,0)))</f>
        <v/>
      </c>
      <c r="Y73" s="10">
        <f>IF(X73=1,1+SUMPRODUCT($X$12:$X$267*(($M$12:$M$267&lt;M73)+($M$12:$M$267=M73)*($A$12:$A$267&lt;A73))),0)</f>
        <v/>
      </c>
      <c r="Z73" s="10">
        <f>IF(Y73&lt;=1,0,SUMPRODUCT(($Y$12:$Y$267=Y73-1)*$M$12:$M$267))</f>
        <v/>
      </c>
      <c r="AA73" s="10">
        <f>IF(Y73&lt;=1,0,SUMPRODUCT(($Y$12:$Y$267=Y73-1)*$N$12:$N$267))</f>
        <v/>
      </c>
      <c r="AB73" s="21">
        <f>IF(Y73=0,"",(M73-Z73)/10^in_out_dp)</f>
        <v/>
      </c>
      <c r="AC73" s="26">
        <f>IF(Y73=0,"",(N73-AA73)/10^in_cost_dp)</f>
        <v/>
      </c>
      <c r="AD73" s="26">
        <f>IF(Y73=0,"",IF(M73=Z73,0,AC73/AB73))</f>
        <v/>
      </c>
      <c r="AE73" s="26">
        <f>IF(AND(C73=1,M73&gt;0),Q73/P73,"n/a")</f>
        <v/>
      </c>
      <c r="AF73" s="15" t="n">
        <v>0</v>
      </c>
      <c r="AG73" s="6">
        <f>IF(AND(C73=1,AF73=1),1+SUMPRODUCT($C$12:$C$267*$AF$12:$AF$267*(($M$12:$M$267&lt;M73)+($M$12:$M$267=M73)*($N$12:$N$267&lt;N73)+($M$12:$M$267=M73)*($N$12:$N$267=N73)*($A$12:$A$267&lt;A73))),0)</f>
        <v/>
      </c>
    </row>
    <row r="74">
      <c r="A74" s="4" t="n">
        <v>63</v>
      </c>
      <c r="B74" s="4" t="inlineStr">
        <is>
          <t>17B + 2A + 2B + 3E + 3F</t>
        </is>
      </c>
      <c r="C74" s="10">
        <f>IF(SUMPRODUCT(D74:K74,1-$D$5:$K$5)=0,1,0)</f>
        <v/>
      </c>
      <c r="D74" s="4" t="n">
        <v>0</v>
      </c>
      <c r="E74" s="4" t="n">
        <v>0</v>
      </c>
      <c r="F74" s="4" t="n">
        <v>1</v>
      </c>
      <c r="G74" s="4" t="n">
        <v>1</v>
      </c>
      <c r="H74" s="4" t="n">
        <v>1</v>
      </c>
      <c r="I74" s="4" t="n">
        <v>1</v>
      </c>
      <c r="J74" s="4" t="n">
        <v>1</v>
      </c>
      <c r="K74" s="4" t="n">
        <v>0</v>
      </c>
      <c r="L74" s="6">
        <f>IF(C74=1,1+SUMPRODUCT(D74:K74,$D$9:$K$9),"")</f>
        <v/>
      </c>
      <c r="M74" s="6">
        <f>SUMPRODUCT(D74:K74,$D$6:$K$6)</f>
        <v/>
      </c>
      <c r="N74" s="6">
        <f>SUMPRODUCT(D74:K74,$D$7:$K$7)</f>
        <v/>
      </c>
      <c r="O74" s="25">
        <f>SUMPRODUCT(D74:K74,$D$8:$K$8)</f>
        <v/>
      </c>
      <c r="P74" s="21">
        <f>M74/10^in_out_dp</f>
        <v/>
      </c>
      <c r="Q74" s="26">
        <f>N74/10^in_cost_dp</f>
        <v/>
      </c>
      <c r="R74" s="10">
        <f>IF(SUM(D74:K74)=0,1,0)</f>
        <v/>
      </c>
      <c r="S74" s="10">
        <f>SUMPRODUCT($C$12:$C$267*(($M$12:$M$267=M74)*($N$12:$N$267&lt;N74)+($M$12:$M$267&gt;M74)*($N$12:$N$267&lt;=N74)))</f>
        <v/>
      </c>
      <c r="T74" s="10">
        <f>IF(C74=0,0,IF(OR(R74=1,S74=0),1,0))</f>
        <v/>
      </c>
      <c r="U74" s="10">
        <f>IF(AND(T74=1,R74=0,M74&gt;0),1,0)</f>
        <v/>
      </c>
      <c r="V74" s="30">
        <f>IF(U74=1,MAX(N74/M74,SUMPRODUCT(MAX(((N74-$N$12:$N$267)*($U$12:$U$267*($M$12:$M$267&lt;M74)))/((M74-$M$12:$M$267)*($U$12:$U$267*($M$12:$M$267&lt;M74))+1-($U$12:$U$267*($M$12:$M$267&lt;M74)))-(1-($U$12:$U$267*($M$12:$M$267&lt;M74)))*1E+300))),0)</f>
        <v/>
      </c>
      <c r="W74" s="30">
        <f>IF(U74=1,SUMPRODUCT(MIN(((($N$12:$N$267-N74)*($U$12:$U$267*($M$12:$M$267&gt;M74)))/(($M$12:$M$267-M74)*($U$12:$U$267*($M$12:$M$267&gt;M74))+1-($U$12:$U$267*($M$12:$M$267&gt;M74)))+(1-($U$12:$U$267*($M$12:$M$267&gt;M74)))*1E+300))),0)</f>
        <v/>
      </c>
      <c r="X74" s="10">
        <f>IF(C74=0,0,IF(R74=1,1,IF(AND(U74=1,V74&lt;=W74),1,0)))</f>
        <v/>
      </c>
      <c r="Y74" s="10">
        <f>IF(X74=1,1+SUMPRODUCT($X$12:$X$267*(($M$12:$M$267&lt;M74)+($M$12:$M$267=M74)*($A$12:$A$267&lt;A74))),0)</f>
        <v/>
      </c>
      <c r="Z74" s="10">
        <f>IF(Y74&lt;=1,0,SUMPRODUCT(($Y$12:$Y$267=Y74-1)*$M$12:$M$267))</f>
        <v/>
      </c>
      <c r="AA74" s="10">
        <f>IF(Y74&lt;=1,0,SUMPRODUCT(($Y$12:$Y$267=Y74-1)*$N$12:$N$267))</f>
        <v/>
      </c>
      <c r="AB74" s="21">
        <f>IF(Y74=0,"",(M74-Z74)/10^in_out_dp)</f>
        <v/>
      </c>
      <c r="AC74" s="26">
        <f>IF(Y74=0,"",(N74-AA74)/10^in_cost_dp)</f>
        <v/>
      </c>
      <c r="AD74" s="26">
        <f>IF(Y74=0,"",IF(M74=Z74,0,AC74/AB74))</f>
        <v/>
      </c>
      <c r="AE74" s="26">
        <f>IF(AND(C74=1,M74&gt;0),Q74/P74,"n/a")</f>
        <v/>
      </c>
      <c r="AF74" s="15" t="n">
        <v>0</v>
      </c>
      <c r="AG74" s="6">
        <f>IF(AND(C74=1,AF74=1),1+SUMPRODUCT($C$12:$C$267*$AF$12:$AF$267*(($M$12:$M$267&lt;M74)+($M$12:$M$267=M74)*($N$12:$N$267&lt;N74)+($M$12:$M$267=M74)*($N$12:$N$267=N74)*($A$12:$A$267&lt;A74))),0)</f>
        <v/>
      </c>
    </row>
    <row r="75">
      <c r="A75" s="4" t="n">
        <v>64</v>
      </c>
      <c r="B75" s="4" t="inlineStr">
        <is>
          <t>17B + 2A + 2B + 3E + 3F + 19A</t>
        </is>
      </c>
      <c r="C75" s="10">
        <f>IF(SUMPRODUCT(D75:K75,1-$D$5:$K$5)=0,1,0)</f>
        <v/>
      </c>
      <c r="D75" s="4" t="n">
        <v>0</v>
      </c>
      <c r="E75" s="4" t="n">
        <v>0</v>
      </c>
      <c r="F75" s="4" t="n">
        <v>1</v>
      </c>
      <c r="G75" s="4" t="n">
        <v>1</v>
      </c>
      <c r="H75" s="4" t="n">
        <v>1</v>
      </c>
      <c r="I75" s="4" t="n">
        <v>1</v>
      </c>
      <c r="J75" s="4" t="n">
        <v>1</v>
      </c>
      <c r="K75" s="4" t="n">
        <v>1</v>
      </c>
      <c r="L75" s="6">
        <f>IF(C75=1,1+SUMPRODUCT(D75:K75,$D$9:$K$9),"")</f>
        <v/>
      </c>
      <c r="M75" s="6">
        <f>SUMPRODUCT(D75:K75,$D$6:$K$6)</f>
        <v/>
      </c>
      <c r="N75" s="6">
        <f>SUMPRODUCT(D75:K75,$D$7:$K$7)</f>
        <v/>
      </c>
      <c r="O75" s="25">
        <f>SUMPRODUCT(D75:K75,$D$8:$K$8)</f>
        <v/>
      </c>
      <c r="P75" s="21">
        <f>M75/10^in_out_dp</f>
        <v/>
      </c>
      <c r="Q75" s="26">
        <f>N75/10^in_cost_dp</f>
        <v/>
      </c>
      <c r="R75" s="10">
        <f>IF(SUM(D75:K75)=0,1,0)</f>
        <v/>
      </c>
      <c r="S75" s="10">
        <f>SUMPRODUCT($C$12:$C$267*(($M$12:$M$267=M75)*($N$12:$N$267&lt;N75)+($M$12:$M$267&gt;M75)*($N$12:$N$267&lt;=N75)))</f>
        <v/>
      </c>
      <c r="T75" s="10">
        <f>IF(C75=0,0,IF(OR(R75=1,S75=0),1,0))</f>
        <v/>
      </c>
      <c r="U75" s="10">
        <f>IF(AND(T75=1,R75=0,M75&gt;0),1,0)</f>
        <v/>
      </c>
      <c r="V75" s="30">
        <f>IF(U75=1,MAX(N75/M75,SUMPRODUCT(MAX(((N75-$N$12:$N$267)*($U$12:$U$267*($M$12:$M$267&lt;M75)))/((M75-$M$12:$M$267)*($U$12:$U$267*($M$12:$M$267&lt;M75))+1-($U$12:$U$267*($M$12:$M$267&lt;M75)))-(1-($U$12:$U$267*($M$12:$M$267&lt;M75)))*1E+300))),0)</f>
        <v/>
      </c>
      <c r="W75" s="30">
        <f>IF(U75=1,SUMPRODUCT(MIN(((($N$12:$N$267-N75)*($U$12:$U$267*($M$12:$M$267&gt;M75)))/(($M$12:$M$267-M75)*($U$12:$U$267*($M$12:$M$267&gt;M75))+1-($U$12:$U$267*($M$12:$M$267&gt;M75)))+(1-($U$12:$U$267*($M$12:$M$267&gt;M75)))*1E+300))),0)</f>
        <v/>
      </c>
      <c r="X75" s="10">
        <f>IF(C75=0,0,IF(R75=1,1,IF(AND(U75=1,V75&lt;=W75),1,0)))</f>
        <v/>
      </c>
      <c r="Y75" s="10">
        <f>IF(X75=1,1+SUMPRODUCT($X$12:$X$267*(($M$12:$M$267&lt;M75)+($M$12:$M$267=M75)*($A$12:$A$267&lt;A75))),0)</f>
        <v/>
      </c>
      <c r="Z75" s="10">
        <f>IF(Y75&lt;=1,0,SUMPRODUCT(($Y$12:$Y$267=Y75-1)*$M$12:$M$267))</f>
        <v/>
      </c>
      <c r="AA75" s="10">
        <f>IF(Y75&lt;=1,0,SUMPRODUCT(($Y$12:$Y$267=Y75-1)*$N$12:$N$267))</f>
        <v/>
      </c>
      <c r="AB75" s="21">
        <f>IF(Y75=0,"",(M75-Z75)/10^in_out_dp)</f>
        <v/>
      </c>
      <c r="AC75" s="26">
        <f>IF(Y75=0,"",(N75-AA75)/10^in_cost_dp)</f>
        <v/>
      </c>
      <c r="AD75" s="26">
        <f>IF(Y75=0,"",IF(M75=Z75,0,AC75/AB75))</f>
        <v/>
      </c>
      <c r="AE75" s="26">
        <f>IF(AND(C75=1,M75&gt;0),Q75/P75,"n/a")</f>
        <v/>
      </c>
      <c r="AF75" s="15" t="n">
        <v>0</v>
      </c>
      <c r="AG75" s="6">
        <f>IF(AND(C75=1,AF75=1),1+SUMPRODUCT($C$12:$C$267*$AF$12:$AF$267*(($M$12:$M$267&lt;M75)+($M$12:$M$267=M75)*($N$12:$N$267&lt;N75)+($M$12:$M$267=M75)*($N$12:$N$267=N75)*($A$12:$A$267&lt;A75))),0)</f>
        <v/>
      </c>
    </row>
    <row r="76">
      <c r="A76" s="4" t="n">
        <v>65</v>
      </c>
      <c r="B76" s="4" t="inlineStr">
        <is>
          <t>17D2E</t>
        </is>
      </c>
      <c r="C76" s="10">
        <f>IF(SUMPRODUCT(D76:K76,1-$D$5:$K$5)=0,1,0)</f>
        <v/>
      </c>
      <c r="D76" s="4" t="n">
        <v>0</v>
      </c>
      <c r="E76" s="4" t="n">
        <v>1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6">
        <f>IF(C76=1,1+SUMPRODUCT(D76:K76,$D$9:$K$9),"")</f>
        <v/>
      </c>
      <c r="M76" s="6">
        <f>SUMPRODUCT(D76:K76,$D$6:$K$6)</f>
        <v/>
      </c>
      <c r="N76" s="6">
        <f>SUMPRODUCT(D76:K76,$D$7:$K$7)</f>
        <v/>
      </c>
      <c r="O76" s="25">
        <f>SUMPRODUCT(D76:K76,$D$8:$K$8)</f>
        <v/>
      </c>
      <c r="P76" s="21">
        <f>M76/10^in_out_dp</f>
        <v/>
      </c>
      <c r="Q76" s="26">
        <f>N76/10^in_cost_dp</f>
        <v/>
      </c>
      <c r="R76" s="10">
        <f>IF(SUM(D76:K76)=0,1,0)</f>
        <v/>
      </c>
      <c r="S76" s="10">
        <f>SUMPRODUCT($C$12:$C$267*(($M$12:$M$267=M76)*($N$12:$N$267&lt;N76)+($M$12:$M$267&gt;M76)*($N$12:$N$267&lt;=N76)))</f>
        <v/>
      </c>
      <c r="T76" s="10">
        <f>IF(C76=0,0,IF(OR(R76=1,S76=0),1,0))</f>
        <v/>
      </c>
      <c r="U76" s="10">
        <f>IF(AND(T76=1,R76=0,M76&gt;0),1,0)</f>
        <v/>
      </c>
      <c r="V76" s="30">
        <f>IF(U76=1,MAX(N76/M76,SUMPRODUCT(MAX(((N76-$N$12:$N$267)*($U$12:$U$267*($M$12:$M$267&lt;M76)))/((M76-$M$12:$M$267)*($U$12:$U$267*($M$12:$M$267&lt;M76))+1-($U$12:$U$267*($M$12:$M$267&lt;M76)))-(1-($U$12:$U$267*($M$12:$M$267&lt;M76)))*1E+300))),0)</f>
        <v/>
      </c>
      <c r="W76" s="30">
        <f>IF(U76=1,SUMPRODUCT(MIN(((($N$12:$N$267-N76)*($U$12:$U$267*($M$12:$M$267&gt;M76)))/(($M$12:$M$267-M76)*($U$12:$U$267*($M$12:$M$267&gt;M76))+1-($U$12:$U$267*($M$12:$M$267&gt;M76)))+(1-($U$12:$U$267*($M$12:$M$267&gt;M76)))*1E+300))),0)</f>
        <v/>
      </c>
      <c r="X76" s="10">
        <f>IF(C76=0,0,IF(R76=1,1,IF(AND(U76=1,V76&lt;=W76),1,0)))</f>
        <v/>
      </c>
      <c r="Y76" s="10">
        <f>IF(X76=1,1+SUMPRODUCT($X$12:$X$267*(($M$12:$M$267&lt;M76)+($M$12:$M$267=M76)*($A$12:$A$267&lt;A76))),0)</f>
        <v/>
      </c>
      <c r="Z76" s="10">
        <f>IF(Y76&lt;=1,0,SUMPRODUCT(($Y$12:$Y$267=Y76-1)*$M$12:$M$267))</f>
        <v/>
      </c>
      <c r="AA76" s="10">
        <f>IF(Y76&lt;=1,0,SUMPRODUCT(($Y$12:$Y$267=Y76-1)*$N$12:$N$267))</f>
        <v/>
      </c>
      <c r="AB76" s="21">
        <f>IF(Y76=0,"",(M76-Z76)/10^in_out_dp)</f>
        <v/>
      </c>
      <c r="AC76" s="26">
        <f>IF(Y76=0,"",(N76-AA76)/10^in_cost_dp)</f>
        <v/>
      </c>
      <c r="AD76" s="26">
        <f>IF(Y76=0,"",IF(M76=Z76,0,AC76/AB76))</f>
        <v/>
      </c>
      <c r="AE76" s="26">
        <f>IF(AND(C76=1,M76&gt;0),Q76/P76,"n/a")</f>
        <v/>
      </c>
      <c r="AF76" s="15" t="n">
        <v>0</v>
      </c>
      <c r="AG76" s="6">
        <f>IF(AND(C76=1,AF76=1),1+SUMPRODUCT($C$12:$C$267*$AF$12:$AF$267*(($M$12:$M$267&lt;M76)+($M$12:$M$267=M76)*($N$12:$N$267&lt;N76)+($M$12:$M$267=M76)*($N$12:$N$267=N76)*($A$12:$A$267&lt;A76))),0)</f>
        <v/>
      </c>
    </row>
    <row r="77">
      <c r="A77" s="4" t="n">
        <v>66</v>
      </c>
      <c r="B77" s="4" t="inlineStr">
        <is>
          <t>17D2E + 19A</t>
        </is>
      </c>
      <c r="C77" s="10">
        <f>IF(SUMPRODUCT(D77:K77,1-$D$5:$K$5)=0,1,0)</f>
        <v/>
      </c>
      <c r="D77" s="4" t="n">
        <v>0</v>
      </c>
      <c r="E77" s="4" t="n">
        <v>1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1</v>
      </c>
      <c r="L77" s="6">
        <f>IF(C77=1,1+SUMPRODUCT(D77:K77,$D$9:$K$9),"")</f>
        <v/>
      </c>
      <c r="M77" s="6">
        <f>SUMPRODUCT(D77:K77,$D$6:$K$6)</f>
        <v/>
      </c>
      <c r="N77" s="6">
        <f>SUMPRODUCT(D77:K77,$D$7:$K$7)</f>
        <v/>
      </c>
      <c r="O77" s="25">
        <f>SUMPRODUCT(D77:K77,$D$8:$K$8)</f>
        <v/>
      </c>
      <c r="P77" s="21">
        <f>M77/10^in_out_dp</f>
        <v/>
      </c>
      <c r="Q77" s="26">
        <f>N77/10^in_cost_dp</f>
        <v/>
      </c>
      <c r="R77" s="10">
        <f>IF(SUM(D77:K77)=0,1,0)</f>
        <v/>
      </c>
      <c r="S77" s="10">
        <f>SUMPRODUCT($C$12:$C$267*(($M$12:$M$267=M77)*($N$12:$N$267&lt;N77)+($M$12:$M$267&gt;M77)*($N$12:$N$267&lt;=N77)))</f>
        <v/>
      </c>
      <c r="T77" s="10">
        <f>IF(C77=0,0,IF(OR(R77=1,S77=0),1,0))</f>
        <v/>
      </c>
      <c r="U77" s="10">
        <f>IF(AND(T77=1,R77=0,M77&gt;0),1,0)</f>
        <v/>
      </c>
      <c r="V77" s="30">
        <f>IF(U77=1,MAX(N77/M77,SUMPRODUCT(MAX(((N77-$N$12:$N$267)*($U$12:$U$267*($M$12:$M$267&lt;M77)))/((M77-$M$12:$M$267)*($U$12:$U$267*($M$12:$M$267&lt;M77))+1-($U$12:$U$267*($M$12:$M$267&lt;M77)))-(1-($U$12:$U$267*($M$12:$M$267&lt;M77)))*1E+300))),0)</f>
        <v/>
      </c>
      <c r="W77" s="30">
        <f>IF(U77=1,SUMPRODUCT(MIN(((($N$12:$N$267-N77)*($U$12:$U$267*($M$12:$M$267&gt;M77)))/(($M$12:$M$267-M77)*($U$12:$U$267*($M$12:$M$267&gt;M77))+1-($U$12:$U$267*($M$12:$M$267&gt;M77)))+(1-($U$12:$U$267*($M$12:$M$267&gt;M77)))*1E+300))),0)</f>
        <v/>
      </c>
      <c r="X77" s="10">
        <f>IF(C77=0,0,IF(R77=1,1,IF(AND(U77=1,V77&lt;=W77),1,0)))</f>
        <v/>
      </c>
      <c r="Y77" s="10">
        <f>IF(X77=1,1+SUMPRODUCT($X$12:$X$267*(($M$12:$M$267&lt;M77)+($M$12:$M$267=M77)*($A$12:$A$267&lt;A77))),0)</f>
        <v/>
      </c>
      <c r="Z77" s="10">
        <f>IF(Y77&lt;=1,0,SUMPRODUCT(($Y$12:$Y$267=Y77-1)*$M$12:$M$267))</f>
        <v/>
      </c>
      <c r="AA77" s="10">
        <f>IF(Y77&lt;=1,0,SUMPRODUCT(($Y$12:$Y$267=Y77-1)*$N$12:$N$267))</f>
        <v/>
      </c>
      <c r="AB77" s="21">
        <f>IF(Y77=0,"",(M77-Z77)/10^in_out_dp)</f>
        <v/>
      </c>
      <c r="AC77" s="26">
        <f>IF(Y77=0,"",(N77-AA77)/10^in_cost_dp)</f>
        <v/>
      </c>
      <c r="AD77" s="26">
        <f>IF(Y77=0,"",IF(M77=Z77,0,AC77/AB77))</f>
        <v/>
      </c>
      <c r="AE77" s="26">
        <f>IF(AND(C77=1,M77&gt;0),Q77/P77,"n/a")</f>
        <v/>
      </c>
      <c r="AF77" s="15" t="n">
        <v>0</v>
      </c>
      <c r="AG77" s="6">
        <f>IF(AND(C77=1,AF77=1),1+SUMPRODUCT($C$12:$C$267*$AF$12:$AF$267*(($M$12:$M$267&lt;M77)+($M$12:$M$267=M77)*($N$12:$N$267&lt;N77)+($M$12:$M$267=M77)*($N$12:$N$267=N77)*($A$12:$A$267&lt;A77))),0)</f>
        <v/>
      </c>
    </row>
    <row r="78">
      <c r="A78" s="4" t="n">
        <v>67</v>
      </c>
      <c r="B78" s="4" t="inlineStr">
        <is>
          <t>17D2E + 3F</t>
        </is>
      </c>
      <c r="C78" s="10">
        <f>IF(SUMPRODUCT(D78:K78,1-$D$5:$K$5)=0,1,0)</f>
        <v/>
      </c>
      <c r="D78" s="4" t="n">
        <v>0</v>
      </c>
      <c r="E78" s="4" t="n">
        <v>1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1</v>
      </c>
      <c r="K78" s="4" t="n">
        <v>0</v>
      </c>
      <c r="L78" s="6">
        <f>IF(C78=1,1+SUMPRODUCT(D78:K78,$D$9:$K$9),"")</f>
        <v/>
      </c>
      <c r="M78" s="6">
        <f>SUMPRODUCT(D78:K78,$D$6:$K$6)</f>
        <v/>
      </c>
      <c r="N78" s="6">
        <f>SUMPRODUCT(D78:K78,$D$7:$K$7)</f>
        <v/>
      </c>
      <c r="O78" s="25">
        <f>SUMPRODUCT(D78:K78,$D$8:$K$8)</f>
        <v/>
      </c>
      <c r="P78" s="21">
        <f>M78/10^in_out_dp</f>
        <v/>
      </c>
      <c r="Q78" s="26">
        <f>N78/10^in_cost_dp</f>
        <v/>
      </c>
      <c r="R78" s="10">
        <f>IF(SUM(D78:K78)=0,1,0)</f>
        <v/>
      </c>
      <c r="S78" s="10">
        <f>SUMPRODUCT($C$12:$C$267*(($M$12:$M$267=M78)*($N$12:$N$267&lt;N78)+($M$12:$M$267&gt;M78)*($N$12:$N$267&lt;=N78)))</f>
        <v/>
      </c>
      <c r="T78" s="10">
        <f>IF(C78=0,0,IF(OR(R78=1,S78=0),1,0))</f>
        <v/>
      </c>
      <c r="U78" s="10">
        <f>IF(AND(T78=1,R78=0,M78&gt;0),1,0)</f>
        <v/>
      </c>
      <c r="V78" s="30">
        <f>IF(U78=1,MAX(N78/M78,SUMPRODUCT(MAX(((N78-$N$12:$N$267)*($U$12:$U$267*($M$12:$M$267&lt;M78)))/((M78-$M$12:$M$267)*($U$12:$U$267*($M$12:$M$267&lt;M78))+1-($U$12:$U$267*($M$12:$M$267&lt;M78)))-(1-($U$12:$U$267*($M$12:$M$267&lt;M78)))*1E+300))),0)</f>
        <v/>
      </c>
      <c r="W78" s="30">
        <f>IF(U78=1,SUMPRODUCT(MIN(((($N$12:$N$267-N78)*($U$12:$U$267*($M$12:$M$267&gt;M78)))/(($M$12:$M$267-M78)*($U$12:$U$267*($M$12:$M$267&gt;M78))+1-($U$12:$U$267*($M$12:$M$267&gt;M78)))+(1-($U$12:$U$267*($M$12:$M$267&gt;M78)))*1E+300))),0)</f>
        <v/>
      </c>
      <c r="X78" s="10">
        <f>IF(C78=0,0,IF(R78=1,1,IF(AND(U78=1,V78&lt;=W78),1,0)))</f>
        <v/>
      </c>
      <c r="Y78" s="10">
        <f>IF(X78=1,1+SUMPRODUCT($X$12:$X$267*(($M$12:$M$267&lt;M78)+($M$12:$M$267=M78)*($A$12:$A$267&lt;A78))),0)</f>
        <v/>
      </c>
      <c r="Z78" s="10">
        <f>IF(Y78&lt;=1,0,SUMPRODUCT(($Y$12:$Y$267=Y78-1)*$M$12:$M$267))</f>
        <v/>
      </c>
      <c r="AA78" s="10">
        <f>IF(Y78&lt;=1,0,SUMPRODUCT(($Y$12:$Y$267=Y78-1)*$N$12:$N$267))</f>
        <v/>
      </c>
      <c r="AB78" s="21">
        <f>IF(Y78=0,"",(M78-Z78)/10^in_out_dp)</f>
        <v/>
      </c>
      <c r="AC78" s="26">
        <f>IF(Y78=0,"",(N78-AA78)/10^in_cost_dp)</f>
        <v/>
      </c>
      <c r="AD78" s="26">
        <f>IF(Y78=0,"",IF(M78=Z78,0,AC78/AB78))</f>
        <v/>
      </c>
      <c r="AE78" s="26">
        <f>IF(AND(C78=1,M78&gt;0),Q78/P78,"n/a")</f>
        <v/>
      </c>
      <c r="AF78" s="15" t="n">
        <v>0</v>
      </c>
      <c r="AG78" s="6">
        <f>IF(AND(C78=1,AF78=1),1+SUMPRODUCT($C$12:$C$267*$AF$12:$AF$267*(($M$12:$M$267&lt;M78)+($M$12:$M$267=M78)*($N$12:$N$267&lt;N78)+($M$12:$M$267=M78)*($N$12:$N$267=N78)*($A$12:$A$267&lt;A78))),0)</f>
        <v/>
      </c>
    </row>
    <row r="79">
      <c r="A79" s="4" t="n">
        <v>68</v>
      </c>
      <c r="B79" s="4" t="inlineStr">
        <is>
          <t>17D2E + 3F + 19A</t>
        </is>
      </c>
      <c r="C79" s="10">
        <f>IF(SUMPRODUCT(D79:K79,1-$D$5:$K$5)=0,1,0)</f>
        <v/>
      </c>
      <c r="D79" s="4" t="n">
        <v>0</v>
      </c>
      <c r="E79" s="4" t="n">
        <v>1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1</v>
      </c>
      <c r="K79" s="4" t="n">
        <v>1</v>
      </c>
      <c r="L79" s="6">
        <f>IF(C79=1,1+SUMPRODUCT(D79:K79,$D$9:$K$9),"")</f>
        <v/>
      </c>
      <c r="M79" s="6">
        <f>SUMPRODUCT(D79:K79,$D$6:$K$6)</f>
        <v/>
      </c>
      <c r="N79" s="6">
        <f>SUMPRODUCT(D79:K79,$D$7:$K$7)</f>
        <v/>
      </c>
      <c r="O79" s="25">
        <f>SUMPRODUCT(D79:K79,$D$8:$K$8)</f>
        <v/>
      </c>
      <c r="P79" s="21">
        <f>M79/10^in_out_dp</f>
        <v/>
      </c>
      <c r="Q79" s="26">
        <f>N79/10^in_cost_dp</f>
        <v/>
      </c>
      <c r="R79" s="10">
        <f>IF(SUM(D79:K79)=0,1,0)</f>
        <v/>
      </c>
      <c r="S79" s="10">
        <f>SUMPRODUCT($C$12:$C$267*(($M$12:$M$267=M79)*($N$12:$N$267&lt;N79)+($M$12:$M$267&gt;M79)*($N$12:$N$267&lt;=N79)))</f>
        <v/>
      </c>
      <c r="T79" s="10">
        <f>IF(C79=0,0,IF(OR(R79=1,S79=0),1,0))</f>
        <v/>
      </c>
      <c r="U79" s="10">
        <f>IF(AND(T79=1,R79=0,M79&gt;0),1,0)</f>
        <v/>
      </c>
      <c r="V79" s="30">
        <f>IF(U79=1,MAX(N79/M79,SUMPRODUCT(MAX(((N79-$N$12:$N$267)*($U$12:$U$267*($M$12:$M$267&lt;M79)))/((M79-$M$12:$M$267)*($U$12:$U$267*($M$12:$M$267&lt;M79))+1-($U$12:$U$267*($M$12:$M$267&lt;M79)))-(1-($U$12:$U$267*($M$12:$M$267&lt;M79)))*1E+300))),0)</f>
        <v/>
      </c>
      <c r="W79" s="30">
        <f>IF(U79=1,SUMPRODUCT(MIN(((($N$12:$N$267-N79)*($U$12:$U$267*($M$12:$M$267&gt;M79)))/(($M$12:$M$267-M79)*($U$12:$U$267*($M$12:$M$267&gt;M79))+1-($U$12:$U$267*($M$12:$M$267&gt;M79)))+(1-($U$12:$U$267*($M$12:$M$267&gt;M79)))*1E+300))),0)</f>
        <v/>
      </c>
      <c r="X79" s="10">
        <f>IF(C79=0,0,IF(R79=1,1,IF(AND(U79=1,V79&lt;=W79),1,0)))</f>
        <v/>
      </c>
      <c r="Y79" s="10">
        <f>IF(X79=1,1+SUMPRODUCT($X$12:$X$267*(($M$12:$M$267&lt;M79)+($M$12:$M$267=M79)*($A$12:$A$267&lt;A79))),0)</f>
        <v/>
      </c>
      <c r="Z79" s="10">
        <f>IF(Y79&lt;=1,0,SUMPRODUCT(($Y$12:$Y$267=Y79-1)*$M$12:$M$267))</f>
        <v/>
      </c>
      <c r="AA79" s="10">
        <f>IF(Y79&lt;=1,0,SUMPRODUCT(($Y$12:$Y$267=Y79-1)*$N$12:$N$267))</f>
        <v/>
      </c>
      <c r="AB79" s="21">
        <f>IF(Y79=0,"",(M79-Z79)/10^in_out_dp)</f>
        <v/>
      </c>
      <c r="AC79" s="26">
        <f>IF(Y79=0,"",(N79-AA79)/10^in_cost_dp)</f>
        <v/>
      </c>
      <c r="AD79" s="26">
        <f>IF(Y79=0,"",IF(M79=Z79,0,AC79/AB79))</f>
        <v/>
      </c>
      <c r="AE79" s="26">
        <f>IF(AND(C79=1,M79&gt;0),Q79/P79,"n/a")</f>
        <v/>
      </c>
      <c r="AF79" s="15" t="n">
        <v>0</v>
      </c>
      <c r="AG79" s="6">
        <f>IF(AND(C79=1,AF79=1),1+SUMPRODUCT($C$12:$C$267*$AF$12:$AF$267*(($M$12:$M$267&lt;M79)+($M$12:$M$267=M79)*($N$12:$N$267&lt;N79)+($M$12:$M$267=M79)*($N$12:$N$267=N79)*($A$12:$A$267&lt;A79))),0)</f>
        <v/>
      </c>
    </row>
    <row r="80">
      <c r="A80" s="4" t="n">
        <v>69</v>
      </c>
      <c r="B80" s="4" t="inlineStr">
        <is>
          <t>17D2E + 3E</t>
        </is>
      </c>
      <c r="C80" s="10">
        <f>IF(SUMPRODUCT(D80:K80,1-$D$5:$K$5)=0,1,0)</f>
        <v/>
      </c>
      <c r="D80" s="4" t="n">
        <v>0</v>
      </c>
      <c r="E80" s="4" t="n">
        <v>1</v>
      </c>
      <c r="F80" s="4" t="n">
        <v>0</v>
      </c>
      <c r="G80" s="4" t="n">
        <v>0</v>
      </c>
      <c r="H80" s="4" t="n">
        <v>0</v>
      </c>
      <c r="I80" s="4" t="n">
        <v>1</v>
      </c>
      <c r="J80" s="4" t="n">
        <v>0</v>
      </c>
      <c r="K80" s="4" t="n">
        <v>0</v>
      </c>
      <c r="L80" s="6">
        <f>IF(C80=1,1+SUMPRODUCT(D80:K80,$D$9:$K$9),"")</f>
        <v/>
      </c>
      <c r="M80" s="6">
        <f>SUMPRODUCT(D80:K80,$D$6:$K$6)</f>
        <v/>
      </c>
      <c r="N80" s="6">
        <f>SUMPRODUCT(D80:K80,$D$7:$K$7)</f>
        <v/>
      </c>
      <c r="O80" s="25">
        <f>SUMPRODUCT(D80:K80,$D$8:$K$8)</f>
        <v/>
      </c>
      <c r="P80" s="21">
        <f>M80/10^in_out_dp</f>
        <v/>
      </c>
      <c r="Q80" s="26">
        <f>N80/10^in_cost_dp</f>
        <v/>
      </c>
      <c r="R80" s="10">
        <f>IF(SUM(D80:K80)=0,1,0)</f>
        <v/>
      </c>
      <c r="S80" s="10">
        <f>SUMPRODUCT($C$12:$C$267*(($M$12:$M$267=M80)*($N$12:$N$267&lt;N80)+($M$12:$M$267&gt;M80)*($N$12:$N$267&lt;=N80)))</f>
        <v/>
      </c>
      <c r="T80" s="10">
        <f>IF(C80=0,0,IF(OR(R80=1,S80=0),1,0))</f>
        <v/>
      </c>
      <c r="U80" s="10">
        <f>IF(AND(T80=1,R80=0,M80&gt;0),1,0)</f>
        <v/>
      </c>
      <c r="V80" s="30">
        <f>IF(U80=1,MAX(N80/M80,SUMPRODUCT(MAX(((N80-$N$12:$N$267)*($U$12:$U$267*($M$12:$M$267&lt;M80)))/((M80-$M$12:$M$267)*($U$12:$U$267*($M$12:$M$267&lt;M80))+1-($U$12:$U$267*($M$12:$M$267&lt;M80)))-(1-($U$12:$U$267*($M$12:$M$267&lt;M80)))*1E+300))),0)</f>
        <v/>
      </c>
      <c r="W80" s="30">
        <f>IF(U80=1,SUMPRODUCT(MIN(((($N$12:$N$267-N80)*($U$12:$U$267*($M$12:$M$267&gt;M80)))/(($M$12:$M$267-M80)*($U$12:$U$267*($M$12:$M$267&gt;M80))+1-($U$12:$U$267*($M$12:$M$267&gt;M80)))+(1-($U$12:$U$267*($M$12:$M$267&gt;M80)))*1E+300))),0)</f>
        <v/>
      </c>
      <c r="X80" s="10">
        <f>IF(C80=0,0,IF(R80=1,1,IF(AND(U80=1,V80&lt;=W80),1,0)))</f>
        <v/>
      </c>
      <c r="Y80" s="10">
        <f>IF(X80=1,1+SUMPRODUCT($X$12:$X$267*(($M$12:$M$267&lt;M80)+($M$12:$M$267=M80)*($A$12:$A$267&lt;A80))),0)</f>
        <v/>
      </c>
      <c r="Z80" s="10">
        <f>IF(Y80&lt;=1,0,SUMPRODUCT(($Y$12:$Y$267=Y80-1)*$M$12:$M$267))</f>
        <v/>
      </c>
      <c r="AA80" s="10">
        <f>IF(Y80&lt;=1,0,SUMPRODUCT(($Y$12:$Y$267=Y80-1)*$N$12:$N$267))</f>
        <v/>
      </c>
      <c r="AB80" s="21">
        <f>IF(Y80=0,"",(M80-Z80)/10^in_out_dp)</f>
        <v/>
      </c>
      <c r="AC80" s="26">
        <f>IF(Y80=0,"",(N80-AA80)/10^in_cost_dp)</f>
        <v/>
      </c>
      <c r="AD80" s="26">
        <f>IF(Y80=0,"",IF(M80=Z80,0,AC80/AB80))</f>
        <v/>
      </c>
      <c r="AE80" s="26">
        <f>IF(AND(C80=1,M80&gt;0),Q80/P80,"n/a")</f>
        <v/>
      </c>
      <c r="AF80" s="15" t="n">
        <v>0</v>
      </c>
      <c r="AG80" s="6">
        <f>IF(AND(C80=1,AF80=1),1+SUMPRODUCT($C$12:$C$267*$AF$12:$AF$267*(($M$12:$M$267&lt;M80)+($M$12:$M$267=M80)*($N$12:$N$267&lt;N80)+($M$12:$M$267=M80)*($N$12:$N$267=N80)*($A$12:$A$267&lt;A80))),0)</f>
        <v/>
      </c>
    </row>
    <row r="81">
      <c r="A81" s="4" t="n">
        <v>70</v>
      </c>
      <c r="B81" s="4" t="inlineStr">
        <is>
          <t>17D2E + 3E + 19A</t>
        </is>
      </c>
      <c r="C81" s="10">
        <f>IF(SUMPRODUCT(D81:K81,1-$D$5:$K$5)=0,1,0)</f>
        <v/>
      </c>
      <c r="D81" s="4" t="n">
        <v>0</v>
      </c>
      <c r="E81" s="4" t="n">
        <v>1</v>
      </c>
      <c r="F81" s="4" t="n">
        <v>0</v>
      </c>
      <c r="G81" s="4" t="n">
        <v>0</v>
      </c>
      <c r="H81" s="4" t="n">
        <v>0</v>
      </c>
      <c r="I81" s="4" t="n">
        <v>1</v>
      </c>
      <c r="J81" s="4" t="n">
        <v>0</v>
      </c>
      <c r="K81" s="4" t="n">
        <v>1</v>
      </c>
      <c r="L81" s="6">
        <f>IF(C81=1,1+SUMPRODUCT(D81:K81,$D$9:$K$9),"")</f>
        <v/>
      </c>
      <c r="M81" s="6">
        <f>SUMPRODUCT(D81:K81,$D$6:$K$6)</f>
        <v/>
      </c>
      <c r="N81" s="6">
        <f>SUMPRODUCT(D81:K81,$D$7:$K$7)</f>
        <v/>
      </c>
      <c r="O81" s="25">
        <f>SUMPRODUCT(D81:K81,$D$8:$K$8)</f>
        <v/>
      </c>
      <c r="P81" s="21">
        <f>M81/10^in_out_dp</f>
        <v/>
      </c>
      <c r="Q81" s="26">
        <f>N81/10^in_cost_dp</f>
        <v/>
      </c>
      <c r="R81" s="10">
        <f>IF(SUM(D81:K81)=0,1,0)</f>
        <v/>
      </c>
      <c r="S81" s="10">
        <f>SUMPRODUCT($C$12:$C$267*(($M$12:$M$267=M81)*($N$12:$N$267&lt;N81)+($M$12:$M$267&gt;M81)*($N$12:$N$267&lt;=N81)))</f>
        <v/>
      </c>
      <c r="T81" s="10">
        <f>IF(C81=0,0,IF(OR(R81=1,S81=0),1,0))</f>
        <v/>
      </c>
      <c r="U81" s="10">
        <f>IF(AND(T81=1,R81=0,M81&gt;0),1,0)</f>
        <v/>
      </c>
      <c r="V81" s="30">
        <f>IF(U81=1,MAX(N81/M81,SUMPRODUCT(MAX(((N81-$N$12:$N$267)*($U$12:$U$267*($M$12:$M$267&lt;M81)))/((M81-$M$12:$M$267)*($U$12:$U$267*($M$12:$M$267&lt;M81))+1-($U$12:$U$267*($M$12:$M$267&lt;M81)))-(1-($U$12:$U$267*($M$12:$M$267&lt;M81)))*1E+300))),0)</f>
        <v/>
      </c>
      <c r="W81" s="30">
        <f>IF(U81=1,SUMPRODUCT(MIN(((($N$12:$N$267-N81)*($U$12:$U$267*($M$12:$M$267&gt;M81)))/(($M$12:$M$267-M81)*($U$12:$U$267*($M$12:$M$267&gt;M81))+1-($U$12:$U$267*($M$12:$M$267&gt;M81)))+(1-($U$12:$U$267*($M$12:$M$267&gt;M81)))*1E+300))),0)</f>
        <v/>
      </c>
      <c r="X81" s="10">
        <f>IF(C81=0,0,IF(R81=1,1,IF(AND(U81=1,V81&lt;=W81),1,0)))</f>
        <v/>
      </c>
      <c r="Y81" s="10">
        <f>IF(X81=1,1+SUMPRODUCT($X$12:$X$267*(($M$12:$M$267&lt;M81)+($M$12:$M$267=M81)*($A$12:$A$267&lt;A81))),0)</f>
        <v/>
      </c>
      <c r="Z81" s="10">
        <f>IF(Y81&lt;=1,0,SUMPRODUCT(($Y$12:$Y$267=Y81-1)*$M$12:$M$267))</f>
        <v/>
      </c>
      <c r="AA81" s="10">
        <f>IF(Y81&lt;=1,0,SUMPRODUCT(($Y$12:$Y$267=Y81-1)*$N$12:$N$267))</f>
        <v/>
      </c>
      <c r="AB81" s="21">
        <f>IF(Y81=0,"",(M81-Z81)/10^in_out_dp)</f>
        <v/>
      </c>
      <c r="AC81" s="26">
        <f>IF(Y81=0,"",(N81-AA81)/10^in_cost_dp)</f>
        <v/>
      </c>
      <c r="AD81" s="26">
        <f>IF(Y81=0,"",IF(M81=Z81,0,AC81/AB81))</f>
        <v/>
      </c>
      <c r="AE81" s="26">
        <f>IF(AND(C81=1,M81&gt;0),Q81/P81,"n/a")</f>
        <v/>
      </c>
      <c r="AF81" s="15" t="n">
        <v>0</v>
      </c>
      <c r="AG81" s="6">
        <f>IF(AND(C81=1,AF81=1),1+SUMPRODUCT($C$12:$C$267*$AF$12:$AF$267*(($M$12:$M$267&lt;M81)+($M$12:$M$267=M81)*($N$12:$N$267&lt;N81)+($M$12:$M$267=M81)*($N$12:$N$267=N81)*($A$12:$A$267&lt;A81))),0)</f>
        <v/>
      </c>
    </row>
    <row r="82">
      <c r="A82" s="4" t="n">
        <v>71</v>
      </c>
      <c r="B82" s="4" t="inlineStr">
        <is>
          <t>17D2E + 3E + 3F</t>
        </is>
      </c>
      <c r="C82" s="10">
        <f>IF(SUMPRODUCT(D82:K82,1-$D$5:$K$5)=0,1,0)</f>
        <v/>
      </c>
      <c r="D82" s="4" t="n">
        <v>0</v>
      </c>
      <c r="E82" s="4" t="n">
        <v>1</v>
      </c>
      <c r="F82" s="4" t="n">
        <v>0</v>
      </c>
      <c r="G82" s="4" t="n">
        <v>0</v>
      </c>
      <c r="H82" s="4" t="n">
        <v>0</v>
      </c>
      <c r="I82" s="4" t="n">
        <v>1</v>
      </c>
      <c r="J82" s="4" t="n">
        <v>1</v>
      </c>
      <c r="K82" s="4" t="n">
        <v>0</v>
      </c>
      <c r="L82" s="6">
        <f>IF(C82=1,1+SUMPRODUCT(D82:K82,$D$9:$K$9),"")</f>
        <v/>
      </c>
      <c r="M82" s="6">
        <f>SUMPRODUCT(D82:K82,$D$6:$K$6)</f>
        <v/>
      </c>
      <c r="N82" s="6">
        <f>SUMPRODUCT(D82:K82,$D$7:$K$7)</f>
        <v/>
      </c>
      <c r="O82" s="25">
        <f>SUMPRODUCT(D82:K82,$D$8:$K$8)</f>
        <v/>
      </c>
      <c r="P82" s="21">
        <f>M82/10^in_out_dp</f>
        <v/>
      </c>
      <c r="Q82" s="26">
        <f>N82/10^in_cost_dp</f>
        <v/>
      </c>
      <c r="R82" s="10">
        <f>IF(SUM(D82:K82)=0,1,0)</f>
        <v/>
      </c>
      <c r="S82" s="10">
        <f>SUMPRODUCT($C$12:$C$267*(($M$12:$M$267=M82)*($N$12:$N$267&lt;N82)+($M$12:$M$267&gt;M82)*($N$12:$N$267&lt;=N82)))</f>
        <v/>
      </c>
      <c r="T82" s="10">
        <f>IF(C82=0,0,IF(OR(R82=1,S82=0),1,0))</f>
        <v/>
      </c>
      <c r="U82" s="10">
        <f>IF(AND(T82=1,R82=0,M82&gt;0),1,0)</f>
        <v/>
      </c>
      <c r="V82" s="30">
        <f>IF(U82=1,MAX(N82/M82,SUMPRODUCT(MAX(((N82-$N$12:$N$267)*($U$12:$U$267*($M$12:$M$267&lt;M82)))/((M82-$M$12:$M$267)*($U$12:$U$267*($M$12:$M$267&lt;M82))+1-($U$12:$U$267*($M$12:$M$267&lt;M82)))-(1-($U$12:$U$267*($M$12:$M$267&lt;M82)))*1E+300))),0)</f>
        <v/>
      </c>
      <c r="W82" s="30">
        <f>IF(U82=1,SUMPRODUCT(MIN(((($N$12:$N$267-N82)*($U$12:$U$267*($M$12:$M$267&gt;M82)))/(($M$12:$M$267-M82)*($U$12:$U$267*($M$12:$M$267&gt;M82))+1-($U$12:$U$267*($M$12:$M$267&gt;M82)))+(1-($U$12:$U$267*($M$12:$M$267&gt;M82)))*1E+300))),0)</f>
        <v/>
      </c>
      <c r="X82" s="10">
        <f>IF(C82=0,0,IF(R82=1,1,IF(AND(U82=1,V82&lt;=W82),1,0)))</f>
        <v/>
      </c>
      <c r="Y82" s="10">
        <f>IF(X82=1,1+SUMPRODUCT($X$12:$X$267*(($M$12:$M$267&lt;M82)+($M$12:$M$267=M82)*($A$12:$A$267&lt;A82))),0)</f>
        <v/>
      </c>
      <c r="Z82" s="10">
        <f>IF(Y82&lt;=1,0,SUMPRODUCT(($Y$12:$Y$267=Y82-1)*$M$12:$M$267))</f>
        <v/>
      </c>
      <c r="AA82" s="10">
        <f>IF(Y82&lt;=1,0,SUMPRODUCT(($Y$12:$Y$267=Y82-1)*$N$12:$N$267))</f>
        <v/>
      </c>
      <c r="AB82" s="21">
        <f>IF(Y82=0,"",(M82-Z82)/10^in_out_dp)</f>
        <v/>
      </c>
      <c r="AC82" s="26">
        <f>IF(Y82=0,"",(N82-AA82)/10^in_cost_dp)</f>
        <v/>
      </c>
      <c r="AD82" s="26">
        <f>IF(Y82=0,"",IF(M82=Z82,0,AC82/AB82))</f>
        <v/>
      </c>
      <c r="AE82" s="26">
        <f>IF(AND(C82=1,M82&gt;0),Q82/P82,"n/a")</f>
        <v/>
      </c>
      <c r="AF82" s="15" t="n">
        <v>0</v>
      </c>
      <c r="AG82" s="6">
        <f>IF(AND(C82=1,AF82=1),1+SUMPRODUCT($C$12:$C$267*$AF$12:$AF$267*(($M$12:$M$267&lt;M82)+($M$12:$M$267=M82)*($N$12:$N$267&lt;N82)+($M$12:$M$267=M82)*($N$12:$N$267=N82)*($A$12:$A$267&lt;A82))),0)</f>
        <v/>
      </c>
    </row>
    <row r="83">
      <c r="A83" s="4" t="n">
        <v>72</v>
      </c>
      <c r="B83" s="4" t="inlineStr">
        <is>
          <t>17D2E + 3E + 3F + 19A</t>
        </is>
      </c>
      <c r="C83" s="10">
        <f>IF(SUMPRODUCT(D83:K83,1-$D$5:$K$5)=0,1,0)</f>
        <v/>
      </c>
      <c r="D83" s="4" t="n">
        <v>0</v>
      </c>
      <c r="E83" s="4" t="n">
        <v>1</v>
      </c>
      <c r="F83" s="4" t="n">
        <v>0</v>
      </c>
      <c r="G83" s="4" t="n">
        <v>0</v>
      </c>
      <c r="H83" s="4" t="n">
        <v>0</v>
      </c>
      <c r="I83" s="4" t="n">
        <v>1</v>
      </c>
      <c r="J83" s="4" t="n">
        <v>1</v>
      </c>
      <c r="K83" s="4" t="n">
        <v>1</v>
      </c>
      <c r="L83" s="6">
        <f>IF(C83=1,1+SUMPRODUCT(D83:K83,$D$9:$K$9),"")</f>
        <v/>
      </c>
      <c r="M83" s="6">
        <f>SUMPRODUCT(D83:K83,$D$6:$K$6)</f>
        <v/>
      </c>
      <c r="N83" s="6">
        <f>SUMPRODUCT(D83:K83,$D$7:$K$7)</f>
        <v/>
      </c>
      <c r="O83" s="25">
        <f>SUMPRODUCT(D83:K83,$D$8:$K$8)</f>
        <v/>
      </c>
      <c r="P83" s="21">
        <f>M83/10^in_out_dp</f>
        <v/>
      </c>
      <c r="Q83" s="26">
        <f>N83/10^in_cost_dp</f>
        <v/>
      </c>
      <c r="R83" s="10">
        <f>IF(SUM(D83:K83)=0,1,0)</f>
        <v/>
      </c>
      <c r="S83" s="10">
        <f>SUMPRODUCT($C$12:$C$267*(($M$12:$M$267=M83)*($N$12:$N$267&lt;N83)+($M$12:$M$267&gt;M83)*($N$12:$N$267&lt;=N83)))</f>
        <v/>
      </c>
      <c r="T83" s="10">
        <f>IF(C83=0,0,IF(OR(R83=1,S83=0),1,0))</f>
        <v/>
      </c>
      <c r="U83" s="10">
        <f>IF(AND(T83=1,R83=0,M83&gt;0),1,0)</f>
        <v/>
      </c>
      <c r="V83" s="30">
        <f>IF(U83=1,MAX(N83/M83,SUMPRODUCT(MAX(((N83-$N$12:$N$267)*($U$12:$U$267*($M$12:$M$267&lt;M83)))/((M83-$M$12:$M$267)*($U$12:$U$267*($M$12:$M$267&lt;M83))+1-($U$12:$U$267*($M$12:$M$267&lt;M83)))-(1-($U$12:$U$267*($M$12:$M$267&lt;M83)))*1E+300))),0)</f>
        <v/>
      </c>
      <c r="W83" s="30">
        <f>IF(U83=1,SUMPRODUCT(MIN(((($N$12:$N$267-N83)*($U$12:$U$267*($M$12:$M$267&gt;M83)))/(($M$12:$M$267-M83)*($U$12:$U$267*($M$12:$M$267&gt;M83))+1-($U$12:$U$267*($M$12:$M$267&gt;M83)))+(1-($U$12:$U$267*($M$12:$M$267&gt;M83)))*1E+300))),0)</f>
        <v/>
      </c>
      <c r="X83" s="10">
        <f>IF(C83=0,0,IF(R83=1,1,IF(AND(U83=1,V83&lt;=W83),1,0)))</f>
        <v/>
      </c>
      <c r="Y83" s="10">
        <f>IF(X83=1,1+SUMPRODUCT($X$12:$X$267*(($M$12:$M$267&lt;M83)+($M$12:$M$267=M83)*($A$12:$A$267&lt;A83))),0)</f>
        <v/>
      </c>
      <c r="Z83" s="10">
        <f>IF(Y83&lt;=1,0,SUMPRODUCT(($Y$12:$Y$267=Y83-1)*$M$12:$M$267))</f>
        <v/>
      </c>
      <c r="AA83" s="10">
        <f>IF(Y83&lt;=1,0,SUMPRODUCT(($Y$12:$Y$267=Y83-1)*$N$12:$N$267))</f>
        <v/>
      </c>
      <c r="AB83" s="21">
        <f>IF(Y83=0,"",(M83-Z83)/10^in_out_dp)</f>
        <v/>
      </c>
      <c r="AC83" s="26">
        <f>IF(Y83=0,"",(N83-AA83)/10^in_cost_dp)</f>
        <v/>
      </c>
      <c r="AD83" s="26">
        <f>IF(Y83=0,"",IF(M83=Z83,0,AC83/AB83))</f>
        <v/>
      </c>
      <c r="AE83" s="26">
        <f>IF(AND(C83=1,M83&gt;0),Q83/P83,"n/a")</f>
        <v/>
      </c>
      <c r="AF83" s="15" t="n">
        <v>0</v>
      </c>
      <c r="AG83" s="6">
        <f>IF(AND(C83=1,AF83=1),1+SUMPRODUCT($C$12:$C$267*$AF$12:$AF$267*(($M$12:$M$267&lt;M83)+($M$12:$M$267=M83)*($N$12:$N$267&lt;N83)+($M$12:$M$267=M83)*($N$12:$N$267=N83)*($A$12:$A$267&lt;A83))),0)</f>
        <v/>
      </c>
    </row>
    <row r="84">
      <c r="A84" s="4" t="n">
        <v>73</v>
      </c>
      <c r="B84" s="4" t="inlineStr">
        <is>
          <t>17D2E + 2B</t>
        </is>
      </c>
      <c r="C84" s="10">
        <f>IF(SUMPRODUCT(D84:K84,1-$D$5:$K$5)=0,1,0)</f>
        <v/>
      </c>
      <c r="D84" s="4" t="n">
        <v>0</v>
      </c>
      <c r="E84" s="4" t="n">
        <v>1</v>
      </c>
      <c r="F84" s="4" t="n">
        <v>0</v>
      </c>
      <c r="G84" s="4" t="n">
        <v>0</v>
      </c>
      <c r="H84" s="4" t="n">
        <v>1</v>
      </c>
      <c r="I84" s="4" t="n">
        <v>0</v>
      </c>
      <c r="J84" s="4" t="n">
        <v>0</v>
      </c>
      <c r="K84" s="4" t="n">
        <v>0</v>
      </c>
      <c r="L84" s="6">
        <f>IF(C84=1,1+SUMPRODUCT(D84:K84,$D$9:$K$9),"")</f>
        <v/>
      </c>
      <c r="M84" s="6">
        <f>SUMPRODUCT(D84:K84,$D$6:$K$6)</f>
        <v/>
      </c>
      <c r="N84" s="6">
        <f>SUMPRODUCT(D84:K84,$D$7:$K$7)</f>
        <v/>
      </c>
      <c r="O84" s="25">
        <f>SUMPRODUCT(D84:K84,$D$8:$K$8)</f>
        <v/>
      </c>
      <c r="P84" s="21">
        <f>M84/10^in_out_dp</f>
        <v/>
      </c>
      <c r="Q84" s="26">
        <f>N84/10^in_cost_dp</f>
        <v/>
      </c>
      <c r="R84" s="10">
        <f>IF(SUM(D84:K84)=0,1,0)</f>
        <v/>
      </c>
      <c r="S84" s="10">
        <f>SUMPRODUCT($C$12:$C$267*(($M$12:$M$267=M84)*($N$12:$N$267&lt;N84)+($M$12:$M$267&gt;M84)*($N$12:$N$267&lt;=N84)))</f>
        <v/>
      </c>
      <c r="T84" s="10">
        <f>IF(C84=0,0,IF(OR(R84=1,S84=0),1,0))</f>
        <v/>
      </c>
      <c r="U84" s="10">
        <f>IF(AND(T84=1,R84=0,M84&gt;0),1,0)</f>
        <v/>
      </c>
      <c r="V84" s="30">
        <f>IF(U84=1,MAX(N84/M84,SUMPRODUCT(MAX(((N84-$N$12:$N$267)*($U$12:$U$267*($M$12:$M$267&lt;M84)))/((M84-$M$12:$M$267)*($U$12:$U$267*($M$12:$M$267&lt;M84))+1-($U$12:$U$267*($M$12:$M$267&lt;M84)))-(1-($U$12:$U$267*($M$12:$M$267&lt;M84)))*1E+300))),0)</f>
        <v/>
      </c>
      <c r="W84" s="30">
        <f>IF(U84=1,SUMPRODUCT(MIN(((($N$12:$N$267-N84)*($U$12:$U$267*($M$12:$M$267&gt;M84)))/(($M$12:$M$267-M84)*($U$12:$U$267*($M$12:$M$267&gt;M84))+1-($U$12:$U$267*($M$12:$M$267&gt;M84)))+(1-($U$12:$U$267*($M$12:$M$267&gt;M84)))*1E+300))),0)</f>
        <v/>
      </c>
      <c r="X84" s="10">
        <f>IF(C84=0,0,IF(R84=1,1,IF(AND(U84=1,V84&lt;=W84),1,0)))</f>
        <v/>
      </c>
      <c r="Y84" s="10">
        <f>IF(X84=1,1+SUMPRODUCT($X$12:$X$267*(($M$12:$M$267&lt;M84)+($M$12:$M$267=M84)*($A$12:$A$267&lt;A84))),0)</f>
        <v/>
      </c>
      <c r="Z84" s="10">
        <f>IF(Y84&lt;=1,0,SUMPRODUCT(($Y$12:$Y$267=Y84-1)*$M$12:$M$267))</f>
        <v/>
      </c>
      <c r="AA84" s="10">
        <f>IF(Y84&lt;=1,0,SUMPRODUCT(($Y$12:$Y$267=Y84-1)*$N$12:$N$267))</f>
        <v/>
      </c>
      <c r="AB84" s="21">
        <f>IF(Y84=0,"",(M84-Z84)/10^in_out_dp)</f>
        <v/>
      </c>
      <c r="AC84" s="26">
        <f>IF(Y84=0,"",(N84-AA84)/10^in_cost_dp)</f>
        <v/>
      </c>
      <c r="AD84" s="26">
        <f>IF(Y84=0,"",IF(M84=Z84,0,AC84/AB84))</f>
        <v/>
      </c>
      <c r="AE84" s="26">
        <f>IF(AND(C84=1,M84&gt;0),Q84/P84,"n/a")</f>
        <v/>
      </c>
      <c r="AF84" s="15" t="n">
        <v>0</v>
      </c>
      <c r="AG84" s="6">
        <f>IF(AND(C84=1,AF84=1),1+SUMPRODUCT($C$12:$C$267*$AF$12:$AF$267*(($M$12:$M$267&lt;M84)+($M$12:$M$267=M84)*($N$12:$N$267&lt;N84)+($M$12:$M$267=M84)*($N$12:$N$267=N84)*($A$12:$A$267&lt;A84))),0)</f>
        <v/>
      </c>
    </row>
    <row r="85">
      <c r="A85" s="4" t="n">
        <v>74</v>
      </c>
      <c r="B85" s="4" t="inlineStr">
        <is>
          <t>17D2E + 2B + 19A</t>
        </is>
      </c>
      <c r="C85" s="10">
        <f>IF(SUMPRODUCT(D85:K85,1-$D$5:$K$5)=0,1,0)</f>
        <v/>
      </c>
      <c r="D85" s="4" t="n">
        <v>0</v>
      </c>
      <c r="E85" s="4" t="n">
        <v>1</v>
      </c>
      <c r="F85" s="4" t="n">
        <v>0</v>
      </c>
      <c r="G85" s="4" t="n">
        <v>0</v>
      </c>
      <c r="H85" s="4" t="n">
        <v>1</v>
      </c>
      <c r="I85" s="4" t="n">
        <v>0</v>
      </c>
      <c r="J85" s="4" t="n">
        <v>0</v>
      </c>
      <c r="K85" s="4" t="n">
        <v>1</v>
      </c>
      <c r="L85" s="6">
        <f>IF(C85=1,1+SUMPRODUCT(D85:K85,$D$9:$K$9),"")</f>
        <v/>
      </c>
      <c r="M85" s="6">
        <f>SUMPRODUCT(D85:K85,$D$6:$K$6)</f>
        <v/>
      </c>
      <c r="N85" s="6">
        <f>SUMPRODUCT(D85:K85,$D$7:$K$7)</f>
        <v/>
      </c>
      <c r="O85" s="25">
        <f>SUMPRODUCT(D85:K85,$D$8:$K$8)</f>
        <v/>
      </c>
      <c r="P85" s="21">
        <f>M85/10^in_out_dp</f>
        <v/>
      </c>
      <c r="Q85" s="26">
        <f>N85/10^in_cost_dp</f>
        <v/>
      </c>
      <c r="R85" s="10">
        <f>IF(SUM(D85:K85)=0,1,0)</f>
        <v/>
      </c>
      <c r="S85" s="10">
        <f>SUMPRODUCT($C$12:$C$267*(($M$12:$M$267=M85)*($N$12:$N$267&lt;N85)+($M$12:$M$267&gt;M85)*($N$12:$N$267&lt;=N85)))</f>
        <v/>
      </c>
      <c r="T85" s="10">
        <f>IF(C85=0,0,IF(OR(R85=1,S85=0),1,0))</f>
        <v/>
      </c>
      <c r="U85" s="10">
        <f>IF(AND(T85=1,R85=0,M85&gt;0),1,0)</f>
        <v/>
      </c>
      <c r="V85" s="30">
        <f>IF(U85=1,MAX(N85/M85,SUMPRODUCT(MAX(((N85-$N$12:$N$267)*($U$12:$U$267*($M$12:$M$267&lt;M85)))/((M85-$M$12:$M$267)*($U$12:$U$267*($M$12:$M$267&lt;M85))+1-($U$12:$U$267*($M$12:$M$267&lt;M85)))-(1-($U$12:$U$267*($M$12:$M$267&lt;M85)))*1E+300))),0)</f>
        <v/>
      </c>
      <c r="W85" s="30">
        <f>IF(U85=1,SUMPRODUCT(MIN(((($N$12:$N$267-N85)*($U$12:$U$267*($M$12:$M$267&gt;M85)))/(($M$12:$M$267-M85)*($U$12:$U$267*($M$12:$M$267&gt;M85))+1-($U$12:$U$267*($M$12:$M$267&gt;M85)))+(1-($U$12:$U$267*($M$12:$M$267&gt;M85)))*1E+300))),0)</f>
        <v/>
      </c>
      <c r="X85" s="10">
        <f>IF(C85=0,0,IF(R85=1,1,IF(AND(U85=1,V85&lt;=W85),1,0)))</f>
        <v/>
      </c>
      <c r="Y85" s="10">
        <f>IF(X85=1,1+SUMPRODUCT($X$12:$X$267*(($M$12:$M$267&lt;M85)+($M$12:$M$267=M85)*($A$12:$A$267&lt;A85))),0)</f>
        <v/>
      </c>
      <c r="Z85" s="10">
        <f>IF(Y85&lt;=1,0,SUMPRODUCT(($Y$12:$Y$267=Y85-1)*$M$12:$M$267))</f>
        <v/>
      </c>
      <c r="AA85" s="10">
        <f>IF(Y85&lt;=1,0,SUMPRODUCT(($Y$12:$Y$267=Y85-1)*$N$12:$N$267))</f>
        <v/>
      </c>
      <c r="AB85" s="21">
        <f>IF(Y85=0,"",(M85-Z85)/10^in_out_dp)</f>
        <v/>
      </c>
      <c r="AC85" s="26">
        <f>IF(Y85=0,"",(N85-AA85)/10^in_cost_dp)</f>
        <v/>
      </c>
      <c r="AD85" s="26">
        <f>IF(Y85=0,"",IF(M85=Z85,0,AC85/AB85))</f>
        <v/>
      </c>
      <c r="AE85" s="26">
        <f>IF(AND(C85=1,M85&gt;0),Q85/P85,"n/a")</f>
        <v/>
      </c>
      <c r="AF85" s="15" t="n">
        <v>0</v>
      </c>
      <c r="AG85" s="6">
        <f>IF(AND(C85=1,AF85=1),1+SUMPRODUCT($C$12:$C$267*$AF$12:$AF$267*(($M$12:$M$267&lt;M85)+($M$12:$M$267=M85)*($N$12:$N$267&lt;N85)+($M$12:$M$267=M85)*($N$12:$N$267=N85)*($A$12:$A$267&lt;A85))),0)</f>
        <v/>
      </c>
    </row>
    <row r="86">
      <c r="A86" s="4" t="n">
        <v>75</v>
      </c>
      <c r="B86" s="4" t="inlineStr">
        <is>
          <t>17D2E + 2B + 3F</t>
        </is>
      </c>
      <c r="C86" s="10">
        <f>IF(SUMPRODUCT(D86:K86,1-$D$5:$K$5)=0,1,0)</f>
        <v/>
      </c>
      <c r="D86" s="4" t="n">
        <v>0</v>
      </c>
      <c r="E86" s="4" t="n">
        <v>1</v>
      </c>
      <c r="F86" s="4" t="n">
        <v>0</v>
      </c>
      <c r="G86" s="4" t="n">
        <v>0</v>
      </c>
      <c r="H86" s="4" t="n">
        <v>1</v>
      </c>
      <c r="I86" s="4" t="n">
        <v>0</v>
      </c>
      <c r="J86" s="4" t="n">
        <v>1</v>
      </c>
      <c r="K86" s="4" t="n">
        <v>0</v>
      </c>
      <c r="L86" s="6">
        <f>IF(C86=1,1+SUMPRODUCT(D86:K86,$D$9:$K$9),"")</f>
        <v/>
      </c>
      <c r="M86" s="6">
        <f>SUMPRODUCT(D86:K86,$D$6:$K$6)</f>
        <v/>
      </c>
      <c r="N86" s="6">
        <f>SUMPRODUCT(D86:K86,$D$7:$K$7)</f>
        <v/>
      </c>
      <c r="O86" s="25">
        <f>SUMPRODUCT(D86:K86,$D$8:$K$8)</f>
        <v/>
      </c>
      <c r="P86" s="21">
        <f>M86/10^in_out_dp</f>
        <v/>
      </c>
      <c r="Q86" s="26">
        <f>N86/10^in_cost_dp</f>
        <v/>
      </c>
      <c r="R86" s="10">
        <f>IF(SUM(D86:K86)=0,1,0)</f>
        <v/>
      </c>
      <c r="S86" s="10">
        <f>SUMPRODUCT($C$12:$C$267*(($M$12:$M$267=M86)*($N$12:$N$267&lt;N86)+($M$12:$M$267&gt;M86)*($N$12:$N$267&lt;=N86)))</f>
        <v/>
      </c>
      <c r="T86" s="10">
        <f>IF(C86=0,0,IF(OR(R86=1,S86=0),1,0))</f>
        <v/>
      </c>
      <c r="U86" s="10">
        <f>IF(AND(T86=1,R86=0,M86&gt;0),1,0)</f>
        <v/>
      </c>
      <c r="V86" s="30">
        <f>IF(U86=1,MAX(N86/M86,SUMPRODUCT(MAX(((N86-$N$12:$N$267)*($U$12:$U$267*($M$12:$M$267&lt;M86)))/((M86-$M$12:$M$267)*($U$12:$U$267*($M$12:$M$267&lt;M86))+1-($U$12:$U$267*($M$12:$M$267&lt;M86)))-(1-($U$12:$U$267*($M$12:$M$267&lt;M86)))*1E+300))),0)</f>
        <v/>
      </c>
      <c r="W86" s="30">
        <f>IF(U86=1,SUMPRODUCT(MIN(((($N$12:$N$267-N86)*($U$12:$U$267*($M$12:$M$267&gt;M86)))/(($M$12:$M$267-M86)*($U$12:$U$267*($M$12:$M$267&gt;M86))+1-($U$12:$U$267*($M$12:$M$267&gt;M86)))+(1-($U$12:$U$267*($M$12:$M$267&gt;M86)))*1E+300))),0)</f>
        <v/>
      </c>
      <c r="X86" s="10">
        <f>IF(C86=0,0,IF(R86=1,1,IF(AND(U86=1,V86&lt;=W86),1,0)))</f>
        <v/>
      </c>
      <c r="Y86" s="10">
        <f>IF(X86=1,1+SUMPRODUCT($X$12:$X$267*(($M$12:$M$267&lt;M86)+($M$12:$M$267=M86)*($A$12:$A$267&lt;A86))),0)</f>
        <v/>
      </c>
      <c r="Z86" s="10">
        <f>IF(Y86&lt;=1,0,SUMPRODUCT(($Y$12:$Y$267=Y86-1)*$M$12:$M$267))</f>
        <v/>
      </c>
      <c r="AA86" s="10">
        <f>IF(Y86&lt;=1,0,SUMPRODUCT(($Y$12:$Y$267=Y86-1)*$N$12:$N$267))</f>
        <v/>
      </c>
      <c r="AB86" s="21">
        <f>IF(Y86=0,"",(M86-Z86)/10^in_out_dp)</f>
        <v/>
      </c>
      <c r="AC86" s="26">
        <f>IF(Y86=0,"",(N86-AA86)/10^in_cost_dp)</f>
        <v/>
      </c>
      <c r="AD86" s="26">
        <f>IF(Y86=0,"",IF(M86=Z86,0,AC86/AB86))</f>
        <v/>
      </c>
      <c r="AE86" s="26">
        <f>IF(AND(C86=1,M86&gt;0),Q86/P86,"n/a")</f>
        <v/>
      </c>
      <c r="AF86" s="15" t="n">
        <v>0</v>
      </c>
      <c r="AG86" s="6">
        <f>IF(AND(C86=1,AF86=1),1+SUMPRODUCT($C$12:$C$267*$AF$12:$AF$267*(($M$12:$M$267&lt;M86)+($M$12:$M$267=M86)*($N$12:$N$267&lt;N86)+($M$12:$M$267=M86)*($N$12:$N$267=N86)*($A$12:$A$267&lt;A86))),0)</f>
        <v/>
      </c>
    </row>
    <row r="87">
      <c r="A87" s="4" t="n">
        <v>76</v>
      </c>
      <c r="B87" s="4" t="inlineStr">
        <is>
          <t>17D2E + 2B + 3F + 19A</t>
        </is>
      </c>
      <c r="C87" s="10">
        <f>IF(SUMPRODUCT(D87:K87,1-$D$5:$K$5)=0,1,0)</f>
        <v/>
      </c>
      <c r="D87" s="4" t="n">
        <v>0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1</v>
      </c>
      <c r="K87" s="4" t="n">
        <v>1</v>
      </c>
      <c r="L87" s="6">
        <f>IF(C87=1,1+SUMPRODUCT(D87:K87,$D$9:$K$9),"")</f>
        <v/>
      </c>
      <c r="M87" s="6">
        <f>SUMPRODUCT(D87:K87,$D$6:$K$6)</f>
        <v/>
      </c>
      <c r="N87" s="6">
        <f>SUMPRODUCT(D87:K87,$D$7:$K$7)</f>
        <v/>
      </c>
      <c r="O87" s="25">
        <f>SUMPRODUCT(D87:K87,$D$8:$K$8)</f>
        <v/>
      </c>
      <c r="P87" s="21">
        <f>M87/10^in_out_dp</f>
        <v/>
      </c>
      <c r="Q87" s="26">
        <f>N87/10^in_cost_dp</f>
        <v/>
      </c>
      <c r="R87" s="10">
        <f>IF(SUM(D87:K87)=0,1,0)</f>
        <v/>
      </c>
      <c r="S87" s="10">
        <f>SUMPRODUCT($C$12:$C$267*(($M$12:$M$267=M87)*($N$12:$N$267&lt;N87)+($M$12:$M$267&gt;M87)*($N$12:$N$267&lt;=N87)))</f>
        <v/>
      </c>
      <c r="T87" s="10">
        <f>IF(C87=0,0,IF(OR(R87=1,S87=0),1,0))</f>
        <v/>
      </c>
      <c r="U87" s="10">
        <f>IF(AND(T87=1,R87=0,M87&gt;0),1,0)</f>
        <v/>
      </c>
      <c r="V87" s="30">
        <f>IF(U87=1,MAX(N87/M87,SUMPRODUCT(MAX(((N87-$N$12:$N$267)*($U$12:$U$267*($M$12:$M$267&lt;M87)))/((M87-$M$12:$M$267)*($U$12:$U$267*($M$12:$M$267&lt;M87))+1-($U$12:$U$267*($M$12:$M$267&lt;M87)))-(1-($U$12:$U$267*($M$12:$M$267&lt;M87)))*1E+300))),0)</f>
        <v/>
      </c>
      <c r="W87" s="30">
        <f>IF(U87=1,SUMPRODUCT(MIN(((($N$12:$N$267-N87)*($U$12:$U$267*($M$12:$M$267&gt;M87)))/(($M$12:$M$267-M87)*($U$12:$U$267*($M$12:$M$267&gt;M87))+1-($U$12:$U$267*($M$12:$M$267&gt;M87)))+(1-($U$12:$U$267*($M$12:$M$267&gt;M87)))*1E+300))),0)</f>
        <v/>
      </c>
      <c r="X87" s="10">
        <f>IF(C87=0,0,IF(R87=1,1,IF(AND(U87=1,V87&lt;=W87),1,0)))</f>
        <v/>
      </c>
      <c r="Y87" s="10">
        <f>IF(X87=1,1+SUMPRODUCT($X$12:$X$267*(($M$12:$M$267&lt;M87)+($M$12:$M$267=M87)*($A$12:$A$267&lt;A87))),0)</f>
        <v/>
      </c>
      <c r="Z87" s="10">
        <f>IF(Y87&lt;=1,0,SUMPRODUCT(($Y$12:$Y$267=Y87-1)*$M$12:$M$267))</f>
        <v/>
      </c>
      <c r="AA87" s="10">
        <f>IF(Y87&lt;=1,0,SUMPRODUCT(($Y$12:$Y$267=Y87-1)*$N$12:$N$267))</f>
        <v/>
      </c>
      <c r="AB87" s="21">
        <f>IF(Y87=0,"",(M87-Z87)/10^in_out_dp)</f>
        <v/>
      </c>
      <c r="AC87" s="26">
        <f>IF(Y87=0,"",(N87-AA87)/10^in_cost_dp)</f>
        <v/>
      </c>
      <c r="AD87" s="26">
        <f>IF(Y87=0,"",IF(M87=Z87,0,AC87/AB87))</f>
        <v/>
      </c>
      <c r="AE87" s="26">
        <f>IF(AND(C87=1,M87&gt;0),Q87/P87,"n/a")</f>
        <v/>
      </c>
      <c r="AF87" s="15" t="n">
        <v>0</v>
      </c>
      <c r="AG87" s="6">
        <f>IF(AND(C87=1,AF87=1),1+SUMPRODUCT($C$12:$C$267*$AF$12:$AF$267*(($M$12:$M$267&lt;M87)+($M$12:$M$267=M87)*($N$12:$N$267&lt;N87)+($M$12:$M$267=M87)*($N$12:$N$267=N87)*($A$12:$A$267&lt;A87))),0)</f>
        <v/>
      </c>
    </row>
    <row r="88">
      <c r="A88" s="4" t="n">
        <v>77</v>
      </c>
      <c r="B88" s="4" t="inlineStr">
        <is>
          <t>17D2E + 2B + 3E</t>
        </is>
      </c>
      <c r="C88" s="10">
        <f>IF(SUMPRODUCT(D88:K88,1-$D$5:$K$5)=0,1,0)</f>
        <v/>
      </c>
      <c r="D88" s="4" t="n">
        <v>0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1</v>
      </c>
      <c r="J88" s="4" t="n">
        <v>0</v>
      </c>
      <c r="K88" s="4" t="n">
        <v>0</v>
      </c>
      <c r="L88" s="6">
        <f>IF(C88=1,1+SUMPRODUCT(D88:K88,$D$9:$K$9),"")</f>
        <v/>
      </c>
      <c r="M88" s="6">
        <f>SUMPRODUCT(D88:K88,$D$6:$K$6)</f>
        <v/>
      </c>
      <c r="N88" s="6">
        <f>SUMPRODUCT(D88:K88,$D$7:$K$7)</f>
        <v/>
      </c>
      <c r="O88" s="25">
        <f>SUMPRODUCT(D88:K88,$D$8:$K$8)</f>
        <v/>
      </c>
      <c r="P88" s="21">
        <f>M88/10^in_out_dp</f>
        <v/>
      </c>
      <c r="Q88" s="26">
        <f>N88/10^in_cost_dp</f>
        <v/>
      </c>
      <c r="R88" s="10">
        <f>IF(SUM(D88:K88)=0,1,0)</f>
        <v/>
      </c>
      <c r="S88" s="10">
        <f>SUMPRODUCT($C$12:$C$267*(($M$12:$M$267=M88)*($N$12:$N$267&lt;N88)+($M$12:$M$267&gt;M88)*($N$12:$N$267&lt;=N88)))</f>
        <v/>
      </c>
      <c r="T88" s="10">
        <f>IF(C88=0,0,IF(OR(R88=1,S88=0),1,0))</f>
        <v/>
      </c>
      <c r="U88" s="10">
        <f>IF(AND(T88=1,R88=0,M88&gt;0),1,0)</f>
        <v/>
      </c>
      <c r="V88" s="30">
        <f>IF(U88=1,MAX(N88/M88,SUMPRODUCT(MAX(((N88-$N$12:$N$267)*($U$12:$U$267*($M$12:$M$267&lt;M88)))/((M88-$M$12:$M$267)*($U$12:$U$267*($M$12:$M$267&lt;M88))+1-($U$12:$U$267*($M$12:$M$267&lt;M88)))-(1-($U$12:$U$267*($M$12:$M$267&lt;M88)))*1E+300))),0)</f>
        <v/>
      </c>
      <c r="W88" s="30">
        <f>IF(U88=1,SUMPRODUCT(MIN(((($N$12:$N$267-N88)*($U$12:$U$267*($M$12:$M$267&gt;M88)))/(($M$12:$M$267-M88)*($U$12:$U$267*($M$12:$M$267&gt;M88))+1-($U$12:$U$267*($M$12:$M$267&gt;M88)))+(1-($U$12:$U$267*($M$12:$M$267&gt;M88)))*1E+300))),0)</f>
        <v/>
      </c>
      <c r="X88" s="10">
        <f>IF(C88=0,0,IF(R88=1,1,IF(AND(U88=1,V88&lt;=W88),1,0)))</f>
        <v/>
      </c>
      <c r="Y88" s="10">
        <f>IF(X88=1,1+SUMPRODUCT($X$12:$X$267*(($M$12:$M$267&lt;M88)+($M$12:$M$267=M88)*($A$12:$A$267&lt;A88))),0)</f>
        <v/>
      </c>
      <c r="Z88" s="10">
        <f>IF(Y88&lt;=1,0,SUMPRODUCT(($Y$12:$Y$267=Y88-1)*$M$12:$M$267))</f>
        <v/>
      </c>
      <c r="AA88" s="10">
        <f>IF(Y88&lt;=1,0,SUMPRODUCT(($Y$12:$Y$267=Y88-1)*$N$12:$N$267))</f>
        <v/>
      </c>
      <c r="AB88" s="21">
        <f>IF(Y88=0,"",(M88-Z88)/10^in_out_dp)</f>
        <v/>
      </c>
      <c r="AC88" s="26">
        <f>IF(Y88=0,"",(N88-AA88)/10^in_cost_dp)</f>
        <v/>
      </c>
      <c r="AD88" s="26">
        <f>IF(Y88=0,"",IF(M88=Z88,0,AC88/AB88))</f>
        <v/>
      </c>
      <c r="AE88" s="26">
        <f>IF(AND(C88=1,M88&gt;0),Q88/P88,"n/a")</f>
        <v/>
      </c>
      <c r="AF88" s="15" t="n">
        <v>0</v>
      </c>
      <c r="AG88" s="6">
        <f>IF(AND(C88=1,AF88=1),1+SUMPRODUCT($C$12:$C$267*$AF$12:$AF$267*(($M$12:$M$267&lt;M88)+($M$12:$M$267=M88)*($N$12:$N$267&lt;N88)+($M$12:$M$267=M88)*($N$12:$N$267=N88)*($A$12:$A$267&lt;A88))),0)</f>
        <v/>
      </c>
    </row>
    <row r="89">
      <c r="A89" s="4" t="n">
        <v>78</v>
      </c>
      <c r="B89" s="4" t="inlineStr">
        <is>
          <t>17D2E + 2B + 3E + 19A</t>
        </is>
      </c>
      <c r="C89" s="10">
        <f>IF(SUMPRODUCT(D89:K89,1-$D$5:$K$5)=0,1,0)</f>
        <v/>
      </c>
      <c r="D89" s="4" t="n">
        <v>0</v>
      </c>
      <c r="E89" s="4" t="n">
        <v>1</v>
      </c>
      <c r="F89" s="4" t="n">
        <v>0</v>
      </c>
      <c r="G89" s="4" t="n">
        <v>0</v>
      </c>
      <c r="H89" s="4" t="n">
        <v>1</v>
      </c>
      <c r="I89" s="4" t="n">
        <v>1</v>
      </c>
      <c r="J89" s="4" t="n">
        <v>0</v>
      </c>
      <c r="K89" s="4" t="n">
        <v>1</v>
      </c>
      <c r="L89" s="6">
        <f>IF(C89=1,1+SUMPRODUCT(D89:K89,$D$9:$K$9),"")</f>
        <v/>
      </c>
      <c r="M89" s="6">
        <f>SUMPRODUCT(D89:K89,$D$6:$K$6)</f>
        <v/>
      </c>
      <c r="N89" s="6">
        <f>SUMPRODUCT(D89:K89,$D$7:$K$7)</f>
        <v/>
      </c>
      <c r="O89" s="25">
        <f>SUMPRODUCT(D89:K89,$D$8:$K$8)</f>
        <v/>
      </c>
      <c r="P89" s="21">
        <f>M89/10^in_out_dp</f>
        <v/>
      </c>
      <c r="Q89" s="26">
        <f>N89/10^in_cost_dp</f>
        <v/>
      </c>
      <c r="R89" s="10">
        <f>IF(SUM(D89:K89)=0,1,0)</f>
        <v/>
      </c>
      <c r="S89" s="10">
        <f>SUMPRODUCT($C$12:$C$267*(($M$12:$M$267=M89)*($N$12:$N$267&lt;N89)+($M$12:$M$267&gt;M89)*($N$12:$N$267&lt;=N89)))</f>
        <v/>
      </c>
      <c r="T89" s="10">
        <f>IF(C89=0,0,IF(OR(R89=1,S89=0),1,0))</f>
        <v/>
      </c>
      <c r="U89" s="10">
        <f>IF(AND(T89=1,R89=0,M89&gt;0),1,0)</f>
        <v/>
      </c>
      <c r="V89" s="30">
        <f>IF(U89=1,MAX(N89/M89,SUMPRODUCT(MAX(((N89-$N$12:$N$267)*($U$12:$U$267*($M$12:$M$267&lt;M89)))/((M89-$M$12:$M$267)*($U$12:$U$267*($M$12:$M$267&lt;M89))+1-($U$12:$U$267*($M$12:$M$267&lt;M89)))-(1-($U$12:$U$267*($M$12:$M$267&lt;M89)))*1E+300))),0)</f>
        <v/>
      </c>
      <c r="W89" s="30">
        <f>IF(U89=1,SUMPRODUCT(MIN(((($N$12:$N$267-N89)*($U$12:$U$267*($M$12:$M$267&gt;M89)))/(($M$12:$M$267-M89)*($U$12:$U$267*($M$12:$M$267&gt;M89))+1-($U$12:$U$267*($M$12:$M$267&gt;M89)))+(1-($U$12:$U$267*($M$12:$M$267&gt;M89)))*1E+300))),0)</f>
        <v/>
      </c>
      <c r="X89" s="10">
        <f>IF(C89=0,0,IF(R89=1,1,IF(AND(U89=1,V89&lt;=W89),1,0)))</f>
        <v/>
      </c>
      <c r="Y89" s="10">
        <f>IF(X89=1,1+SUMPRODUCT($X$12:$X$267*(($M$12:$M$267&lt;M89)+($M$12:$M$267=M89)*($A$12:$A$267&lt;A89))),0)</f>
        <v/>
      </c>
      <c r="Z89" s="10">
        <f>IF(Y89&lt;=1,0,SUMPRODUCT(($Y$12:$Y$267=Y89-1)*$M$12:$M$267))</f>
        <v/>
      </c>
      <c r="AA89" s="10">
        <f>IF(Y89&lt;=1,0,SUMPRODUCT(($Y$12:$Y$267=Y89-1)*$N$12:$N$267))</f>
        <v/>
      </c>
      <c r="AB89" s="21">
        <f>IF(Y89=0,"",(M89-Z89)/10^in_out_dp)</f>
        <v/>
      </c>
      <c r="AC89" s="26">
        <f>IF(Y89=0,"",(N89-AA89)/10^in_cost_dp)</f>
        <v/>
      </c>
      <c r="AD89" s="26">
        <f>IF(Y89=0,"",IF(M89=Z89,0,AC89/AB89))</f>
        <v/>
      </c>
      <c r="AE89" s="26">
        <f>IF(AND(C89=1,M89&gt;0),Q89/P89,"n/a")</f>
        <v/>
      </c>
      <c r="AF89" s="15" t="n">
        <v>0</v>
      </c>
      <c r="AG89" s="6">
        <f>IF(AND(C89=1,AF89=1),1+SUMPRODUCT($C$12:$C$267*$AF$12:$AF$267*(($M$12:$M$267&lt;M89)+($M$12:$M$267=M89)*($N$12:$N$267&lt;N89)+($M$12:$M$267=M89)*($N$12:$N$267=N89)*($A$12:$A$267&lt;A89))),0)</f>
        <v/>
      </c>
    </row>
    <row r="90">
      <c r="A90" s="4" t="n">
        <v>79</v>
      </c>
      <c r="B90" s="4" t="inlineStr">
        <is>
          <t>17D2E + 2B + 3E + 3F</t>
        </is>
      </c>
      <c r="C90" s="10">
        <f>IF(SUMPRODUCT(D90:K90,1-$D$5:$K$5)=0,1,0)</f>
        <v/>
      </c>
      <c r="D90" s="4" t="n">
        <v>0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1</v>
      </c>
      <c r="J90" s="4" t="n">
        <v>1</v>
      </c>
      <c r="K90" s="4" t="n">
        <v>0</v>
      </c>
      <c r="L90" s="6">
        <f>IF(C90=1,1+SUMPRODUCT(D90:K90,$D$9:$K$9),"")</f>
        <v/>
      </c>
      <c r="M90" s="6">
        <f>SUMPRODUCT(D90:K90,$D$6:$K$6)</f>
        <v/>
      </c>
      <c r="N90" s="6">
        <f>SUMPRODUCT(D90:K90,$D$7:$K$7)</f>
        <v/>
      </c>
      <c r="O90" s="25">
        <f>SUMPRODUCT(D90:K90,$D$8:$K$8)</f>
        <v/>
      </c>
      <c r="P90" s="21">
        <f>M90/10^in_out_dp</f>
        <v/>
      </c>
      <c r="Q90" s="26">
        <f>N90/10^in_cost_dp</f>
        <v/>
      </c>
      <c r="R90" s="10">
        <f>IF(SUM(D90:K90)=0,1,0)</f>
        <v/>
      </c>
      <c r="S90" s="10">
        <f>SUMPRODUCT($C$12:$C$267*(($M$12:$M$267=M90)*($N$12:$N$267&lt;N90)+($M$12:$M$267&gt;M90)*($N$12:$N$267&lt;=N90)))</f>
        <v/>
      </c>
      <c r="T90" s="10">
        <f>IF(C90=0,0,IF(OR(R90=1,S90=0),1,0))</f>
        <v/>
      </c>
      <c r="U90" s="10">
        <f>IF(AND(T90=1,R90=0,M90&gt;0),1,0)</f>
        <v/>
      </c>
      <c r="V90" s="30">
        <f>IF(U90=1,MAX(N90/M90,SUMPRODUCT(MAX(((N90-$N$12:$N$267)*($U$12:$U$267*($M$12:$M$267&lt;M90)))/((M90-$M$12:$M$267)*($U$12:$U$267*($M$12:$M$267&lt;M90))+1-($U$12:$U$267*($M$12:$M$267&lt;M90)))-(1-($U$12:$U$267*($M$12:$M$267&lt;M90)))*1E+300))),0)</f>
        <v/>
      </c>
      <c r="W90" s="30">
        <f>IF(U90=1,SUMPRODUCT(MIN(((($N$12:$N$267-N90)*($U$12:$U$267*($M$12:$M$267&gt;M90)))/(($M$12:$M$267-M90)*($U$12:$U$267*($M$12:$M$267&gt;M90))+1-($U$12:$U$267*($M$12:$M$267&gt;M90)))+(1-($U$12:$U$267*($M$12:$M$267&gt;M90)))*1E+300))),0)</f>
        <v/>
      </c>
      <c r="X90" s="10">
        <f>IF(C90=0,0,IF(R90=1,1,IF(AND(U90=1,V90&lt;=W90),1,0)))</f>
        <v/>
      </c>
      <c r="Y90" s="10">
        <f>IF(X90=1,1+SUMPRODUCT($X$12:$X$267*(($M$12:$M$267&lt;M90)+($M$12:$M$267=M90)*($A$12:$A$267&lt;A90))),0)</f>
        <v/>
      </c>
      <c r="Z90" s="10">
        <f>IF(Y90&lt;=1,0,SUMPRODUCT(($Y$12:$Y$267=Y90-1)*$M$12:$M$267))</f>
        <v/>
      </c>
      <c r="AA90" s="10">
        <f>IF(Y90&lt;=1,0,SUMPRODUCT(($Y$12:$Y$267=Y90-1)*$N$12:$N$267))</f>
        <v/>
      </c>
      <c r="AB90" s="21">
        <f>IF(Y90=0,"",(M90-Z90)/10^in_out_dp)</f>
        <v/>
      </c>
      <c r="AC90" s="26">
        <f>IF(Y90=0,"",(N90-AA90)/10^in_cost_dp)</f>
        <v/>
      </c>
      <c r="AD90" s="26">
        <f>IF(Y90=0,"",IF(M90=Z90,0,AC90/AB90))</f>
        <v/>
      </c>
      <c r="AE90" s="26">
        <f>IF(AND(C90=1,M90&gt;0),Q90/P90,"n/a")</f>
        <v/>
      </c>
      <c r="AF90" s="15" t="n">
        <v>0</v>
      </c>
      <c r="AG90" s="6">
        <f>IF(AND(C90=1,AF90=1),1+SUMPRODUCT($C$12:$C$267*$AF$12:$AF$267*(($M$12:$M$267&lt;M90)+($M$12:$M$267=M90)*($N$12:$N$267&lt;N90)+($M$12:$M$267=M90)*($N$12:$N$267=N90)*($A$12:$A$267&lt;A90))),0)</f>
        <v/>
      </c>
    </row>
    <row r="91">
      <c r="A91" s="4" t="n">
        <v>80</v>
      </c>
      <c r="B91" s="4" t="inlineStr">
        <is>
          <t>17D2E + 2B + 3E + 3F + 19A</t>
        </is>
      </c>
      <c r="C91" s="10">
        <f>IF(SUMPRODUCT(D91:K91,1-$D$5:$K$5)=0,1,0)</f>
        <v/>
      </c>
      <c r="D91" s="4" t="n">
        <v>0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1</v>
      </c>
      <c r="J91" s="4" t="n">
        <v>1</v>
      </c>
      <c r="K91" s="4" t="n">
        <v>1</v>
      </c>
      <c r="L91" s="6">
        <f>IF(C91=1,1+SUMPRODUCT(D91:K91,$D$9:$K$9),"")</f>
        <v/>
      </c>
      <c r="M91" s="6">
        <f>SUMPRODUCT(D91:K91,$D$6:$K$6)</f>
        <v/>
      </c>
      <c r="N91" s="6">
        <f>SUMPRODUCT(D91:K91,$D$7:$K$7)</f>
        <v/>
      </c>
      <c r="O91" s="25">
        <f>SUMPRODUCT(D91:K91,$D$8:$K$8)</f>
        <v/>
      </c>
      <c r="P91" s="21">
        <f>M91/10^in_out_dp</f>
        <v/>
      </c>
      <c r="Q91" s="26">
        <f>N91/10^in_cost_dp</f>
        <v/>
      </c>
      <c r="R91" s="10">
        <f>IF(SUM(D91:K91)=0,1,0)</f>
        <v/>
      </c>
      <c r="S91" s="10">
        <f>SUMPRODUCT($C$12:$C$267*(($M$12:$M$267=M91)*($N$12:$N$267&lt;N91)+($M$12:$M$267&gt;M91)*($N$12:$N$267&lt;=N91)))</f>
        <v/>
      </c>
      <c r="T91" s="10">
        <f>IF(C91=0,0,IF(OR(R91=1,S91=0),1,0))</f>
        <v/>
      </c>
      <c r="U91" s="10">
        <f>IF(AND(T91=1,R91=0,M91&gt;0),1,0)</f>
        <v/>
      </c>
      <c r="V91" s="30">
        <f>IF(U91=1,MAX(N91/M91,SUMPRODUCT(MAX(((N91-$N$12:$N$267)*($U$12:$U$267*($M$12:$M$267&lt;M91)))/((M91-$M$12:$M$267)*($U$12:$U$267*($M$12:$M$267&lt;M91))+1-($U$12:$U$267*($M$12:$M$267&lt;M91)))-(1-($U$12:$U$267*($M$12:$M$267&lt;M91)))*1E+300))),0)</f>
        <v/>
      </c>
      <c r="W91" s="30">
        <f>IF(U91=1,SUMPRODUCT(MIN(((($N$12:$N$267-N91)*($U$12:$U$267*($M$12:$M$267&gt;M91)))/(($M$12:$M$267-M91)*($U$12:$U$267*($M$12:$M$267&gt;M91))+1-($U$12:$U$267*($M$12:$M$267&gt;M91)))+(1-($U$12:$U$267*($M$12:$M$267&gt;M91)))*1E+300))),0)</f>
        <v/>
      </c>
      <c r="X91" s="10">
        <f>IF(C91=0,0,IF(R91=1,1,IF(AND(U91=1,V91&lt;=W91),1,0)))</f>
        <v/>
      </c>
      <c r="Y91" s="10">
        <f>IF(X91=1,1+SUMPRODUCT($X$12:$X$267*(($M$12:$M$267&lt;M91)+($M$12:$M$267=M91)*($A$12:$A$267&lt;A91))),0)</f>
        <v/>
      </c>
      <c r="Z91" s="10">
        <f>IF(Y91&lt;=1,0,SUMPRODUCT(($Y$12:$Y$267=Y91-1)*$M$12:$M$267))</f>
        <v/>
      </c>
      <c r="AA91" s="10">
        <f>IF(Y91&lt;=1,0,SUMPRODUCT(($Y$12:$Y$267=Y91-1)*$N$12:$N$267))</f>
        <v/>
      </c>
      <c r="AB91" s="21">
        <f>IF(Y91=0,"",(M91-Z91)/10^in_out_dp)</f>
        <v/>
      </c>
      <c r="AC91" s="26">
        <f>IF(Y91=0,"",(N91-AA91)/10^in_cost_dp)</f>
        <v/>
      </c>
      <c r="AD91" s="26">
        <f>IF(Y91=0,"",IF(M91=Z91,0,AC91/AB91))</f>
        <v/>
      </c>
      <c r="AE91" s="26">
        <f>IF(AND(C91=1,M91&gt;0),Q91/P91,"n/a")</f>
        <v/>
      </c>
      <c r="AF91" s="15" t="n">
        <v>0</v>
      </c>
      <c r="AG91" s="6">
        <f>IF(AND(C91=1,AF91=1),1+SUMPRODUCT($C$12:$C$267*$AF$12:$AF$267*(($M$12:$M$267&lt;M91)+($M$12:$M$267=M91)*($N$12:$N$267&lt;N91)+($M$12:$M$267=M91)*($N$12:$N$267=N91)*($A$12:$A$267&lt;A91))),0)</f>
        <v/>
      </c>
    </row>
    <row r="92">
      <c r="A92" s="4" t="n">
        <v>81</v>
      </c>
      <c r="B92" s="4" t="inlineStr">
        <is>
          <t>17D2E + 2A</t>
        </is>
      </c>
      <c r="C92" s="10">
        <f>IF(SUMPRODUCT(D92:K92,1-$D$5:$K$5)=0,1,0)</f>
        <v/>
      </c>
      <c r="D92" s="4" t="n">
        <v>0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6">
        <f>IF(C92=1,1+SUMPRODUCT(D92:K92,$D$9:$K$9),"")</f>
        <v/>
      </c>
      <c r="M92" s="6">
        <f>SUMPRODUCT(D92:K92,$D$6:$K$6)</f>
        <v/>
      </c>
      <c r="N92" s="6">
        <f>SUMPRODUCT(D92:K92,$D$7:$K$7)</f>
        <v/>
      </c>
      <c r="O92" s="25">
        <f>SUMPRODUCT(D92:K92,$D$8:$K$8)</f>
        <v/>
      </c>
      <c r="P92" s="21">
        <f>M92/10^in_out_dp</f>
        <v/>
      </c>
      <c r="Q92" s="26">
        <f>N92/10^in_cost_dp</f>
        <v/>
      </c>
      <c r="R92" s="10">
        <f>IF(SUM(D92:K92)=0,1,0)</f>
        <v/>
      </c>
      <c r="S92" s="10">
        <f>SUMPRODUCT($C$12:$C$267*(($M$12:$M$267=M92)*($N$12:$N$267&lt;N92)+($M$12:$M$267&gt;M92)*($N$12:$N$267&lt;=N92)))</f>
        <v/>
      </c>
      <c r="T92" s="10">
        <f>IF(C92=0,0,IF(OR(R92=1,S92=0),1,0))</f>
        <v/>
      </c>
      <c r="U92" s="10">
        <f>IF(AND(T92=1,R92=0,M92&gt;0),1,0)</f>
        <v/>
      </c>
      <c r="V92" s="30">
        <f>IF(U92=1,MAX(N92/M92,SUMPRODUCT(MAX(((N92-$N$12:$N$267)*($U$12:$U$267*($M$12:$M$267&lt;M92)))/((M92-$M$12:$M$267)*($U$12:$U$267*($M$12:$M$267&lt;M92))+1-($U$12:$U$267*($M$12:$M$267&lt;M92)))-(1-($U$12:$U$267*($M$12:$M$267&lt;M92)))*1E+300))),0)</f>
        <v/>
      </c>
      <c r="W92" s="30">
        <f>IF(U92=1,SUMPRODUCT(MIN(((($N$12:$N$267-N92)*($U$12:$U$267*($M$12:$M$267&gt;M92)))/(($M$12:$M$267-M92)*($U$12:$U$267*($M$12:$M$267&gt;M92))+1-($U$12:$U$267*($M$12:$M$267&gt;M92)))+(1-($U$12:$U$267*($M$12:$M$267&gt;M92)))*1E+300))),0)</f>
        <v/>
      </c>
      <c r="X92" s="10">
        <f>IF(C92=0,0,IF(R92=1,1,IF(AND(U92=1,V92&lt;=W92),1,0)))</f>
        <v/>
      </c>
      <c r="Y92" s="10">
        <f>IF(X92=1,1+SUMPRODUCT($X$12:$X$267*(($M$12:$M$267&lt;M92)+($M$12:$M$267=M92)*($A$12:$A$267&lt;A92))),0)</f>
        <v/>
      </c>
      <c r="Z92" s="10">
        <f>IF(Y92&lt;=1,0,SUMPRODUCT(($Y$12:$Y$267=Y92-1)*$M$12:$M$267))</f>
        <v/>
      </c>
      <c r="AA92" s="10">
        <f>IF(Y92&lt;=1,0,SUMPRODUCT(($Y$12:$Y$267=Y92-1)*$N$12:$N$267))</f>
        <v/>
      </c>
      <c r="AB92" s="21">
        <f>IF(Y92=0,"",(M92-Z92)/10^in_out_dp)</f>
        <v/>
      </c>
      <c r="AC92" s="26">
        <f>IF(Y92=0,"",(N92-AA92)/10^in_cost_dp)</f>
        <v/>
      </c>
      <c r="AD92" s="26">
        <f>IF(Y92=0,"",IF(M92=Z92,0,AC92/AB92))</f>
        <v/>
      </c>
      <c r="AE92" s="26">
        <f>IF(AND(C92=1,M92&gt;0),Q92/P92,"n/a")</f>
        <v/>
      </c>
      <c r="AF92" s="15" t="n">
        <v>0</v>
      </c>
      <c r="AG92" s="6">
        <f>IF(AND(C92=1,AF92=1),1+SUMPRODUCT($C$12:$C$267*$AF$12:$AF$267*(($M$12:$M$267&lt;M92)+($M$12:$M$267=M92)*($N$12:$N$267&lt;N92)+($M$12:$M$267=M92)*($N$12:$N$267=N92)*($A$12:$A$267&lt;A92))),0)</f>
        <v/>
      </c>
    </row>
    <row r="93">
      <c r="A93" s="4" t="n">
        <v>82</v>
      </c>
      <c r="B93" s="4" t="inlineStr">
        <is>
          <t>17D2E + 2A + 19A</t>
        </is>
      </c>
      <c r="C93" s="10">
        <f>IF(SUMPRODUCT(D93:K93,1-$D$5:$K$5)=0,1,0)</f>
        <v/>
      </c>
      <c r="D93" s="4" t="n">
        <v>0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1</v>
      </c>
      <c r="L93" s="6">
        <f>IF(C93=1,1+SUMPRODUCT(D93:K93,$D$9:$K$9),"")</f>
        <v/>
      </c>
      <c r="M93" s="6">
        <f>SUMPRODUCT(D93:K93,$D$6:$K$6)</f>
        <v/>
      </c>
      <c r="N93" s="6">
        <f>SUMPRODUCT(D93:K93,$D$7:$K$7)</f>
        <v/>
      </c>
      <c r="O93" s="25">
        <f>SUMPRODUCT(D93:K93,$D$8:$K$8)</f>
        <v/>
      </c>
      <c r="P93" s="21">
        <f>M93/10^in_out_dp</f>
        <v/>
      </c>
      <c r="Q93" s="26">
        <f>N93/10^in_cost_dp</f>
        <v/>
      </c>
      <c r="R93" s="10">
        <f>IF(SUM(D93:K93)=0,1,0)</f>
        <v/>
      </c>
      <c r="S93" s="10">
        <f>SUMPRODUCT($C$12:$C$267*(($M$12:$M$267=M93)*($N$12:$N$267&lt;N93)+($M$12:$M$267&gt;M93)*($N$12:$N$267&lt;=N93)))</f>
        <v/>
      </c>
      <c r="T93" s="10">
        <f>IF(C93=0,0,IF(OR(R93=1,S93=0),1,0))</f>
        <v/>
      </c>
      <c r="U93" s="10">
        <f>IF(AND(T93=1,R93=0,M93&gt;0),1,0)</f>
        <v/>
      </c>
      <c r="V93" s="30">
        <f>IF(U93=1,MAX(N93/M93,SUMPRODUCT(MAX(((N93-$N$12:$N$267)*($U$12:$U$267*($M$12:$M$267&lt;M93)))/((M93-$M$12:$M$267)*($U$12:$U$267*($M$12:$M$267&lt;M93))+1-($U$12:$U$267*($M$12:$M$267&lt;M93)))-(1-($U$12:$U$267*($M$12:$M$267&lt;M93)))*1E+300))),0)</f>
        <v/>
      </c>
      <c r="W93" s="30">
        <f>IF(U93=1,SUMPRODUCT(MIN(((($N$12:$N$267-N93)*($U$12:$U$267*($M$12:$M$267&gt;M93)))/(($M$12:$M$267-M93)*($U$12:$U$267*($M$12:$M$267&gt;M93))+1-($U$12:$U$267*($M$12:$M$267&gt;M93)))+(1-($U$12:$U$267*($M$12:$M$267&gt;M93)))*1E+300))),0)</f>
        <v/>
      </c>
      <c r="X93" s="10">
        <f>IF(C93=0,0,IF(R93=1,1,IF(AND(U93=1,V93&lt;=W93),1,0)))</f>
        <v/>
      </c>
      <c r="Y93" s="10">
        <f>IF(X93=1,1+SUMPRODUCT($X$12:$X$267*(($M$12:$M$267&lt;M93)+($M$12:$M$267=M93)*($A$12:$A$267&lt;A93))),0)</f>
        <v/>
      </c>
      <c r="Z93" s="10">
        <f>IF(Y93&lt;=1,0,SUMPRODUCT(($Y$12:$Y$267=Y93-1)*$M$12:$M$267))</f>
        <v/>
      </c>
      <c r="AA93" s="10">
        <f>IF(Y93&lt;=1,0,SUMPRODUCT(($Y$12:$Y$267=Y93-1)*$N$12:$N$267))</f>
        <v/>
      </c>
      <c r="AB93" s="21">
        <f>IF(Y93=0,"",(M93-Z93)/10^in_out_dp)</f>
        <v/>
      </c>
      <c r="AC93" s="26">
        <f>IF(Y93=0,"",(N93-AA93)/10^in_cost_dp)</f>
        <v/>
      </c>
      <c r="AD93" s="26">
        <f>IF(Y93=0,"",IF(M93=Z93,0,AC93/AB93))</f>
        <v/>
      </c>
      <c r="AE93" s="26">
        <f>IF(AND(C93=1,M93&gt;0),Q93/P93,"n/a")</f>
        <v/>
      </c>
      <c r="AF93" s="15" t="n">
        <v>0</v>
      </c>
      <c r="AG93" s="6">
        <f>IF(AND(C93=1,AF93=1),1+SUMPRODUCT($C$12:$C$267*$AF$12:$AF$267*(($M$12:$M$267&lt;M93)+($M$12:$M$267=M93)*($N$12:$N$267&lt;N93)+($M$12:$M$267=M93)*($N$12:$N$267=N93)*($A$12:$A$267&lt;A93))),0)</f>
        <v/>
      </c>
    </row>
    <row r="94">
      <c r="A94" s="4" t="n">
        <v>83</v>
      </c>
      <c r="B94" s="4" t="inlineStr">
        <is>
          <t>17D2E + 2A + 3F</t>
        </is>
      </c>
      <c r="C94" s="10">
        <f>IF(SUMPRODUCT(D94:K94,1-$D$5:$K$5)=0,1,0)</f>
        <v/>
      </c>
      <c r="D94" s="4" t="n">
        <v>0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1</v>
      </c>
      <c r="K94" s="4" t="n">
        <v>0</v>
      </c>
      <c r="L94" s="6">
        <f>IF(C94=1,1+SUMPRODUCT(D94:K94,$D$9:$K$9),"")</f>
        <v/>
      </c>
      <c r="M94" s="6">
        <f>SUMPRODUCT(D94:K94,$D$6:$K$6)</f>
        <v/>
      </c>
      <c r="N94" s="6">
        <f>SUMPRODUCT(D94:K94,$D$7:$K$7)</f>
        <v/>
      </c>
      <c r="O94" s="25">
        <f>SUMPRODUCT(D94:K94,$D$8:$K$8)</f>
        <v/>
      </c>
      <c r="P94" s="21">
        <f>M94/10^in_out_dp</f>
        <v/>
      </c>
      <c r="Q94" s="26">
        <f>N94/10^in_cost_dp</f>
        <v/>
      </c>
      <c r="R94" s="10">
        <f>IF(SUM(D94:K94)=0,1,0)</f>
        <v/>
      </c>
      <c r="S94" s="10">
        <f>SUMPRODUCT($C$12:$C$267*(($M$12:$M$267=M94)*($N$12:$N$267&lt;N94)+($M$12:$M$267&gt;M94)*($N$12:$N$267&lt;=N94)))</f>
        <v/>
      </c>
      <c r="T94" s="10">
        <f>IF(C94=0,0,IF(OR(R94=1,S94=0),1,0))</f>
        <v/>
      </c>
      <c r="U94" s="10">
        <f>IF(AND(T94=1,R94=0,M94&gt;0),1,0)</f>
        <v/>
      </c>
      <c r="V94" s="30">
        <f>IF(U94=1,MAX(N94/M94,SUMPRODUCT(MAX(((N94-$N$12:$N$267)*($U$12:$U$267*($M$12:$M$267&lt;M94)))/((M94-$M$12:$M$267)*($U$12:$U$267*($M$12:$M$267&lt;M94))+1-($U$12:$U$267*($M$12:$M$267&lt;M94)))-(1-($U$12:$U$267*($M$12:$M$267&lt;M94)))*1E+300))),0)</f>
        <v/>
      </c>
      <c r="W94" s="30">
        <f>IF(U94=1,SUMPRODUCT(MIN(((($N$12:$N$267-N94)*($U$12:$U$267*($M$12:$M$267&gt;M94)))/(($M$12:$M$267-M94)*($U$12:$U$267*($M$12:$M$267&gt;M94))+1-($U$12:$U$267*($M$12:$M$267&gt;M94)))+(1-($U$12:$U$267*($M$12:$M$267&gt;M94)))*1E+300))),0)</f>
        <v/>
      </c>
      <c r="X94" s="10">
        <f>IF(C94=0,0,IF(R94=1,1,IF(AND(U94=1,V94&lt;=W94),1,0)))</f>
        <v/>
      </c>
      <c r="Y94" s="10">
        <f>IF(X94=1,1+SUMPRODUCT($X$12:$X$267*(($M$12:$M$267&lt;M94)+($M$12:$M$267=M94)*($A$12:$A$267&lt;A94))),0)</f>
        <v/>
      </c>
      <c r="Z94" s="10">
        <f>IF(Y94&lt;=1,0,SUMPRODUCT(($Y$12:$Y$267=Y94-1)*$M$12:$M$267))</f>
        <v/>
      </c>
      <c r="AA94" s="10">
        <f>IF(Y94&lt;=1,0,SUMPRODUCT(($Y$12:$Y$267=Y94-1)*$N$12:$N$267))</f>
        <v/>
      </c>
      <c r="AB94" s="21">
        <f>IF(Y94=0,"",(M94-Z94)/10^in_out_dp)</f>
        <v/>
      </c>
      <c r="AC94" s="26">
        <f>IF(Y94=0,"",(N94-AA94)/10^in_cost_dp)</f>
        <v/>
      </c>
      <c r="AD94" s="26">
        <f>IF(Y94=0,"",IF(M94=Z94,0,AC94/AB94))</f>
        <v/>
      </c>
      <c r="AE94" s="26">
        <f>IF(AND(C94=1,M94&gt;0),Q94/P94,"n/a")</f>
        <v/>
      </c>
      <c r="AF94" s="15" t="n">
        <v>0</v>
      </c>
      <c r="AG94" s="6">
        <f>IF(AND(C94=1,AF94=1),1+SUMPRODUCT($C$12:$C$267*$AF$12:$AF$267*(($M$12:$M$267&lt;M94)+($M$12:$M$267=M94)*($N$12:$N$267&lt;N94)+($M$12:$M$267=M94)*($N$12:$N$267=N94)*($A$12:$A$267&lt;A94))),0)</f>
        <v/>
      </c>
    </row>
    <row r="95">
      <c r="A95" s="4" t="n">
        <v>84</v>
      </c>
      <c r="B95" s="4" t="inlineStr">
        <is>
          <t>17D2E + 2A + 3F + 19A</t>
        </is>
      </c>
      <c r="C95" s="10">
        <f>IF(SUMPRODUCT(D95:K95,1-$D$5:$K$5)=0,1,0)</f>
        <v/>
      </c>
      <c r="D95" s="4" t="n">
        <v>0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1</v>
      </c>
      <c r="K95" s="4" t="n">
        <v>1</v>
      </c>
      <c r="L95" s="6">
        <f>IF(C95=1,1+SUMPRODUCT(D95:K95,$D$9:$K$9),"")</f>
        <v/>
      </c>
      <c r="M95" s="6">
        <f>SUMPRODUCT(D95:K95,$D$6:$K$6)</f>
        <v/>
      </c>
      <c r="N95" s="6">
        <f>SUMPRODUCT(D95:K95,$D$7:$K$7)</f>
        <v/>
      </c>
      <c r="O95" s="25">
        <f>SUMPRODUCT(D95:K95,$D$8:$K$8)</f>
        <v/>
      </c>
      <c r="P95" s="21">
        <f>M95/10^in_out_dp</f>
        <v/>
      </c>
      <c r="Q95" s="26">
        <f>N95/10^in_cost_dp</f>
        <v/>
      </c>
      <c r="R95" s="10">
        <f>IF(SUM(D95:K95)=0,1,0)</f>
        <v/>
      </c>
      <c r="S95" s="10">
        <f>SUMPRODUCT($C$12:$C$267*(($M$12:$M$267=M95)*($N$12:$N$267&lt;N95)+($M$12:$M$267&gt;M95)*($N$12:$N$267&lt;=N95)))</f>
        <v/>
      </c>
      <c r="T95" s="10">
        <f>IF(C95=0,0,IF(OR(R95=1,S95=0),1,0))</f>
        <v/>
      </c>
      <c r="U95" s="10">
        <f>IF(AND(T95=1,R95=0,M95&gt;0),1,0)</f>
        <v/>
      </c>
      <c r="V95" s="30">
        <f>IF(U95=1,MAX(N95/M95,SUMPRODUCT(MAX(((N95-$N$12:$N$267)*($U$12:$U$267*($M$12:$M$267&lt;M95)))/((M95-$M$12:$M$267)*($U$12:$U$267*($M$12:$M$267&lt;M95))+1-($U$12:$U$267*($M$12:$M$267&lt;M95)))-(1-($U$12:$U$267*($M$12:$M$267&lt;M95)))*1E+300))),0)</f>
        <v/>
      </c>
      <c r="W95" s="30">
        <f>IF(U95=1,SUMPRODUCT(MIN(((($N$12:$N$267-N95)*($U$12:$U$267*($M$12:$M$267&gt;M95)))/(($M$12:$M$267-M95)*($U$12:$U$267*($M$12:$M$267&gt;M95))+1-($U$12:$U$267*($M$12:$M$267&gt;M95)))+(1-($U$12:$U$267*($M$12:$M$267&gt;M95)))*1E+300))),0)</f>
        <v/>
      </c>
      <c r="X95" s="10">
        <f>IF(C95=0,0,IF(R95=1,1,IF(AND(U95=1,V95&lt;=W95),1,0)))</f>
        <v/>
      </c>
      <c r="Y95" s="10">
        <f>IF(X95=1,1+SUMPRODUCT($X$12:$X$267*(($M$12:$M$267&lt;M95)+($M$12:$M$267=M95)*($A$12:$A$267&lt;A95))),0)</f>
        <v/>
      </c>
      <c r="Z95" s="10">
        <f>IF(Y95&lt;=1,0,SUMPRODUCT(($Y$12:$Y$267=Y95-1)*$M$12:$M$267))</f>
        <v/>
      </c>
      <c r="AA95" s="10">
        <f>IF(Y95&lt;=1,0,SUMPRODUCT(($Y$12:$Y$267=Y95-1)*$N$12:$N$267))</f>
        <v/>
      </c>
      <c r="AB95" s="21">
        <f>IF(Y95=0,"",(M95-Z95)/10^in_out_dp)</f>
        <v/>
      </c>
      <c r="AC95" s="26">
        <f>IF(Y95=0,"",(N95-AA95)/10^in_cost_dp)</f>
        <v/>
      </c>
      <c r="AD95" s="26">
        <f>IF(Y95=0,"",IF(M95=Z95,0,AC95/AB95))</f>
        <v/>
      </c>
      <c r="AE95" s="26">
        <f>IF(AND(C95=1,M95&gt;0),Q95/P95,"n/a")</f>
        <v/>
      </c>
      <c r="AF95" s="15" t="n">
        <v>0</v>
      </c>
      <c r="AG95" s="6">
        <f>IF(AND(C95=1,AF95=1),1+SUMPRODUCT($C$12:$C$267*$AF$12:$AF$267*(($M$12:$M$267&lt;M95)+($M$12:$M$267=M95)*($N$12:$N$267&lt;N95)+($M$12:$M$267=M95)*($N$12:$N$267=N95)*($A$12:$A$267&lt;A95))),0)</f>
        <v/>
      </c>
    </row>
    <row r="96">
      <c r="A96" s="4" t="n">
        <v>85</v>
      </c>
      <c r="B96" s="4" t="inlineStr">
        <is>
          <t>17D2E + 2A + 3E</t>
        </is>
      </c>
      <c r="C96" s="10">
        <f>IF(SUMPRODUCT(D96:K96,1-$D$5:$K$5)=0,1,0)</f>
        <v/>
      </c>
      <c r="D96" s="4" t="n">
        <v>0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1</v>
      </c>
      <c r="J96" s="4" t="n">
        <v>0</v>
      </c>
      <c r="K96" s="4" t="n">
        <v>0</v>
      </c>
      <c r="L96" s="6">
        <f>IF(C96=1,1+SUMPRODUCT(D96:K96,$D$9:$K$9),"")</f>
        <v/>
      </c>
      <c r="M96" s="6">
        <f>SUMPRODUCT(D96:K96,$D$6:$K$6)</f>
        <v/>
      </c>
      <c r="N96" s="6">
        <f>SUMPRODUCT(D96:K96,$D$7:$K$7)</f>
        <v/>
      </c>
      <c r="O96" s="25">
        <f>SUMPRODUCT(D96:K96,$D$8:$K$8)</f>
        <v/>
      </c>
      <c r="P96" s="21">
        <f>M96/10^in_out_dp</f>
        <v/>
      </c>
      <c r="Q96" s="26">
        <f>N96/10^in_cost_dp</f>
        <v/>
      </c>
      <c r="R96" s="10">
        <f>IF(SUM(D96:K96)=0,1,0)</f>
        <v/>
      </c>
      <c r="S96" s="10">
        <f>SUMPRODUCT($C$12:$C$267*(($M$12:$M$267=M96)*($N$12:$N$267&lt;N96)+($M$12:$M$267&gt;M96)*($N$12:$N$267&lt;=N96)))</f>
        <v/>
      </c>
      <c r="T96" s="10">
        <f>IF(C96=0,0,IF(OR(R96=1,S96=0),1,0))</f>
        <v/>
      </c>
      <c r="U96" s="10">
        <f>IF(AND(T96=1,R96=0,M96&gt;0),1,0)</f>
        <v/>
      </c>
      <c r="V96" s="30">
        <f>IF(U96=1,MAX(N96/M96,SUMPRODUCT(MAX(((N96-$N$12:$N$267)*($U$12:$U$267*($M$12:$M$267&lt;M96)))/((M96-$M$12:$M$267)*($U$12:$U$267*($M$12:$M$267&lt;M96))+1-($U$12:$U$267*($M$12:$M$267&lt;M96)))-(1-($U$12:$U$267*($M$12:$M$267&lt;M96)))*1E+300))),0)</f>
        <v/>
      </c>
      <c r="W96" s="30">
        <f>IF(U96=1,SUMPRODUCT(MIN(((($N$12:$N$267-N96)*($U$12:$U$267*($M$12:$M$267&gt;M96)))/(($M$12:$M$267-M96)*($U$12:$U$267*($M$12:$M$267&gt;M96))+1-($U$12:$U$267*($M$12:$M$267&gt;M96)))+(1-($U$12:$U$267*($M$12:$M$267&gt;M96)))*1E+300))),0)</f>
        <v/>
      </c>
      <c r="X96" s="10">
        <f>IF(C96=0,0,IF(R96=1,1,IF(AND(U96=1,V96&lt;=W96),1,0)))</f>
        <v/>
      </c>
      <c r="Y96" s="10">
        <f>IF(X96=1,1+SUMPRODUCT($X$12:$X$267*(($M$12:$M$267&lt;M96)+($M$12:$M$267=M96)*($A$12:$A$267&lt;A96))),0)</f>
        <v/>
      </c>
      <c r="Z96" s="10">
        <f>IF(Y96&lt;=1,0,SUMPRODUCT(($Y$12:$Y$267=Y96-1)*$M$12:$M$267))</f>
        <v/>
      </c>
      <c r="AA96" s="10">
        <f>IF(Y96&lt;=1,0,SUMPRODUCT(($Y$12:$Y$267=Y96-1)*$N$12:$N$267))</f>
        <v/>
      </c>
      <c r="AB96" s="21">
        <f>IF(Y96=0,"",(M96-Z96)/10^in_out_dp)</f>
        <v/>
      </c>
      <c r="AC96" s="26">
        <f>IF(Y96=0,"",(N96-AA96)/10^in_cost_dp)</f>
        <v/>
      </c>
      <c r="AD96" s="26">
        <f>IF(Y96=0,"",IF(M96=Z96,0,AC96/AB96))</f>
        <v/>
      </c>
      <c r="AE96" s="26">
        <f>IF(AND(C96=1,M96&gt;0),Q96/P96,"n/a")</f>
        <v/>
      </c>
      <c r="AF96" s="15" t="n">
        <v>0</v>
      </c>
      <c r="AG96" s="6">
        <f>IF(AND(C96=1,AF96=1),1+SUMPRODUCT($C$12:$C$267*$AF$12:$AF$267*(($M$12:$M$267&lt;M96)+($M$12:$M$267=M96)*($N$12:$N$267&lt;N96)+($M$12:$M$267=M96)*($N$12:$N$267=N96)*($A$12:$A$267&lt;A96))),0)</f>
        <v/>
      </c>
    </row>
    <row r="97">
      <c r="A97" s="4" t="n">
        <v>86</v>
      </c>
      <c r="B97" s="4" t="inlineStr">
        <is>
          <t>17D2E + 2A + 3E + 19A</t>
        </is>
      </c>
      <c r="C97" s="10">
        <f>IF(SUMPRODUCT(D97:K97,1-$D$5:$K$5)=0,1,0)</f>
        <v/>
      </c>
      <c r="D97" s="4" t="n">
        <v>0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1</v>
      </c>
      <c r="J97" s="4" t="n">
        <v>0</v>
      </c>
      <c r="K97" s="4" t="n">
        <v>1</v>
      </c>
      <c r="L97" s="6">
        <f>IF(C97=1,1+SUMPRODUCT(D97:K97,$D$9:$K$9),"")</f>
        <v/>
      </c>
      <c r="M97" s="6">
        <f>SUMPRODUCT(D97:K97,$D$6:$K$6)</f>
        <v/>
      </c>
      <c r="N97" s="6">
        <f>SUMPRODUCT(D97:K97,$D$7:$K$7)</f>
        <v/>
      </c>
      <c r="O97" s="25">
        <f>SUMPRODUCT(D97:K97,$D$8:$K$8)</f>
        <v/>
      </c>
      <c r="P97" s="21">
        <f>M97/10^in_out_dp</f>
        <v/>
      </c>
      <c r="Q97" s="26">
        <f>N97/10^in_cost_dp</f>
        <v/>
      </c>
      <c r="R97" s="10">
        <f>IF(SUM(D97:K97)=0,1,0)</f>
        <v/>
      </c>
      <c r="S97" s="10">
        <f>SUMPRODUCT($C$12:$C$267*(($M$12:$M$267=M97)*($N$12:$N$267&lt;N97)+($M$12:$M$267&gt;M97)*($N$12:$N$267&lt;=N97)))</f>
        <v/>
      </c>
      <c r="T97" s="10">
        <f>IF(C97=0,0,IF(OR(R97=1,S97=0),1,0))</f>
        <v/>
      </c>
      <c r="U97" s="10">
        <f>IF(AND(T97=1,R97=0,M97&gt;0),1,0)</f>
        <v/>
      </c>
      <c r="V97" s="30">
        <f>IF(U97=1,MAX(N97/M97,SUMPRODUCT(MAX(((N97-$N$12:$N$267)*($U$12:$U$267*($M$12:$M$267&lt;M97)))/((M97-$M$12:$M$267)*($U$12:$U$267*($M$12:$M$267&lt;M97))+1-($U$12:$U$267*($M$12:$M$267&lt;M97)))-(1-($U$12:$U$267*($M$12:$M$267&lt;M97)))*1E+300))),0)</f>
        <v/>
      </c>
      <c r="W97" s="30">
        <f>IF(U97=1,SUMPRODUCT(MIN(((($N$12:$N$267-N97)*($U$12:$U$267*($M$12:$M$267&gt;M97)))/(($M$12:$M$267-M97)*($U$12:$U$267*($M$12:$M$267&gt;M97))+1-($U$12:$U$267*($M$12:$M$267&gt;M97)))+(1-($U$12:$U$267*($M$12:$M$267&gt;M97)))*1E+300))),0)</f>
        <v/>
      </c>
      <c r="X97" s="10">
        <f>IF(C97=0,0,IF(R97=1,1,IF(AND(U97=1,V97&lt;=W97),1,0)))</f>
        <v/>
      </c>
      <c r="Y97" s="10">
        <f>IF(X97=1,1+SUMPRODUCT($X$12:$X$267*(($M$12:$M$267&lt;M97)+($M$12:$M$267=M97)*($A$12:$A$267&lt;A97))),0)</f>
        <v/>
      </c>
      <c r="Z97" s="10">
        <f>IF(Y97&lt;=1,0,SUMPRODUCT(($Y$12:$Y$267=Y97-1)*$M$12:$M$267))</f>
        <v/>
      </c>
      <c r="AA97" s="10">
        <f>IF(Y97&lt;=1,0,SUMPRODUCT(($Y$12:$Y$267=Y97-1)*$N$12:$N$267))</f>
        <v/>
      </c>
      <c r="AB97" s="21">
        <f>IF(Y97=0,"",(M97-Z97)/10^in_out_dp)</f>
        <v/>
      </c>
      <c r="AC97" s="26">
        <f>IF(Y97=0,"",(N97-AA97)/10^in_cost_dp)</f>
        <v/>
      </c>
      <c r="AD97" s="26">
        <f>IF(Y97=0,"",IF(M97=Z97,0,AC97/AB97))</f>
        <v/>
      </c>
      <c r="AE97" s="26">
        <f>IF(AND(C97=1,M97&gt;0),Q97/P97,"n/a")</f>
        <v/>
      </c>
      <c r="AF97" s="15" t="n">
        <v>0</v>
      </c>
      <c r="AG97" s="6">
        <f>IF(AND(C97=1,AF97=1),1+SUMPRODUCT($C$12:$C$267*$AF$12:$AF$267*(($M$12:$M$267&lt;M97)+($M$12:$M$267=M97)*($N$12:$N$267&lt;N97)+($M$12:$M$267=M97)*($N$12:$N$267=N97)*($A$12:$A$267&lt;A97))),0)</f>
        <v/>
      </c>
    </row>
    <row r="98">
      <c r="A98" s="4" t="n">
        <v>87</v>
      </c>
      <c r="B98" s="4" t="inlineStr">
        <is>
          <t>17D2E + 2A + 3E + 3F</t>
        </is>
      </c>
      <c r="C98" s="10">
        <f>IF(SUMPRODUCT(D98:K98,1-$D$5:$K$5)=0,1,0)</f>
        <v/>
      </c>
      <c r="D98" s="4" t="n">
        <v>0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1</v>
      </c>
      <c r="J98" s="4" t="n">
        <v>1</v>
      </c>
      <c r="K98" s="4" t="n">
        <v>0</v>
      </c>
      <c r="L98" s="6">
        <f>IF(C98=1,1+SUMPRODUCT(D98:K98,$D$9:$K$9),"")</f>
        <v/>
      </c>
      <c r="M98" s="6">
        <f>SUMPRODUCT(D98:K98,$D$6:$K$6)</f>
        <v/>
      </c>
      <c r="N98" s="6">
        <f>SUMPRODUCT(D98:K98,$D$7:$K$7)</f>
        <v/>
      </c>
      <c r="O98" s="25">
        <f>SUMPRODUCT(D98:K98,$D$8:$K$8)</f>
        <v/>
      </c>
      <c r="P98" s="21">
        <f>M98/10^in_out_dp</f>
        <v/>
      </c>
      <c r="Q98" s="26">
        <f>N98/10^in_cost_dp</f>
        <v/>
      </c>
      <c r="R98" s="10">
        <f>IF(SUM(D98:K98)=0,1,0)</f>
        <v/>
      </c>
      <c r="S98" s="10">
        <f>SUMPRODUCT($C$12:$C$267*(($M$12:$M$267=M98)*($N$12:$N$267&lt;N98)+($M$12:$M$267&gt;M98)*($N$12:$N$267&lt;=N98)))</f>
        <v/>
      </c>
      <c r="T98" s="10">
        <f>IF(C98=0,0,IF(OR(R98=1,S98=0),1,0))</f>
        <v/>
      </c>
      <c r="U98" s="10">
        <f>IF(AND(T98=1,R98=0,M98&gt;0),1,0)</f>
        <v/>
      </c>
      <c r="V98" s="30">
        <f>IF(U98=1,MAX(N98/M98,SUMPRODUCT(MAX(((N98-$N$12:$N$267)*($U$12:$U$267*($M$12:$M$267&lt;M98)))/((M98-$M$12:$M$267)*($U$12:$U$267*($M$12:$M$267&lt;M98))+1-($U$12:$U$267*($M$12:$M$267&lt;M98)))-(1-($U$12:$U$267*($M$12:$M$267&lt;M98)))*1E+300))),0)</f>
        <v/>
      </c>
      <c r="W98" s="30">
        <f>IF(U98=1,SUMPRODUCT(MIN(((($N$12:$N$267-N98)*($U$12:$U$267*($M$12:$M$267&gt;M98)))/(($M$12:$M$267-M98)*($U$12:$U$267*($M$12:$M$267&gt;M98))+1-($U$12:$U$267*($M$12:$M$267&gt;M98)))+(1-($U$12:$U$267*($M$12:$M$267&gt;M98)))*1E+300))),0)</f>
        <v/>
      </c>
      <c r="X98" s="10">
        <f>IF(C98=0,0,IF(R98=1,1,IF(AND(U98=1,V98&lt;=W98),1,0)))</f>
        <v/>
      </c>
      <c r="Y98" s="10">
        <f>IF(X98=1,1+SUMPRODUCT($X$12:$X$267*(($M$12:$M$267&lt;M98)+($M$12:$M$267=M98)*($A$12:$A$267&lt;A98))),0)</f>
        <v/>
      </c>
      <c r="Z98" s="10">
        <f>IF(Y98&lt;=1,0,SUMPRODUCT(($Y$12:$Y$267=Y98-1)*$M$12:$M$267))</f>
        <v/>
      </c>
      <c r="AA98" s="10">
        <f>IF(Y98&lt;=1,0,SUMPRODUCT(($Y$12:$Y$267=Y98-1)*$N$12:$N$267))</f>
        <v/>
      </c>
      <c r="AB98" s="21">
        <f>IF(Y98=0,"",(M98-Z98)/10^in_out_dp)</f>
        <v/>
      </c>
      <c r="AC98" s="26">
        <f>IF(Y98=0,"",(N98-AA98)/10^in_cost_dp)</f>
        <v/>
      </c>
      <c r="AD98" s="26">
        <f>IF(Y98=0,"",IF(M98=Z98,0,AC98/AB98))</f>
        <v/>
      </c>
      <c r="AE98" s="26">
        <f>IF(AND(C98=1,M98&gt;0),Q98/P98,"n/a")</f>
        <v/>
      </c>
      <c r="AF98" s="15" t="n">
        <v>0</v>
      </c>
      <c r="AG98" s="6">
        <f>IF(AND(C98=1,AF98=1),1+SUMPRODUCT($C$12:$C$267*$AF$12:$AF$267*(($M$12:$M$267&lt;M98)+($M$12:$M$267=M98)*($N$12:$N$267&lt;N98)+($M$12:$M$267=M98)*($N$12:$N$267=N98)*($A$12:$A$267&lt;A98))),0)</f>
        <v/>
      </c>
    </row>
    <row r="99">
      <c r="A99" s="4" t="n">
        <v>88</v>
      </c>
      <c r="B99" s="4" t="inlineStr">
        <is>
          <t>17D2E + 2A + 3E + 3F + 19A</t>
        </is>
      </c>
      <c r="C99" s="10">
        <f>IF(SUMPRODUCT(D99:K99,1-$D$5:$K$5)=0,1,0)</f>
        <v/>
      </c>
      <c r="D99" s="4" t="n">
        <v>0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1</v>
      </c>
      <c r="J99" s="4" t="n">
        <v>1</v>
      </c>
      <c r="K99" s="4" t="n">
        <v>1</v>
      </c>
      <c r="L99" s="6">
        <f>IF(C99=1,1+SUMPRODUCT(D99:K99,$D$9:$K$9),"")</f>
        <v/>
      </c>
      <c r="M99" s="6">
        <f>SUMPRODUCT(D99:K99,$D$6:$K$6)</f>
        <v/>
      </c>
      <c r="N99" s="6">
        <f>SUMPRODUCT(D99:K99,$D$7:$K$7)</f>
        <v/>
      </c>
      <c r="O99" s="25">
        <f>SUMPRODUCT(D99:K99,$D$8:$K$8)</f>
        <v/>
      </c>
      <c r="P99" s="21">
        <f>M99/10^in_out_dp</f>
        <v/>
      </c>
      <c r="Q99" s="26">
        <f>N99/10^in_cost_dp</f>
        <v/>
      </c>
      <c r="R99" s="10">
        <f>IF(SUM(D99:K99)=0,1,0)</f>
        <v/>
      </c>
      <c r="S99" s="10">
        <f>SUMPRODUCT($C$12:$C$267*(($M$12:$M$267=M99)*($N$12:$N$267&lt;N99)+($M$12:$M$267&gt;M99)*($N$12:$N$267&lt;=N99)))</f>
        <v/>
      </c>
      <c r="T99" s="10">
        <f>IF(C99=0,0,IF(OR(R99=1,S99=0),1,0))</f>
        <v/>
      </c>
      <c r="U99" s="10">
        <f>IF(AND(T99=1,R99=0,M99&gt;0),1,0)</f>
        <v/>
      </c>
      <c r="V99" s="30">
        <f>IF(U99=1,MAX(N99/M99,SUMPRODUCT(MAX(((N99-$N$12:$N$267)*($U$12:$U$267*($M$12:$M$267&lt;M99)))/((M99-$M$12:$M$267)*($U$12:$U$267*($M$12:$M$267&lt;M99))+1-($U$12:$U$267*($M$12:$M$267&lt;M99)))-(1-($U$12:$U$267*($M$12:$M$267&lt;M99)))*1E+300))),0)</f>
        <v/>
      </c>
      <c r="W99" s="30">
        <f>IF(U99=1,SUMPRODUCT(MIN(((($N$12:$N$267-N99)*($U$12:$U$267*($M$12:$M$267&gt;M99)))/(($M$12:$M$267-M99)*($U$12:$U$267*($M$12:$M$267&gt;M99))+1-($U$12:$U$267*($M$12:$M$267&gt;M99)))+(1-($U$12:$U$267*($M$12:$M$267&gt;M99)))*1E+300))),0)</f>
        <v/>
      </c>
      <c r="X99" s="10">
        <f>IF(C99=0,0,IF(R99=1,1,IF(AND(U99=1,V99&lt;=W99),1,0)))</f>
        <v/>
      </c>
      <c r="Y99" s="10">
        <f>IF(X99=1,1+SUMPRODUCT($X$12:$X$267*(($M$12:$M$267&lt;M99)+($M$12:$M$267=M99)*($A$12:$A$267&lt;A99))),0)</f>
        <v/>
      </c>
      <c r="Z99" s="10">
        <f>IF(Y99&lt;=1,0,SUMPRODUCT(($Y$12:$Y$267=Y99-1)*$M$12:$M$267))</f>
        <v/>
      </c>
      <c r="AA99" s="10">
        <f>IF(Y99&lt;=1,0,SUMPRODUCT(($Y$12:$Y$267=Y99-1)*$N$12:$N$267))</f>
        <v/>
      </c>
      <c r="AB99" s="21">
        <f>IF(Y99=0,"",(M99-Z99)/10^in_out_dp)</f>
        <v/>
      </c>
      <c r="AC99" s="26">
        <f>IF(Y99=0,"",(N99-AA99)/10^in_cost_dp)</f>
        <v/>
      </c>
      <c r="AD99" s="26">
        <f>IF(Y99=0,"",IF(M99=Z99,0,AC99/AB99))</f>
        <v/>
      </c>
      <c r="AE99" s="26">
        <f>IF(AND(C99=1,M99&gt;0),Q99/P99,"n/a")</f>
        <v/>
      </c>
      <c r="AF99" s="15" t="n">
        <v>0</v>
      </c>
      <c r="AG99" s="6">
        <f>IF(AND(C99=1,AF99=1),1+SUMPRODUCT($C$12:$C$267*$AF$12:$AF$267*(($M$12:$M$267&lt;M99)+($M$12:$M$267=M99)*($N$12:$N$267&lt;N99)+($M$12:$M$267=M99)*($N$12:$N$267=N99)*($A$12:$A$267&lt;A99))),0)</f>
        <v/>
      </c>
    </row>
    <row r="100">
      <c r="A100" s="4" t="n">
        <v>89</v>
      </c>
      <c r="B100" s="4" t="inlineStr">
        <is>
          <t>17D2E + 2A + 2B</t>
        </is>
      </c>
      <c r="C100" s="10">
        <f>IF(SUMPRODUCT(D100:K100,1-$D$5:$K$5)=0,1,0)</f>
        <v/>
      </c>
      <c r="D100" s="4" t="n">
        <v>0</v>
      </c>
      <c r="E100" s="4" t="n">
        <v>1</v>
      </c>
      <c r="F100" s="4" t="n">
        <v>0</v>
      </c>
      <c r="G100" s="4" t="n">
        <v>1</v>
      </c>
      <c r="H100" s="4" t="n">
        <v>1</v>
      </c>
      <c r="I100" s="4" t="n">
        <v>0</v>
      </c>
      <c r="J100" s="4" t="n">
        <v>0</v>
      </c>
      <c r="K100" s="4" t="n">
        <v>0</v>
      </c>
      <c r="L100" s="6">
        <f>IF(C100=1,1+SUMPRODUCT(D100:K100,$D$9:$K$9),"")</f>
        <v/>
      </c>
      <c r="M100" s="6">
        <f>SUMPRODUCT(D100:K100,$D$6:$K$6)</f>
        <v/>
      </c>
      <c r="N100" s="6">
        <f>SUMPRODUCT(D100:K100,$D$7:$K$7)</f>
        <v/>
      </c>
      <c r="O100" s="25">
        <f>SUMPRODUCT(D100:K100,$D$8:$K$8)</f>
        <v/>
      </c>
      <c r="P100" s="21">
        <f>M100/10^in_out_dp</f>
        <v/>
      </c>
      <c r="Q100" s="26">
        <f>N100/10^in_cost_dp</f>
        <v/>
      </c>
      <c r="R100" s="10">
        <f>IF(SUM(D100:K100)=0,1,0)</f>
        <v/>
      </c>
      <c r="S100" s="10">
        <f>SUMPRODUCT($C$12:$C$267*(($M$12:$M$267=M100)*($N$12:$N$267&lt;N100)+($M$12:$M$267&gt;M100)*($N$12:$N$267&lt;=N100)))</f>
        <v/>
      </c>
      <c r="T100" s="10">
        <f>IF(C100=0,0,IF(OR(R100=1,S100=0),1,0))</f>
        <v/>
      </c>
      <c r="U100" s="10">
        <f>IF(AND(T100=1,R100=0,M100&gt;0),1,0)</f>
        <v/>
      </c>
      <c r="V100" s="30">
        <f>IF(U100=1,MAX(N100/M100,SUMPRODUCT(MAX(((N100-$N$12:$N$267)*($U$12:$U$267*($M$12:$M$267&lt;M100)))/((M100-$M$12:$M$267)*($U$12:$U$267*($M$12:$M$267&lt;M100))+1-($U$12:$U$267*($M$12:$M$267&lt;M100)))-(1-($U$12:$U$267*($M$12:$M$267&lt;M100)))*1E+300))),0)</f>
        <v/>
      </c>
      <c r="W100" s="30">
        <f>IF(U100=1,SUMPRODUCT(MIN(((($N$12:$N$267-N100)*($U$12:$U$267*($M$12:$M$267&gt;M100)))/(($M$12:$M$267-M100)*($U$12:$U$267*($M$12:$M$267&gt;M100))+1-($U$12:$U$267*($M$12:$M$267&gt;M100)))+(1-($U$12:$U$267*($M$12:$M$267&gt;M100)))*1E+300))),0)</f>
        <v/>
      </c>
      <c r="X100" s="10">
        <f>IF(C100=0,0,IF(R100=1,1,IF(AND(U100=1,V100&lt;=W100),1,0)))</f>
        <v/>
      </c>
      <c r="Y100" s="10">
        <f>IF(X100=1,1+SUMPRODUCT($X$12:$X$267*(($M$12:$M$267&lt;M100)+($M$12:$M$267=M100)*($A$12:$A$267&lt;A100))),0)</f>
        <v/>
      </c>
      <c r="Z100" s="10">
        <f>IF(Y100&lt;=1,0,SUMPRODUCT(($Y$12:$Y$267=Y100-1)*$M$12:$M$267))</f>
        <v/>
      </c>
      <c r="AA100" s="10">
        <f>IF(Y100&lt;=1,0,SUMPRODUCT(($Y$12:$Y$267=Y100-1)*$N$12:$N$267))</f>
        <v/>
      </c>
      <c r="AB100" s="21">
        <f>IF(Y100=0,"",(M100-Z100)/10^in_out_dp)</f>
        <v/>
      </c>
      <c r="AC100" s="26">
        <f>IF(Y100=0,"",(N100-AA100)/10^in_cost_dp)</f>
        <v/>
      </c>
      <c r="AD100" s="26">
        <f>IF(Y100=0,"",IF(M100=Z100,0,AC100/AB100))</f>
        <v/>
      </c>
      <c r="AE100" s="26">
        <f>IF(AND(C100=1,M100&gt;0),Q100/P100,"n/a")</f>
        <v/>
      </c>
      <c r="AF100" s="15" t="n">
        <v>0</v>
      </c>
      <c r="AG100" s="6">
        <f>IF(AND(C100=1,AF100=1),1+SUMPRODUCT($C$12:$C$267*$AF$12:$AF$267*(($M$12:$M$267&lt;M100)+($M$12:$M$267=M100)*($N$12:$N$267&lt;N100)+($M$12:$M$267=M100)*($N$12:$N$267=N100)*($A$12:$A$267&lt;A100))),0)</f>
        <v/>
      </c>
    </row>
    <row r="101">
      <c r="A101" s="4" t="n">
        <v>90</v>
      </c>
      <c r="B101" s="4" t="inlineStr">
        <is>
          <t>17D2E + 2A + 2B + 19A</t>
        </is>
      </c>
      <c r="C101" s="10">
        <f>IF(SUMPRODUCT(D101:K101,1-$D$5:$K$5)=0,1,0)</f>
        <v/>
      </c>
      <c r="D101" s="4" t="n">
        <v>0</v>
      </c>
      <c r="E101" s="4" t="n">
        <v>1</v>
      </c>
      <c r="F101" s="4" t="n">
        <v>0</v>
      </c>
      <c r="G101" s="4" t="n">
        <v>1</v>
      </c>
      <c r="H101" s="4" t="n">
        <v>1</v>
      </c>
      <c r="I101" s="4" t="n">
        <v>0</v>
      </c>
      <c r="J101" s="4" t="n">
        <v>0</v>
      </c>
      <c r="K101" s="4" t="n">
        <v>1</v>
      </c>
      <c r="L101" s="6">
        <f>IF(C101=1,1+SUMPRODUCT(D101:K101,$D$9:$K$9),"")</f>
        <v/>
      </c>
      <c r="M101" s="6">
        <f>SUMPRODUCT(D101:K101,$D$6:$K$6)</f>
        <v/>
      </c>
      <c r="N101" s="6">
        <f>SUMPRODUCT(D101:K101,$D$7:$K$7)</f>
        <v/>
      </c>
      <c r="O101" s="25">
        <f>SUMPRODUCT(D101:K101,$D$8:$K$8)</f>
        <v/>
      </c>
      <c r="P101" s="21">
        <f>M101/10^in_out_dp</f>
        <v/>
      </c>
      <c r="Q101" s="26">
        <f>N101/10^in_cost_dp</f>
        <v/>
      </c>
      <c r="R101" s="10">
        <f>IF(SUM(D101:K101)=0,1,0)</f>
        <v/>
      </c>
      <c r="S101" s="10">
        <f>SUMPRODUCT($C$12:$C$267*(($M$12:$M$267=M101)*($N$12:$N$267&lt;N101)+($M$12:$M$267&gt;M101)*($N$12:$N$267&lt;=N101)))</f>
        <v/>
      </c>
      <c r="T101" s="10">
        <f>IF(C101=0,0,IF(OR(R101=1,S101=0),1,0))</f>
        <v/>
      </c>
      <c r="U101" s="10">
        <f>IF(AND(T101=1,R101=0,M101&gt;0),1,0)</f>
        <v/>
      </c>
      <c r="V101" s="30">
        <f>IF(U101=1,MAX(N101/M101,SUMPRODUCT(MAX(((N101-$N$12:$N$267)*($U$12:$U$267*($M$12:$M$267&lt;M101)))/((M101-$M$12:$M$267)*($U$12:$U$267*($M$12:$M$267&lt;M101))+1-($U$12:$U$267*($M$12:$M$267&lt;M101)))-(1-($U$12:$U$267*($M$12:$M$267&lt;M101)))*1E+300))),0)</f>
        <v/>
      </c>
      <c r="W101" s="30">
        <f>IF(U101=1,SUMPRODUCT(MIN(((($N$12:$N$267-N101)*($U$12:$U$267*($M$12:$M$267&gt;M101)))/(($M$12:$M$267-M101)*($U$12:$U$267*($M$12:$M$267&gt;M101))+1-($U$12:$U$267*($M$12:$M$267&gt;M101)))+(1-($U$12:$U$267*($M$12:$M$267&gt;M101)))*1E+300))),0)</f>
        <v/>
      </c>
      <c r="X101" s="10">
        <f>IF(C101=0,0,IF(R101=1,1,IF(AND(U101=1,V101&lt;=W101),1,0)))</f>
        <v/>
      </c>
      <c r="Y101" s="10">
        <f>IF(X101=1,1+SUMPRODUCT($X$12:$X$267*(($M$12:$M$267&lt;M101)+($M$12:$M$267=M101)*($A$12:$A$267&lt;A101))),0)</f>
        <v/>
      </c>
      <c r="Z101" s="10">
        <f>IF(Y101&lt;=1,0,SUMPRODUCT(($Y$12:$Y$267=Y101-1)*$M$12:$M$267))</f>
        <v/>
      </c>
      <c r="AA101" s="10">
        <f>IF(Y101&lt;=1,0,SUMPRODUCT(($Y$12:$Y$267=Y101-1)*$N$12:$N$267))</f>
        <v/>
      </c>
      <c r="AB101" s="21">
        <f>IF(Y101=0,"",(M101-Z101)/10^in_out_dp)</f>
        <v/>
      </c>
      <c r="AC101" s="26">
        <f>IF(Y101=0,"",(N101-AA101)/10^in_cost_dp)</f>
        <v/>
      </c>
      <c r="AD101" s="26">
        <f>IF(Y101=0,"",IF(M101=Z101,0,AC101/AB101))</f>
        <v/>
      </c>
      <c r="AE101" s="26">
        <f>IF(AND(C101=1,M101&gt;0),Q101/P101,"n/a")</f>
        <v/>
      </c>
      <c r="AF101" s="15" t="n">
        <v>0</v>
      </c>
      <c r="AG101" s="6">
        <f>IF(AND(C101=1,AF101=1),1+SUMPRODUCT($C$12:$C$267*$AF$12:$AF$267*(($M$12:$M$267&lt;M101)+($M$12:$M$267=M101)*($N$12:$N$267&lt;N101)+($M$12:$M$267=M101)*($N$12:$N$267=N101)*($A$12:$A$267&lt;A101))),0)</f>
        <v/>
      </c>
    </row>
    <row r="102">
      <c r="A102" s="4" t="n">
        <v>91</v>
      </c>
      <c r="B102" s="4" t="inlineStr">
        <is>
          <t>17D2E + 2A + 2B + 3F</t>
        </is>
      </c>
      <c r="C102" s="10">
        <f>IF(SUMPRODUCT(D102:K102,1-$D$5:$K$5)=0,1,0)</f>
        <v/>
      </c>
      <c r="D102" s="4" t="n">
        <v>0</v>
      </c>
      <c r="E102" s="4" t="n">
        <v>1</v>
      </c>
      <c r="F102" s="4" t="n">
        <v>0</v>
      </c>
      <c r="G102" s="4" t="n">
        <v>1</v>
      </c>
      <c r="H102" s="4" t="n">
        <v>1</v>
      </c>
      <c r="I102" s="4" t="n">
        <v>0</v>
      </c>
      <c r="J102" s="4" t="n">
        <v>1</v>
      </c>
      <c r="K102" s="4" t="n">
        <v>0</v>
      </c>
      <c r="L102" s="6">
        <f>IF(C102=1,1+SUMPRODUCT(D102:K102,$D$9:$K$9),"")</f>
        <v/>
      </c>
      <c r="M102" s="6">
        <f>SUMPRODUCT(D102:K102,$D$6:$K$6)</f>
        <v/>
      </c>
      <c r="N102" s="6">
        <f>SUMPRODUCT(D102:K102,$D$7:$K$7)</f>
        <v/>
      </c>
      <c r="O102" s="25">
        <f>SUMPRODUCT(D102:K102,$D$8:$K$8)</f>
        <v/>
      </c>
      <c r="P102" s="21">
        <f>M102/10^in_out_dp</f>
        <v/>
      </c>
      <c r="Q102" s="26">
        <f>N102/10^in_cost_dp</f>
        <v/>
      </c>
      <c r="R102" s="10">
        <f>IF(SUM(D102:K102)=0,1,0)</f>
        <v/>
      </c>
      <c r="S102" s="10">
        <f>SUMPRODUCT($C$12:$C$267*(($M$12:$M$267=M102)*($N$12:$N$267&lt;N102)+($M$12:$M$267&gt;M102)*($N$12:$N$267&lt;=N102)))</f>
        <v/>
      </c>
      <c r="T102" s="10">
        <f>IF(C102=0,0,IF(OR(R102=1,S102=0),1,0))</f>
        <v/>
      </c>
      <c r="U102" s="10">
        <f>IF(AND(T102=1,R102=0,M102&gt;0),1,0)</f>
        <v/>
      </c>
      <c r="V102" s="30">
        <f>IF(U102=1,MAX(N102/M102,SUMPRODUCT(MAX(((N102-$N$12:$N$267)*($U$12:$U$267*($M$12:$M$267&lt;M102)))/((M102-$M$12:$M$267)*($U$12:$U$267*($M$12:$M$267&lt;M102))+1-($U$12:$U$267*($M$12:$M$267&lt;M102)))-(1-($U$12:$U$267*($M$12:$M$267&lt;M102)))*1E+300))),0)</f>
        <v/>
      </c>
      <c r="W102" s="30">
        <f>IF(U102=1,SUMPRODUCT(MIN(((($N$12:$N$267-N102)*($U$12:$U$267*($M$12:$M$267&gt;M102)))/(($M$12:$M$267-M102)*($U$12:$U$267*($M$12:$M$267&gt;M102))+1-($U$12:$U$267*($M$12:$M$267&gt;M102)))+(1-($U$12:$U$267*($M$12:$M$267&gt;M102)))*1E+300))),0)</f>
        <v/>
      </c>
      <c r="X102" s="10">
        <f>IF(C102=0,0,IF(R102=1,1,IF(AND(U102=1,V102&lt;=W102),1,0)))</f>
        <v/>
      </c>
      <c r="Y102" s="10">
        <f>IF(X102=1,1+SUMPRODUCT($X$12:$X$267*(($M$12:$M$267&lt;M102)+($M$12:$M$267=M102)*($A$12:$A$267&lt;A102))),0)</f>
        <v/>
      </c>
      <c r="Z102" s="10">
        <f>IF(Y102&lt;=1,0,SUMPRODUCT(($Y$12:$Y$267=Y102-1)*$M$12:$M$267))</f>
        <v/>
      </c>
      <c r="AA102" s="10">
        <f>IF(Y102&lt;=1,0,SUMPRODUCT(($Y$12:$Y$267=Y102-1)*$N$12:$N$267))</f>
        <v/>
      </c>
      <c r="AB102" s="21">
        <f>IF(Y102=0,"",(M102-Z102)/10^in_out_dp)</f>
        <v/>
      </c>
      <c r="AC102" s="26">
        <f>IF(Y102=0,"",(N102-AA102)/10^in_cost_dp)</f>
        <v/>
      </c>
      <c r="AD102" s="26">
        <f>IF(Y102=0,"",IF(M102=Z102,0,AC102/AB102))</f>
        <v/>
      </c>
      <c r="AE102" s="26">
        <f>IF(AND(C102=1,M102&gt;0),Q102/P102,"n/a")</f>
        <v/>
      </c>
      <c r="AF102" s="15" t="n">
        <v>0</v>
      </c>
      <c r="AG102" s="6">
        <f>IF(AND(C102=1,AF102=1),1+SUMPRODUCT($C$12:$C$267*$AF$12:$AF$267*(($M$12:$M$267&lt;M102)+($M$12:$M$267=M102)*($N$12:$N$267&lt;N102)+($M$12:$M$267=M102)*($N$12:$N$267=N102)*($A$12:$A$267&lt;A102))),0)</f>
        <v/>
      </c>
    </row>
    <row r="103">
      <c r="A103" s="4" t="n">
        <v>92</v>
      </c>
      <c r="B103" s="4" t="inlineStr">
        <is>
          <t>17D2E + 2A + 2B + 3F + 19A</t>
        </is>
      </c>
      <c r="C103" s="10">
        <f>IF(SUMPRODUCT(D103:K103,1-$D$5:$K$5)=0,1,0)</f>
        <v/>
      </c>
      <c r="D103" s="4" t="n">
        <v>0</v>
      </c>
      <c r="E103" s="4" t="n">
        <v>1</v>
      </c>
      <c r="F103" s="4" t="n">
        <v>0</v>
      </c>
      <c r="G103" s="4" t="n">
        <v>1</v>
      </c>
      <c r="H103" s="4" t="n">
        <v>1</v>
      </c>
      <c r="I103" s="4" t="n">
        <v>0</v>
      </c>
      <c r="J103" s="4" t="n">
        <v>1</v>
      </c>
      <c r="K103" s="4" t="n">
        <v>1</v>
      </c>
      <c r="L103" s="6">
        <f>IF(C103=1,1+SUMPRODUCT(D103:K103,$D$9:$K$9),"")</f>
        <v/>
      </c>
      <c r="M103" s="6">
        <f>SUMPRODUCT(D103:K103,$D$6:$K$6)</f>
        <v/>
      </c>
      <c r="N103" s="6">
        <f>SUMPRODUCT(D103:K103,$D$7:$K$7)</f>
        <v/>
      </c>
      <c r="O103" s="25">
        <f>SUMPRODUCT(D103:K103,$D$8:$K$8)</f>
        <v/>
      </c>
      <c r="P103" s="21">
        <f>M103/10^in_out_dp</f>
        <v/>
      </c>
      <c r="Q103" s="26">
        <f>N103/10^in_cost_dp</f>
        <v/>
      </c>
      <c r="R103" s="10">
        <f>IF(SUM(D103:K103)=0,1,0)</f>
        <v/>
      </c>
      <c r="S103" s="10">
        <f>SUMPRODUCT($C$12:$C$267*(($M$12:$M$267=M103)*($N$12:$N$267&lt;N103)+($M$12:$M$267&gt;M103)*($N$12:$N$267&lt;=N103)))</f>
        <v/>
      </c>
      <c r="T103" s="10">
        <f>IF(C103=0,0,IF(OR(R103=1,S103=0),1,0))</f>
        <v/>
      </c>
      <c r="U103" s="10">
        <f>IF(AND(T103=1,R103=0,M103&gt;0),1,0)</f>
        <v/>
      </c>
      <c r="V103" s="30">
        <f>IF(U103=1,MAX(N103/M103,SUMPRODUCT(MAX(((N103-$N$12:$N$267)*($U$12:$U$267*($M$12:$M$267&lt;M103)))/((M103-$M$12:$M$267)*($U$12:$U$267*($M$12:$M$267&lt;M103))+1-($U$12:$U$267*($M$12:$M$267&lt;M103)))-(1-($U$12:$U$267*($M$12:$M$267&lt;M103)))*1E+300))),0)</f>
        <v/>
      </c>
      <c r="W103" s="30">
        <f>IF(U103=1,SUMPRODUCT(MIN(((($N$12:$N$267-N103)*($U$12:$U$267*($M$12:$M$267&gt;M103)))/(($M$12:$M$267-M103)*($U$12:$U$267*($M$12:$M$267&gt;M103))+1-($U$12:$U$267*($M$12:$M$267&gt;M103)))+(1-($U$12:$U$267*($M$12:$M$267&gt;M103)))*1E+300))),0)</f>
        <v/>
      </c>
      <c r="X103" s="10">
        <f>IF(C103=0,0,IF(R103=1,1,IF(AND(U103=1,V103&lt;=W103),1,0)))</f>
        <v/>
      </c>
      <c r="Y103" s="10">
        <f>IF(X103=1,1+SUMPRODUCT($X$12:$X$267*(($M$12:$M$267&lt;M103)+($M$12:$M$267=M103)*($A$12:$A$267&lt;A103))),0)</f>
        <v/>
      </c>
      <c r="Z103" s="10">
        <f>IF(Y103&lt;=1,0,SUMPRODUCT(($Y$12:$Y$267=Y103-1)*$M$12:$M$267))</f>
        <v/>
      </c>
      <c r="AA103" s="10">
        <f>IF(Y103&lt;=1,0,SUMPRODUCT(($Y$12:$Y$267=Y103-1)*$N$12:$N$267))</f>
        <v/>
      </c>
      <c r="AB103" s="21">
        <f>IF(Y103=0,"",(M103-Z103)/10^in_out_dp)</f>
        <v/>
      </c>
      <c r="AC103" s="26">
        <f>IF(Y103=0,"",(N103-AA103)/10^in_cost_dp)</f>
        <v/>
      </c>
      <c r="AD103" s="26">
        <f>IF(Y103=0,"",IF(M103=Z103,0,AC103/AB103))</f>
        <v/>
      </c>
      <c r="AE103" s="26">
        <f>IF(AND(C103=1,M103&gt;0),Q103/P103,"n/a")</f>
        <v/>
      </c>
      <c r="AF103" s="15" t="n">
        <v>0</v>
      </c>
      <c r="AG103" s="6">
        <f>IF(AND(C103=1,AF103=1),1+SUMPRODUCT($C$12:$C$267*$AF$12:$AF$267*(($M$12:$M$267&lt;M103)+($M$12:$M$267=M103)*($N$12:$N$267&lt;N103)+($M$12:$M$267=M103)*($N$12:$N$267=N103)*($A$12:$A$267&lt;A103))),0)</f>
        <v/>
      </c>
    </row>
    <row r="104">
      <c r="A104" s="4" t="n">
        <v>93</v>
      </c>
      <c r="B104" s="4" t="inlineStr">
        <is>
          <t>17D2E + 2A + 2B + 3E</t>
        </is>
      </c>
      <c r="C104" s="10">
        <f>IF(SUMPRODUCT(D104:K104,1-$D$5:$K$5)=0,1,0)</f>
        <v/>
      </c>
      <c r="D104" s="4" t="n">
        <v>0</v>
      </c>
      <c r="E104" s="4" t="n">
        <v>1</v>
      </c>
      <c r="F104" s="4" t="n">
        <v>0</v>
      </c>
      <c r="G104" s="4" t="n">
        <v>1</v>
      </c>
      <c r="H104" s="4" t="n">
        <v>1</v>
      </c>
      <c r="I104" s="4" t="n">
        <v>1</v>
      </c>
      <c r="J104" s="4" t="n">
        <v>0</v>
      </c>
      <c r="K104" s="4" t="n">
        <v>0</v>
      </c>
      <c r="L104" s="6">
        <f>IF(C104=1,1+SUMPRODUCT(D104:K104,$D$9:$K$9),"")</f>
        <v/>
      </c>
      <c r="M104" s="6">
        <f>SUMPRODUCT(D104:K104,$D$6:$K$6)</f>
        <v/>
      </c>
      <c r="N104" s="6">
        <f>SUMPRODUCT(D104:K104,$D$7:$K$7)</f>
        <v/>
      </c>
      <c r="O104" s="25">
        <f>SUMPRODUCT(D104:K104,$D$8:$K$8)</f>
        <v/>
      </c>
      <c r="P104" s="21">
        <f>M104/10^in_out_dp</f>
        <v/>
      </c>
      <c r="Q104" s="26">
        <f>N104/10^in_cost_dp</f>
        <v/>
      </c>
      <c r="R104" s="10">
        <f>IF(SUM(D104:K104)=0,1,0)</f>
        <v/>
      </c>
      <c r="S104" s="10">
        <f>SUMPRODUCT($C$12:$C$267*(($M$12:$M$267=M104)*($N$12:$N$267&lt;N104)+($M$12:$M$267&gt;M104)*($N$12:$N$267&lt;=N104)))</f>
        <v/>
      </c>
      <c r="T104" s="10">
        <f>IF(C104=0,0,IF(OR(R104=1,S104=0),1,0))</f>
        <v/>
      </c>
      <c r="U104" s="10">
        <f>IF(AND(T104=1,R104=0,M104&gt;0),1,0)</f>
        <v/>
      </c>
      <c r="V104" s="30">
        <f>IF(U104=1,MAX(N104/M104,SUMPRODUCT(MAX(((N104-$N$12:$N$267)*($U$12:$U$267*($M$12:$M$267&lt;M104)))/((M104-$M$12:$M$267)*($U$12:$U$267*($M$12:$M$267&lt;M104))+1-($U$12:$U$267*($M$12:$M$267&lt;M104)))-(1-($U$12:$U$267*($M$12:$M$267&lt;M104)))*1E+300))),0)</f>
        <v/>
      </c>
      <c r="W104" s="30">
        <f>IF(U104=1,SUMPRODUCT(MIN(((($N$12:$N$267-N104)*($U$12:$U$267*($M$12:$M$267&gt;M104)))/(($M$12:$M$267-M104)*($U$12:$U$267*($M$12:$M$267&gt;M104))+1-($U$12:$U$267*($M$12:$M$267&gt;M104)))+(1-($U$12:$U$267*($M$12:$M$267&gt;M104)))*1E+300))),0)</f>
        <v/>
      </c>
      <c r="X104" s="10">
        <f>IF(C104=0,0,IF(R104=1,1,IF(AND(U104=1,V104&lt;=W104),1,0)))</f>
        <v/>
      </c>
      <c r="Y104" s="10">
        <f>IF(X104=1,1+SUMPRODUCT($X$12:$X$267*(($M$12:$M$267&lt;M104)+($M$12:$M$267=M104)*($A$12:$A$267&lt;A104))),0)</f>
        <v/>
      </c>
      <c r="Z104" s="10">
        <f>IF(Y104&lt;=1,0,SUMPRODUCT(($Y$12:$Y$267=Y104-1)*$M$12:$M$267))</f>
        <v/>
      </c>
      <c r="AA104" s="10">
        <f>IF(Y104&lt;=1,0,SUMPRODUCT(($Y$12:$Y$267=Y104-1)*$N$12:$N$267))</f>
        <v/>
      </c>
      <c r="AB104" s="21">
        <f>IF(Y104=0,"",(M104-Z104)/10^in_out_dp)</f>
        <v/>
      </c>
      <c r="AC104" s="26">
        <f>IF(Y104=0,"",(N104-AA104)/10^in_cost_dp)</f>
        <v/>
      </c>
      <c r="AD104" s="26">
        <f>IF(Y104=0,"",IF(M104=Z104,0,AC104/AB104))</f>
        <v/>
      </c>
      <c r="AE104" s="26">
        <f>IF(AND(C104=1,M104&gt;0),Q104/P104,"n/a")</f>
        <v/>
      </c>
      <c r="AF104" s="15" t="n">
        <v>0</v>
      </c>
      <c r="AG104" s="6">
        <f>IF(AND(C104=1,AF104=1),1+SUMPRODUCT($C$12:$C$267*$AF$12:$AF$267*(($M$12:$M$267&lt;M104)+($M$12:$M$267=M104)*($N$12:$N$267&lt;N104)+($M$12:$M$267=M104)*($N$12:$N$267=N104)*($A$12:$A$267&lt;A104))),0)</f>
        <v/>
      </c>
    </row>
    <row r="105">
      <c r="A105" s="4" t="n">
        <v>94</v>
      </c>
      <c r="B105" s="4" t="inlineStr">
        <is>
          <t>17D2E + 2A + 2B + 3E + 19A</t>
        </is>
      </c>
      <c r="C105" s="10">
        <f>IF(SUMPRODUCT(D105:K105,1-$D$5:$K$5)=0,1,0)</f>
        <v/>
      </c>
      <c r="D105" s="4" t="n">
        <v>0</v>
      </c>
      <c r="E105" s="4" t="n">
        <v>1</v>
      </c>
      <c r="F105" s="4" t="n">
        <v>0</v>
      </c>
      <c r="G105" s="4" t="n">
        <v>1</v>
      </c>
      <c r="H105" s="4" t="n">
        <v>1</v>
      </c>
      <c r="I105" s="4" t="n">
        <v>1</v>
      </c>
      <c r="J105" s="4" t="n">
        <v>0</v>
      </c>
      <c r="K105" s="4" t="n">
        <v>1</v>
      </c>
      <c r="L105" s="6">
        <f>IF(C105=1,1+SUMPRODUCT(D105:K105,$D$9:$K$9),"")</f>
        <v/>
      </c>
      <c r="M105" s="6">
        <f>SUMPRODUCT(D105:K105,$D$6:$K$6)</f>
        <v/>
      </c>
      <c r="N105" s="6">
        <f>SUMPRODUCT(D105:K105,$D$7:$K$7)</f>
        <v/>
      </c>
      <c r="O105" s="25">
        <f>SUMPRODUCT(D105:K105,$D$8:$K$8)</f>
        <v/>
      </c>
      <c r="P105" s="21">
        <f>M105/10^in_out_dp</f>
        <v/>
      </c>
      <c r="Q105" s="26">
        <f>N105/10^in_cost_dp</f>
        <v/>
      </c>
      <c r="R105" s="10">
        <f>IF(SUM(D105:K105)=0,1,0)</f>
        <v/>
      </c>
      <c r="S105" s="10">
        <f>SUMPRODUCT($C$12:$C$267*(($M$12:$M$267=M105)*($N$12:$N$267&lt;N105)+($M$12:$M$267&gt;M105)*($N$12:$N$267&lt;=N105)))</f>
        <v/>
      </c>
      <c r="T105" s="10">
        <f>IF(C105=0,0,IF(OR(R105=1,S105=0),1,0))</f>
        <v/>
      </c>
      <c r="U105" s="10">
        <f>IF(AND(T105=1,R105=0,M105&gt;0),1,0)</f>
        <v/>
      </c>
      <c r="V105" s="30">
        <f>IF(U105=1,MAX(N105/M105,SUMPRODUCT(MAX(((N105-$N$12:$N$267)*($U$12:$U$267*($M$12:$M$267&lt;M105)))/((M105-$M$12:$M$267)*($U$12:$U$267*($M$12:$M$267&lt;M105))+1-($U$12:$U$267*($M$12:$M$267&lt;M105)))-(1-($U$12:$U$267*($M$12:$M$267&lt;M105)))*1E+300))),0)</f>
        <v/>
      </c>
      <c r="W105" s="30">
        <f>IF(U105=1,SUMPRODUCT(MIN(((($N$12:$N$267-N105)*($U$12:$U$267*($M$12:$M$267&gt;M105)))/(($M$12:$M$267-M105)*($U$12:$U$267*($M$12:$M$267&gt;M105))+1-($U$12:$U$267*($M$12:$M$267&gt;M105)))+(1-($U$12:$U$267*($M$12:$M$267&gt;M105)))*1E+300))),0)</f>
        <v/>
      </c>
      <c r="X105" s="10">
        <f>IF(C105=0,0,IF(R105=1,1,IF(AND(U105=1,V105&lt;=W105),1,0)))</f>
        <v/>
      </c>
      <c r="Y105" s="10">
        <f>IF(X105=1,1+SUMPRODUCT($X$12:$X$267*(($M$12:$M$267&lt;M105)+($M$12:$M$267=M105)*($A$12:$A$267&lt;A105))),0)</f>
        <v/>
      </c>
      <c r="Z105" s="10">
        <f>IF(Y105&lt;=1,0,SUMPRODUCT(($Y$12:$Y$267=Y105-1)*$M$12:$M$267))</f>
        <v/>
      </c>
      <c r="AA105" s="10">
        <f>IF(Y105&lt;=1,0,SUMPRODUCT(($Y$12:$Y$267=Y105-1)*$N$12:$N$267))</f>
        <v/>
      </c>
      <c r="AB105" s="21">
        <f>IF(Y105=0,"",(M105-Z105)/10^in_out_dp)</f>
        <v/>
      </c>
      <c r="AC105" s="26">
        <f>IF(Y105=0,"",(N105-AA105)/10^in_cost_dp)</f>
        <v/>
      </c>
      <c r="AD105" s="26">
        <f>IF(Y105=0,"",IF(M105=Z105,0,AC105/AB105))</f>
        <v/>
      </c>
      <c r="AE105" s="26">
        <f>IF(AND(C105=1,M105&gt;0),Q105/P105,"n/a")</f>
        <v/>
      </c>
      <c r="AF105" s="15" t="n">
        <v>0</v>
      </c>
      <c r="AG105" s="6">
        <f>IF(AND(C105=1,AF105=1),1+SUMPRODUCT($C$12:$C$267*$AF$12:$AF$267*(($M$12:$M$267&lt;M105)+($M$12:$M$267=M105)*($N$12:$N$267&lt;N105)+($M$12:$M$267=M105)*($N$12:$N$267=N105)*($A$12:$A$267&lt;A105))),0)</f>
        <v/>
      </c>
    </row>
    <row r="106">
      <c r="A106" s="4" t="n">
        <v>95</v>
      </c>
      <c r="B106" s="4" t="inlineStr">
        <is>
          <t>17D2E + 2A + 2B + 3E + 3F</t>
        </is>
      </c>
      <c r="C106" s="10">
        <f>IF(SUMPRODUCT(D106:K106,1-$D$5:$K$5)=0,1,0)</f>
        <v/>
      </c>
      <c r="D106" s="4" t="n">
        <v>0</v>
      </c>
      <c r="E106" s="4" t="n">
        <v>1</v>
      </c>
      <c r="F106" s="4" t="n">
        <v>0</v>
      </c>
      <c r="G106" s="4" t="n">
        <v>1</v>
      </c>
      <c r="H106" s="4" t="n">
        <v>1</v>
      </c>
      <c r="I106" s="4" t="n">
        <v>1</v>
      </c>
      <c r="J106" s="4" t="n">
        <v>1</v>
      </c>
      <c r="K106" s="4" t="n">
        <v>0</v>
      </c>
      <c r="L106" s="6">
        <f>IF(C106=1,1+SUMPRODUCT(D106:K106,$D$9:$K$9),"")</f>
        <v/>
      </c>
      <c r="M106" s="6">
        <f>SUMPRODUCT(D106:K106,$D$6:$K$6)</f>
        <v/>
      </c>
      <c r="N106" s="6">
        <f>SUMPRODUCT(D106:K106,$D$7:$K$7)</f>
        <v/>
      </c>
      <c r="O106" s="25">
        <f>SUMPRODUCT(D106:K106,$D$8:$K$8)</f>
        <v/>
      </c>
      <c r="P106" s="21">
        <f>M106/10^in_out_dp</f>
        <v/>
      </c>
      <c r="Q106" s="26">
        <f>N106/10^in_cost_dp</f>
        <v/>
      </c>
      <c r="R106" s="10">
        <f>IF(SUM(D106:K106)=0,1,0)</f>
        <v/>
      </c>
      <c r="S106" s="10">
        <f>SUMPRODUCT($C$12:$C$267*(($M$12:$M$267=M106)*($N$12:$N$267&lt;N106)+($M$12:$M$267&gt;M106)*($N$12:$N$267&lt;=N106)))</f>
        <v/>
      </c>
      <c r="T106" s="10">
        <f>IF(C106=0,0,IF(OR(R106=1,S106=0),1,0))</f>
        <v/>
      </c>
      <c r="U106" s="10">
        <f>IF(AND(T106=1,R106=0,M106&gt;0),1,0)</f>
        <v/>
      </c>
      <c r="V106" s="30">
        <f>IF(U106=1,MAX(N106/M106,SUMPRODUCT(MAX(((N106-$N$12:$N$267)*($U$12:$U$267*($M$12:$M$267&lt;M106)))/((M106-$M$12:$M$267)*($U$12:$U$267*($M$12:$M$267&lt;M106))+1-($U$12:$U$267*($M$12:$M$267&lt;M106)))-(1-($U$12:$U$267*($M$12:$M$267&lt;M106)))*1E+300))),0)</f>
        <v/>
      </c>
      <c r="W106" s="30">
        <f>IF(U106=1,SUMPRODUCT(MIN(((($N$12:$N$267-N106)*($U$12:$U$267*($M$12:$M$267&gt;M106)))/(($M$12:$M$267-M106)*($U$12:$U$267*($M$12:$M$267&gt;M106))+1-($U$12:$U$267*($M$12:$M$267&gt;M106)))+(1-($U$12:$U$267*($M$12:$M$267&gt;M106)))*1E+300))),0)</f>
        <v/>
      </c>
      <c r="X106" s="10">
        <f>IF(C106=0,0,IF(R106=1,1,IF(AND(U106=1,V106&lt;=W106),1,0)))</f>
        <v/>
      </c>
      <c r="Y106" s="10">
        <f>IF(X106=1,1+SUMPRODUCT($X$12:$X$267*(($M$12:$M$267&lt;M106)+($M$12:$M$267=M106)*($A$12:$A$267&lt;A106))),0)</f>
        <v/>
      </c>
      <c r="Z106" s="10">
        <f>IF(Y106&lt;=1,0,SUMPRODUCT(($Y$12:$Y$267=Y106-1)*$M$12:$M$267))</f>
        <v/>
      </c>
      <c r="AA106" s="10">
        <f>IF(Y106&lt;=1,0,SUMPRODUCT(($Y$12:$Y$267=Y106-1)*$N$12:$N$267))</f>
        <v/>
      </c>
      <c r="AB106" s="21">
        <f>IF(Y106=0,"",(M106-Z106)/10^in_out_dp)</f>
        <v/>
      </c>
      <c r="AC106" s="26">
        <f>IF(Y106=0,"",(N106-AA106)/10^in_cost_dp)</f>
        <v/>
      </c>
      <c r="AD106" s="26">
        <f>IF(Y106=0,"",IF(M106=Z106,0,AC106/AB106))</f>
        <v/>
      </c>
      <c r="AE106" s="26">
        <f>IF(AND(C106=1,M106&gt;0),Q106/P106,"n/a")</f>
        <v/>
      </c>
      <c r="AF106" s="15" t="n">
        <v>0</v>
      </c>
      <c r="AG106" s="6">
        <f>IF(AND(C106=1,AF106=1),1+SUMPRODUCT($C$12:$C$267*$AF$12:$AF$267*(($M$12:$M$267&lt;M106)+($M$12:$M$267=M106)*($N$12:$N$267&lt;N106)+($M$12:$M$267=M106)*($N$12:$N$267=N106)*($A$12:$A$267&lt;A106))),0)</f>
        <v/>
      </c>
    </row>
    <row r="107">
      <c r="A107" s="4" t="n">
        <v>96</v>
      </c>
      <c r="B107" s="4" t="inlineStr">
        <is>
          <t>17D2E + 2A + 2B + 3E + 3F + 19A</t>
        </is>
      </c>
      <c r="C107" s="10">
        <f>IF(SUMPRODUCT(D107:K107,1-$D$5:$K$5)=0,1,0)</f>
        <v/>
      </c>
      <c r="D107" s="4" t="n">
        <v>0</v>
      </c>
      <c r="E107" s="4" t="n">
        <v>1</v>
      </c>
      <c r="F107" s="4" t="n">
        <v>0</v>
      </c>
      <c r="G107" s="4" t="n">
        <v>1</v>
      </c>
      <c r="H107" s="4" t="n">
        <v>1</v>
      </c>
      <c r="I107" s="4" t="n">
        <v>1</v>
      </c>
      <c r="J107" s="4" t="n">
        <v>1</v>
      </c>
      <c r="K107" s="4" t="n">
        <v>1</v>
      </c>
      <c r="L107" s="6">
        <f>IF(C107=1,1+SUMPRODUCT(D107:K107,$D$9:$K$9),"")</f>
        <v/>
      </c>
      <c r="M107" s="6">
        <f>SUMPRODUCT(D107:K107,$D$6:$K$6)</f>
        <v/>
      </c>
      <c r="N107" s="6">
        <f>SUMPRODUCT(D107:K107,$D$7:$K$7)</f>
        <v/>
      </c>
      <c r="O107" s="25">
        <f>SUMPRODUCT(D107:K107,$D$8:$K$8)</f>
        <v/>
      </c>
      <c r="P107" s="21">
        <f>M107/10^in_out_dp</f>
        <v/>
      </c>
      <c r="Q107" s="26">
        <f>N107/10^in_cost_dp</f>
        <v/>
      </c>
      <c r="R107" s="10">
        <f>IF(SUM(D107:K107)=0,1,0)</f>
        <v/>
      </c>
      <c r="S107" s="10">
        <f>SUMPRODUCT($C$12:$C$267*(($M$12:$M$267=M107)*($N$12:$N$267&lt;N107)+($M$12:$M$267&gt;M107)*($N$12:$N$267&lt;=N107)))</f>
        <v/>
      </c>
      <c r="T107" s="10">
        <f>IF(C107=0,0,IF(OR(R107=1,S107=0),1,0))</f>
        <v/>
      </c>
      <c r="U107" s="10">
        <f>IF(AND(T107=1,R107=0,M107&gt;0),1,0)</f>
        <v/>
      </c>
      <c r="V107" s="30">
        <f>IF(U107=1,MAX(N107/M107,SUMPRODUCT(MAX(((N107-$N$12:$N$267)*($U$12:$U$267*($M$12:$M$267&lt;M107)))/((M107-$M$12:$M$267)*($U$12:$U$267*($M$12:$M$267&lt;M107))+1-($U$12:$U$267*($M$12:$M$267&lt;M107)))-(1-($U$12:$U$267*($M$12:$M$267&lt;M107)))*1E+300))),0)</f>
        <v/>
      </c>
      <c r="W107" s="30">
        <f>IF(U107=1,SUMPRODUCT(MIN(((($N$12:$N$267-N107)*($U$12:$U$267*($M$12:$M$267&gt;M107)))/(($M$12:$M$267-M107)*($U$12:$U$267*($M$12:$M$267&gt;M107))+1-($U$12:$U$267*($M$12:$M$267&gt;M107)))+(1-($U$12:$U$267*($M$12:$M$267&gt;M107)))*1E+300))),0)</f>
        <v/>
      </c>
      <c r="X107" s="10">
        <f>IF(C107=0,0,IF(R107=1,1,IF(AND(U107=1,V107&lt;=W107),1,0)))</f>
        <v/>
      </c>
      <c r="Y107" s="10">
        <f>IF(X107=1,1+SUMPRODUCT($X$12:$X$267*(($M$12:$M$267&lt;M107)+($M$12:$M$267=M107)*($A$12:$A$267&lt;A107))),0)</f>
        <v/>
      </c>
      <c r="Z107" s="10">
        <f>IF(Y107&lt;=1,0,SUMPRODUCT(($Y$12:$Y$267=Y107-1)*$M$12:$M$267))</f>
        <v/>
      </c>
      <c r="AA107" s="10">
        <f>IF(Y107&lt;=1,0,SUMPRODUCT(($Y$12:$Y$267=Y107-1)*$N$12:$N$267))</f>
        <v/>
      </c>
      <c r="AB107" s="21">
        <f>IF(Y107=0,"",(M107-Z107)/10^in_out_dp)</f>
        <v/>
      </c>
      <c r="AC107" s="26">
        <f>IF(Y107=0,"",(N107-AA107)/10^in_cost_dp)</f>
        <v/>
      </c>
      <c r="AD107" s="26">
        <f>IF(Y107=0,"",IF(M107=Z107,0,AC107/AB107))</f>
        <v/>
      </c>
      <c r="AE107" s="26">
        <f>IF(AND(C107=1,M107&gt;0),Q107/P107,"n/a")</f>
        <v/>
      </c>
      <c r="AF107" s="15" t="n">
        <v>0</v>
      </c>
      <c r="AG107" s="6">
        <f>IF(AND(C107=1,AF107=1),1+SUMPRODUCT($C$12:$C$267*$AF$12:$AF$267*(($M$12:$M$267&lt;M107)+($M$12:$M$267=M107)*($N$12:$N$267&lt;N107)+($M$12:$M$267=M107)*($N$12:$N$267=N107)*($A$12:$A$267&lt;A107))),0)</f>
        <v/>
      </c>
    </row>
    <row r="108">
      <c r="A108" s="4" t="n">
        <v>97</v>
      </c>
      <c r="B108" s="4" t="inlineStr">
        <is>
          <t>17D2E + 17B</t>
        </is>
      </c>
      <c r="C108" s="10">
        <f>IF(SUMPRODUCT(D108:K108,1-$D$5:$K$5)=0,1,0)</f>
        <v/>
      </c>
      <c r="D108" s="4" t="n">
        <v>0</v>
      </c>
      <c r="E108" s="4" t="n">
        <v>1</v>
      </c>
      <c r="F108" s="4" t="n">
        <v>1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6">
        <f>IF(C108=1,1+SUMPRODUCT(D108:K108,$D$9:$K$9),"")</f>
        <v/>
      </c>
      <c r="M108" s="6">
        <f>SUMPRODUCT(D108:K108,$D$6:$K$6)</f>
        <v/>
      </c>
      <c r="N108" s="6">
        <f>SUMPRODUCT(D108:K108,$D$7:$K$7)</f>
        <v/>
      </c>
      <c r="O108" s="25">
        <f>SUMPRODUCT(D108:K108,$D$8:$K$8)</f>
        <v/>
      </c>
      <c r="P108" s="21">
        <f>M108/10^in_out_dp</f>
        <v/>
      </c>
      <c r="Q108" s="26">
        <f>N108/10^in_cost_dp</f>
        <v/>
      </c>
      <c r="R108" s="10">
        <f>IF(SUM(D108:K108)=0,1,0)</f>
        <v/>
      </c>
      <c r="S108" s="10">
        <f>SUMPRODUCT($C$12:$C$267*(($M$12:$M$267=M108)*($N$12:$N$267&lt;N108)+($M$12:$M$267&gt;M108)*($N$12:$N$267&lt;=N108)))</f>
        <v/>
      </c>
      <c r="T108" s="10">
        <f>IF(C108=0,0,IF(OR(R108=1,S108=0),1,0))</f>
        <v/>
      </c>
      <c r="U108" s="10">
        <f>IF(AND(T108=1,R108=0,M108&gt;0),1,0)</f>
        <v/>
      </c>
      <c r="V108" s="30">
        <f>IF(U108=1,MAX(N108/M108,SUMPRODUCT(MAX(((N108-$N$12:$N$267)*($U$12:$U$267*($M$12:$M$267&lt;M108)))/((M108-$M$12:$M$267)*($U$12:$U$267*($M$12:$M$267&lt;M108))+1-($U$12:$U$267*($M$12:$M$267&lt;M108)))-(1-($U$12:$U$267*($M$12:$M$267&lt;M108)))*1E+300))),0)</f>
        <v/>
      </c>
      <c r="W108" s="30">
        <f>IF(U108=1,SUMPRODUCT(MIN(((($N$12:$N$267-N108)*($U$12:$U$267*($M$12:$M$267&gt;M108)))/(($M$12:$M$267-M108)*($U$12:$U$267*($M$12:$M$267&gt;M108))+1-($U$12:$U$267*($M$12:$M$267&gt;M108)))+(1-($U$12:$U$267*($M$12:$M$267&gt;M108)))*1E+300))),0)</f>
        <v/>
      </c>
      <c r="X108" s="10">
        <f>IF(C108=0,0,IF(R108=1,1,IF(AND(U108=1,V108&lt;=W108),1,0)))</f>
        <v/>
      </c>
      <c r="Y108" s="10">
        <f>IF(X108=1,1+SUMPRODUCT($X$12:$X$267*(($M$12:$M$267&lt;M108)+($M$12:$M$267=M108)*($A$12:$A$267&lt;A108))),0)</f>
        <v/>
      </c>
      <c r="Z108" s="10">
        <f>IF(Y108&lt;=1,0,SUMPRODUCT(($Y$12:$Y$267=Y108-1)*$M$12:$M$267))</f>
        <v/>
      </c>
      <c r="AA108" s="10">
        <f>IF(Y108&lt;=1,0,SUMPRODUCT(($Y$12:$Y$267=Y108-1)*$N$12:$N$267))</f>
        <v/>
      </c>
      <c r="AB108" s="21">
        <f>IF(Y108=0,"",(M108-Z108)/10^in_out_dp)</f>
        <v/>
      </c>
      <c r="AC108" s="26">
        <f>IF(Y108=0,"",(N108-AA108)/10^in_cost_dp)</f>
        <v/>
      </c>
      <c r="AD108" s="26">
        <f>IF(Y108=0,"",IF(M108=Z108,0,AC108/AB108))</f>
        <v/>
      </c>
      <c r="AE108" s="26">
        <f>IF(AND(C108=1,M108&gt;0),Q108/P108,"n/a")</f>
        <v/>
      </c>
      <c r="AF108" s="15" t="n">
        <v>0</v>
      </c>
      <c r="AG108" s="6">
        <f>IF(AND(C108=1,AF108=1),1+SUMPRODUCT($C$12:$C$267*$AF$12:$AF$267*(($M$12:$M$267&lt;M108)+($M$12:$M$267=M108)*($N$12:$N$267&lt;N108)+($M$12:$M$267=M108)*($N$12:$N$267=N108)*($A$12:$A$267&lt;A108))),0)</f>
        <v/>
      </c>
    </row>
    <row r="109">
      <c r="A109" s="4" t="n">
        <v>98</v>
      </c>
      <c r="B109" s="4" t="inlineStr">
        <is>
          <t>17D2E + 17B + 19A</t>
        </is>
      </c>
      <c r="C109" s="10">
        <f>IF(SUMPRODUCT(D109:K109,1-$D$5:$K$5)=0,1,0)</f>
        <v/>
      </c>
      <c r="D109" s="4" t="n">
        <v>0</v>
      </c>
      <c r="E109" s="4" t="n">
        <v>1</v>
      </c>
      <c r="F109" s="4" t="n">
        <v>1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1</v>
      </c>
      <c r="L109" s="6">
        <f>IF(C109=1,1+SUMPRODUCT(D109:K109,$D$9:$K$9),"")</f>
        <v/>
      </c>
      <c r="M109" s="6">
        <f>SUMPRODUCT(D109:K109,$D$6:$K$6)</f>
        <v/>
      </c>
      <c r="N109" s="6">
        <f>SUMPRODUCT(D109:K109,$D$7:$K$7)</f>
        <v/>
      </c>
      <c r="O109" s="25">
        <f>SUMPRODUCT(D109:K109,$D$8:$K$8)</f>
        <v/>
      </c>
      <c r="P109" s="21">
        <f>M109/10^in_out_dp</f>
        <v/>
      </c>
      <c r="Q109" s="26">
        <f>N109/10^in_cost_dp</f>
        <v/>
      </c>
      <c r="R109" s="10">
        <f>IF(SUM(D109:K109)=0,1,0)</f>
        <v/>
      </c>
      <c r="S109" s="10">
        <f>SUMPRODUCT($C$12:$C$267*(($M$12:$M$267=M109)*($N$12:$N$267&lt;N109)+($M$12:$M$267&gt;M109)*($N$12:$N$267&lt;=N109)))</f>
        <v/>
      </c>
      <c r="T109" s="10">
        <f>IF(C109=0,0,IF(OR(R109=1,S109=0),1,0))</f>
        <v/>
      </c>
      <c r="U109" s="10">
        <f>IF(AND(T109=1,R109=0,M109&gt;0),1,0)</f>
        <v/>
      </c>
      <c r="V109" s="30">
        <f>IF(U109=1,MAX(N109/M109,SUMPRODUCT(MAX(((N109-$N$12:$N$267)*($U$12:$U$267*($M$12:$M$267&lt;M109)))/((M109-$M$12:$M$267)*($U$12:$U$267*($M$12:$M$267&lt;M109))+1-($U$12:$U$267*($M$12:$M$267&lt;M109)))-(1-($U$12:$U$267*($M$12:$M$267&lt;M109)))*1E+300))),0)</f>
        <v/>
      </c>
      <c r="W109" s="30">
        <f>IF(U109=1,SUMPRODUCT(MIN(((($N$12:$N$267-N109)*($U$12:$U$267*($M$12:$M$267&gt;M109)))/(($M$12:$M$267-M109)*($U$12:$U$267*($M$12:$M$267&gt;M109))+1-($U$12:$U$267*($M$12:$M$267&gt;M109)))+(1-($U$12:$U$267*($M$12:$M$267&gt;M109)))*1E+300))),0)</f>
        <v/>
      </c>
      <c r="X109" s="10">
        <f>IF(C109=0,0,IF(R109=1,1,IF(AND(U109=1,V109&lt;=W109),1,0)))</f>
        <v/>
      </c>
      <c r="Y109" s="10">
        <f>IF(X109=1,1+SUMPRODUCT($X$12:$X$267*(($M$12:$M$267&lt;M109)+($M$12:$M$267=M109)*($A$12:$A$267&lt;A109))),0)</f>
        <v/>
      </c>
      <c r="Z109" s="10">
        <f>IF(Y109&lt;=1,0,SUMPRODUCT(($Y$12:$Y$267=Y109-1)*$M$12:$M$267))</f>
        <v/>
      </c>
      <c r="AA109" s="10">
        <f>IF(Y109&lt;=1,0,SUMPRODUCT(($Y$12:$Y$267=Y109-1)*$N$12:$N$267))</f>
        <v/>
      </c>
      <c r="AB109" s="21">
        <f>IF(Y109=0,"",(M109-Z109)/10^in_out_dp)</f>
        <v/>
      </c>
      <c r="AC109" s="26">
        <f>IF(Y109=0,"",(N109-AA109)/10^in_cost_dp)</f>
        <v/>
      </c>
      <c r="AD109" s="26">
        <f>IF(Y109=0,"",IF(M109=Z109,0,AC109/AB109))</f>
        <v/>
      </c>
      <c r="AE109" s="26">
        <f>IF(AND(C109=1,M109&gt;0),Q109/P109,"n/a")</f>
        <v/>
      </c>
      <c r="AF109" s="15" t="n">
        <v>0</v>
      </c>
      <c r="AG109" s="6">
        <f>IF(AND(C109=1,AF109=1),1+SUMPRODUCT($C$12:$C$267*$AF$12:$AF$267*(($M$12:$M$267&lt;M109)+($M$12:$M$267=M109)*($N$12:$N$267&lt;N109)+($M$12:$M$267=M109)*($N$12:$N$267=N109)*($A$12:$A$267&lt;A109))),0)</f>
        <v/>
      </c>
    </row>
    <row r="110">
      <c r="A110" s="4" t="n">
        <v>99</v>
      </c>
      <c r="B110" s="4" t="inlineStr">
        <is>
          <t>17D2E + 17B + 3F</t>
        </is>
      </c>
      <c r="C110" s="10">
        <f>IF(SUMPRODUCT(D110:K110,1-$D$5:$K$5)=0,1,0)</f>
        <v/>
      </c>
      <c r="D110" s="4" t="n">
        <v>0</v>
      </c>
      <c r="E110" s="4" t="n">
        <v>1</v>
      </c>
      <c r="F110" s="4" t="n">
        <v>1</v>
      </c>
      <c r="G110" s="4" t="n">
        <v>0</v>
      </c>
      <c r="H110" s="4" t="n">
        <v>0</v>
      </c>
      <c r="I110" s="4" t="n">
        <v>0</v>
      </c>
      <c r="J110" s="4" t="n">
        <v>1</v>
      </c>
      <c r="K110" s="4" t="n">
        <v>0</v>
      </c>
      <c r="L110" s="6">
        <f>IF(C110=1,1+SUMPRODUCT(D110:K110,$D$9:$K$9),"")</f>
        <v/>
      </c>
      <c r="M110" s="6">
        <f>SUMPRODUCT(D110:K110,$D$6:$K$6)</f>
        <v/>
      </c>
      <c r="N110" s="6">
        <f>SUMPRODUCT(D110:K110,$D$7:$K$7)</f>
        <v/>
      </c>
      <c r="O110" s="25">
        <f>SUMPRODUCT(D110:K110,$D$8:$K$8)</f>
        <v/>
      </c>
      <c r="P110" s="21">
        <f>M110/10^in_out_dp</f>
        <v/>
      </c>
      <c r="Q110" s="26">
        <f>N110/10^in_cost_dp</f>
        <v/>
      </c>
      <c r="R110" s="10">
        <f>IF(SUM(D110:K110)=0,1,0)</f>
        <v/>
      </c>
      <c r="S110" s="10">
        <f>SUMPRODUCT($C$12:$C$267*(($M$12:$M$267=M110)*($N$12:$N$267&lt;N110)+($M$12:$M$267&gt;M110)*($N$12:$N$267&lt;=N110)))</f>
        <v/>
      </c>
      <c r="T110" s="10">
        <f>IF(C110=0,0,IF(OR(R110=1,S110=0),1,0))</f>
        <v/>
      </c>
      <c r="U110" s="10">
        <f>IF(AND(T110=1,R110=0,M110&gt;0),1,0)</f>
        <v/>
      </c>
      <c r="V110" s="30">
        <f>IF(U110=1,MAX(N110/M110,SUMPRODUCT(MAX(((N110-$N$12:$N$267)*($U$12:$U$267*($M$12:$M$267&lt;M110)))/((M110-$M$12:$M$267)*($U$12:$U$267*($M$12:$M$267&lt;M110))+1-($U$12:$U$267*($M$12:$M$267&lt;M110)))-(1-($U$12:$U$267*($M$12:$M$267&lt;M110)))*1E+300))),0)</f>
        <v/>
      </c>
      <c r="W110" s="30">
        <f>IF(U110=1,SUMPRODUCT(MIN(((($N$12:$N$267-N110)*($U$12:$U$267*($M$12:$M$267&gt;M110)))/(($M$12:$M$267-M110)*($U$12:$U$267*($M$12:$M$267&gt;M110))+1-($U$12:$U$267*($M$12:$M$267&gt;M110)))+(1-($U$12:$U$267*($M$12:$M$267&gt;M110)))*1E+300))),0)</f>
        <v/>
      </c>
      <c r="X110" s="10">
        <f>IF(C110=0,0,IF(R110=1,1,IF(AND(U110=1,V110&lt;=W110),1,0)))</f>
        <v/>
      </c>
      <c r="Y110" s="10">
        <f>IF(X110=1,1+SUMPRODUCT($X$12:$X$267*(($M$12:$M$267&lt;M110)+($M$12:$M$267=M110)*($A$12:$A$267&lt;A110))),0)</f>
        <v/>
      </c>
      <c r="Z110" s="10">
        <f>IF(Y110&lt;=1,0,SUMPRODUCT(($Y$12:$Y$267=Y110-1)*$M$12:$M$267))</f>
        <v/>
      </c>
      <c r="AA110" s="10">
        <f>IF(Y110&lt;=1,0,SUMPRODUCT(($Y$12:$Y$267=Y110-1)*$N$12:$N$267))</f>
        <v/>
      </c>
      <c r="AB110" s="21">
        <f>IF(Y110=0,"",(M110-Z110)/10^in_out_dp)</f>
        <v/>
      </c>
      <c r="AC110" s="26">
        <f>IF(Y110=0,"",(N110-AA110)/10^in_cost_dp)</f>
        <v/>
      </c>
      <c r="AD110" s="26">
        <f>IF(Y110=0,"",IF(M110=Z110,0,AC110/AB110))</f>
        <v/>
      </c>
      <c r="AE110" s="26">
        <f>IF(AND(C110=1,M110&gt;0),Q110/P110,"n/a")</f>
        <v/>
      </c>
      <c r="AF110" s="15" t="n">
        <v>0</v>
      </c>
      <c r="AG110" s="6">
        <f>IF(AND(C110=1,AF110=1),1+SUMPRODUCT($C$12:$C$267*$AF$12:$AF$267*(($M$12:$M$267&lt;M110)+($M$12:$M$267=M110)*($N$12:$N$267&lt;N110)+($M$12:$M$267=M110)*($N$12:$N$267=N110)*($A$12:$A$267&lt;A110))),0)</f>
        <v/>
      </c>
    </row>
    <row r="111">
      <c r="A111" s="4" t="n">
        <v>100</v>
      </c>
      <c r="B111" s="4" t="inlineStr">
        <is>
          <t>17D2E + 17B + 3F + 19A</t>
        </is>
      </c>
      <c r="C111" s="10">
        <f>IF(SUMPRODUCT(D111:K111,1-$D$5:$K$5)=0,1,0)</f>
        <v/>
      </c>
      <c r="D111" s="4" t="n">
        <v>0</v>
      </c>
      <c r="E111" s="4" t="n">
        <v>1</v>
      </c>
      <c r="F111" s="4" t="n">
        <v>1</v>
      </c>
      <c r="G111" s="4" t="n">
        <v>0</v>
      </c>
      <c r="H111" s="4" t="n">
        <v>0</v>
      </c>
      <c r="I111" s="4" t="n">
        <v>0</v>
      </c>
      <c r="J111" s="4" t="n">
        <v>1</v>
      </c>
      <c r="K111" s="4" t="n">
        <v>1</v>
      </c>
      <c r="L111" s="6">
        <f>IF(C111=1,1+SUMPRODUCT(D111:K111,$D$9:$K$9),"")</f>
        <v/>
      </c>
      <c r="M111" s="6">
        <f>SUMPRODUCT(D111:K111,$D$6:$K$6)</f>
        <v/>
      </c>
      <c r="N111" s="6">
        <f>SUMPRODUCT(D111:K111,$D$7:$K$7)</f>
        <v/>
      </c>
      <c r="O111" s="25">
        <f>SUMPRODUCT(D111:K111,$D$8:$K$8)</f>
        <v/>
      </c>
      <c r="P111" s="21">
        <f>M111/10^in_out_dp</f>
        <v/>
      </c>
      <c r="Q111" s="26">
        <f>N111/10^in_cost_dp</f>
        <v/>
      </c>
      <c r="R111" s="10">
        <f>IF(SUM(D111:K111)=0,1,0)</f>
        <v/>
      </c>
      <c r="S111" s="10">
        <f>SUMPRODUCT($C$12:$C$267*(($M$12:$M$267=M111)*($N$12:$N$267&lt;N111)+($M$12:$M$267&gt;M111)*($N$12:$N$267&lt;=N111)))</f>
        <v/>
      </c>
      <c r="T111" s="10">
        <f>IF(C111=0,0,IF(OR(R111=1,S111=0),1,0))</f>
        <v/>
      </c>
      <c r="U111" s="10">
        <f>IF(AND(T111=1,R111=0,M111&gt;0),1,0)</f>
        <v/>
      </c>
      <c r="V111" s="30">
        <f>IF(U111=1,MAX(N111/M111,SUMPRODUCT(MAX(((N111-$N$12:$N$267)*($U$12:$U$267*($M$12:$M$267&lt;M111)))/((M111-$M$12:$M$267)*($U$12:$U$267*($M$12:$M$267&lt;M111))+1-($U$12:$U$267*($M$12:$M$267&lt;M111)))-(1-($U$12:$U$267*($M$12:$M$267&lt;M111)))*1E+300))),0)</f>
        <v/>
      </c>
      <c r="W111" s="30">
        <f>IF(U111=1,SUMPRODUCT(MIN(((($N$12:$N$267-N111)*($U$12:$U$267*($M$12:$M$267&gt;M111)))/(($M$12:$M$267-M111)*($U$12:$U$267*($M$12:$M$267&gt;M111))+1-($U$12:$U$267*($M$12:$M$267&gt;M111)))+(1-($U$12:$U$267*($M$12:$M$267&gt;M111)))*1E+300))),0)</f>
        <v/>
      </c>
      <c r="X111" s="10">
        <f>IF(C111=0,0,IF(R111=1,1,IF(AND(U111=1,V111&lt;=W111),1,0)))</f>
        <v/>
      </c>
      <c r="Y111" s="10">
        <f>IF(X111=1,1+SUMPRODUCT($X$12:$X$267*(($M$12:$M$267&lt;M111)+($M$12:$M$267=M111)*($A$12:$A$267&lt;A111))),0)</f>
        <v/>
      </c>
      <c r="Z111" s="10">
        <f>IF(Y111&lt;=1,0,SUMPRODUCT(($Y$12:$Y$267=Y111-1)*$M$12:$M$267))</f>
        <v/>
      </c>
      <c r="AA111" s="10">
        <f>IF(Y111&lt;=1,0,SUMPRODUCT(($Y$12:$Y$267=Y111-1)*$N$12:$N$267))</f>
        <v/>
      </c>
      <c r="AB111" s="21">
        <f>IF(Y111=0,"",(M111-Z111)/10^in_out_dp)</f>
        <v/>
      </c>
      <c r="AC111" s="26">
        <f>IF(Y111=0,"",(N111-AA111)/10^in_cost_dp)</f>
        <v/>
      </c>
      <c r="AD111" s="26">
        <f>IF(Y111=0,"",IF(M111=Z111,0,AC111/AB111))</f>
        <v/>
      </c>
      <c r="AE111" s="26">
        <f>IF(AND(C111=1,M111&gt;0),Q111/P111,"n/a")</f>
        <v/>
      </c>
      <c r="AF111" s="15" t="n">
        <v>0</v>
      </c>
      <c r="AG111" s="6">
        <f>IF(AND(C111=1,AF111=1),1+SUMPRODUCT($C$12:$C$267*$AF$12:$AF$267*(($M$12:$M$267&lt;M111)+($M$12:$M$267=M111)*($N$12:$N$267&lt;N111)+($M$12:$M$267=M111)*($N$12:$N$267=N111)*($A$12:$A$267&lt;A111))),0)</f>
        <v/>
      </c>
    </row>
    <row r="112">
      <c r="A112" s="4" t="n">
        <v>101</v>
      </c>
      <c r="B112" s="4" t="inlineStr">
        <is>
          <t>17D2E + 17B + 3E</t>
        </is>
      </c>
      <c r="C112" s="10">
        <f>IF(SUMPRODUCT(D112:K112,1-$D$5:$K$5)=0,1,0)</f>
        <v/>
      </c>
      <c r="D112" s="4" t="n">
        <v>0</v>
      </c>
      <c r="E112" s="4" t="n">
        <v>1</v>
      </c>
      <c r="F112" s="4" t="n">
        <v>1</v>
      </c>
      <c r="G112" s="4" t="n">
        <v>0</v>
      </c>
      <c r="H112" s="4" t="n">
        <v>0</v>
      </c>
      <c r="I112" s="4" t="n">
        <v>1</v>
      </c>
      <c r="J112" s="4" t="n">
        <v>0</v>
      </c>
      <c r="K112" s="4" t="n">
        <v>0</v>
      </c>
      <c r="L112" s="6">
        <f>IF(C112=1,1+SUMPRODUCT(D112:K112,$D$9:$K$9),"")</f>
        <v/>
      </c>
      <c r="M112" s="6">
        <f>SUMPRODUCT(D112:K112,$D$6:$K$6)</f>
        <v/>
      </c>
      <c r="N112" s="6">
        <f>SUMPRODUCT(D112:K112,$D$7:$K$7)</f>
        <v/>
      </c>
      <c r="O112" s="25">
        <f>SUMPRODUCT(D112:K112,$D$8:$K$8)</f>
        <v/>
      </c>
      <c r="P112" s="21">
        <f>M112/10^in_out_dp</f>
        <v/>
      </c>
      <c r="Q112" s="26">
        <f>N112/10^in_cost_dp</f>
        <v/>
      </c>
      <c r="R112" s="10">
        <f>IF(SUM(D112:K112)=0,1,0)</f>
        <v/>
      </c>
      <c r="S112" s="10">
        <f>SUMPRODUCT($C$12:$C$267*(($M$12:$M$267=M112)*($N$12:$N$267&lt;N112)+($M$12:$M$267&gt;M112)*($N$12:$N$267&lt;=N112)))</f>
        <v/>
      </c>
      <c r="T112" s="10">
        <f>IF(C112=0,0,IF(OR(R112=1,S112=0),1,0))</f>
        <v/>
      </c>
      <c r="U112" s="10">
        <f>IF(AND(T112=1,R112=0,M112&gt;0),1,0)</f>
        <v/>
      </c>
      <c r="V112" s="30">
        <f>IF(U112=1,MAX(N112/M112,SUMPRODUCT(MAX(((N112-$N$12:$N$267)*($U$12:$U$267*($M$12:$M$267&lt;M112)))/((M112-$M$12:$M$267)*($U$12:$U$267*($M$12:$M$267&lt;M112))+1-($U$12:$U$267*($M$12:$M$267&lt;M112)))-(1-($U$12:$U$267*($M$12:$M$267&lt;M112)))*1E+300))),0)</f>
        <v/>
      </c>
      <c r="W112" s="30">
        <f>IF(U112=1,SUMPRODUCT(MIN(((($N$12:$N$267-N112)*($U$12:$U$267*($M$12:$M$267&gt;M112)))/(($M$12:$M$267-M112)*($U$12:$U$267*($M$12:$M$267&gt;M112))+1-($U$12:$U$267*($M$12:$M$267&gt;M112)))+(1-($U$12:$U$267*($M$12:$M$267&gt;M112)))*1E+300))),0)</f>
        <v/>
      </c>
      <c r="X112" s="10">
        <f>IF(C112=0,0,IF(R112=1,1,IF(AND(U112=1,V112&lt;=W112),1,0)))</f>
        <v/>
      </c>
      <c r="Y112" s="10">
        <f>IF(X112=1,1+SUMPRODUCT($X$12:$X$267*(($M$12:$M$267&lt;M112)+($M$12:$M$267=M112)*($A$12:$A$267&lt;A112))),0)</f>
        <v/>
      </c>
      <c r="Z112" s="10">
        <f>IF(Y112&lt;=1,0,SUMPRODUCT(($Y$12:$Y$267=Y112-1)*$M$12:$M$267))</f>
        <v/>
      </c>
      <c r="AA112" s="10">
        <f>IF(Y112&lt;=1,0,SUMPRODUCT(($Y$12:$Y$267=Y112-1)*$N$12:$N$267))</f>
        <v/>
      </c>
      <c r="AB112" s="21">
        <f>IF(Y112=0,"",(M112-Z112)/10^in_out_dp)</f>
        <v/>
      </c>
      <c r="AC112" s="26">
        <f>IF(Y112=0,"",(N112-AA112)/10^in_cost_dp)</f>
        <v/>
      </c>
      <c r="AD112" s="26">
        <f>IF(Y112=0,"",IF(M112=Z112,0,AC112/AB112))</f>
        <v/>
      </c>
      <c r="AE112" s="26">
        <f>IF(AND(C112=1,M112&gt;0),Q112/P112,"n/a")</f>
        <v/>
      </c>
      <c r="AF112" s="15" t="n">
        <v>0</v>
      </c>
      <c r="AG112" s="6">
        <f>IF(AND(C112=1,AF112=1),1+SUMPRODUCT($C$12:$C$267*$AF$12:$AF$267*(($M$12:$M$267&lt;M112)+($M$12:$M$267=M112)*($N$12:$N$267&lt;N112)+($M$12:$M$267=M112)*($N$12:$N$267=N112)*($A$12:$A$267&lt;A112))),0)</f>
        <v/>
      </c>
    </row>
    <row r="113">
      <c r="A113" s="4" t="n">
        <v>102</v>
      </c>
      <c r="B113" s="4" t="inlineStr">
        <is>
          <t>17D2E + 17B + 3E + 19A</t>
        </is>
      </c>
      <c r="C113" s="10">
        <f>IF(SUMPRODUCT(D113:K113,1-$D$5:$K$5)=0,1,0)</f>
        <v/>
      </c>
      <c r="D113" s="4" t="n">
        <v>0</v>
      </c>
      <c r="E113" s="4" t="n">
        <v>1</v>
      </c>
      <c r="F113" s="4" t="n">
        <v>1</v>
      </c>
      <c r="G113" s="4" t="n">
        <v>0</v>
      </c>
      <c r="H113" s="4" t="n">
        <v>0</v>
      </c>
      <c r="I113" s="4" t="n">
        <v>1</v>
      </c>
      <c r="J113" s="4" t="n">
        <v>0</v>
      </c>
      <c r="K113" s="4" t="n">
        <v>1</v>
      </c>
      <c r="L113" s="6">
        <f>IF(C113=1,1+SUMPRODUCT(D113:K113,$D$9:$K$9),"")</f>
        <v/>
      </c>
      <c r="M113" s="6">
        <f>SUMPRODUCT(D113:K113,$D$6:$K$6)</f>
        <v/>
      </c>
      <c r="N113" s="6">
        <f>SUMPRODUCT(D113:K113,$D$7:$K$7)</f>
        <v/>
      </c>
      <c r="O113" s="25">
        <f>SUMPRODUCT(D113:K113,$D$8:$K$8)</f>
        <v/>
      </c>
      <c r="P113" s="21">
        <f>M113/10^in_out_dp</f>
        <v/>
      </c>
      <c r="Q113" s="26">
        <f>N113/10^in_cost_dp</f>
        <v/>
      </c>
      <c r="R113" s="10">
        <f>IF(SUM(D113:K113)=0,1,0)</f>
        <v/>
      </c>
      <c r="S113" s="10">
        <f>SUMPRODUCT($C$12:$C$267*(($M$12:$M$267=M113)*($N$12:$N$267&lt;N113)+($M$12:$M$267&gt;M113)*($N$12:$N$267&lt;=N113)))</f>
        <v/>
      </c>
      <c r="T113" s="10">
        <f>IF(C113=0,0,IF(OR(R113=1,S113=0),1,0))</f>
        <v/>
      </c>
      <c r="U113" s="10">
        <f>IF(AND(T113=1,R113=0,M113&gt;0),1,0)</f>
        <v/>
      </c>
      <c r="V113" s="30">
        <f>IF(U113=1,MAX(N113/M113,SUMPRODUCT(MAX(((N113-$N$12:$N$267)*($U$12:$U$267*($M$12:$M$267&lt;M113)))/((M113-$M$12:$M$267)*($U$12:$U$267*($M$12:$M$267&lt;M113))+1-($U$12:$U$267*($M$12:$M$267&lt;M113)))-(1-($U$12:$U$267*($M$12:$M$267&lt;M113)))*1E+300))),0)</f>
        <v/>
      </c>
      <c r="W113" s="30">
        <f>IF(U113=1,SUMPRODUCT(MIN(((($N$12:$N$267-N113)*($U$12:$U$267*($M$12:$M$267&gt;M113)))/(($M$12:$M$267-M113)*($U$12:$U$267*($M$12:$M$267&gt;M113))+1-($U$12:$U$267*($M$12:$M$267&gt;M113)))+(1-($U$12:$U$267*($M$12:$M$267&gt;M113)))*1E+300))),0)</f>
        <v/>
      </c>
      <c r="X113" s="10">
        <f>IF(C113=0,0,IF(R113=1,1,IF(AND(U113=1,V113&lt;=W113),1,0)))</f>
        <v/>
      </c>
      <c r="Y113" s="10">
        <f>IF(X113=1,1+SUMPRODUCT($X$12:$X$267*(($M$12:$M$267&lt;M113)+($M$12:$M$267=M113)*($A$12:$A$267&lt;A113))),0)</f>
        <v/>
      </c>
      <c r="Z113" s="10">
        <f>IF(Y113&lt;=1,0,SUMPRODUCT(($Y$12:$Y$267=Y113-1)*$M$12:$M$267))</f>
        <v/>
      </c>
      <c r="AA113" s="10">
        <f>IF(Y113&lt;=1,0,SUMPRODUCT(($Y$12:$Y$267=Y113-1)*$N$12:$N$267))</f>
        <v/>
      </c>
      <c r="AB113" s="21">
        <f>IF(Y113=0,"",(M113-Z113)/10^in_out_dp)</f>
        <v/>
      </c>
      <c r="AC113" s="26">
        <f>IF(Y113=0,"",(N113-AA113)/10^in_cost_dp)</f>
        <v/>
      </c>
      <c r="AD113" s="26">
        <f>IF(Y113=0,"",IF(M113=Z113,0,AC113/AB113))</f>
        <v/>
      </c>
      <c r="AE113" s="26">
        <f>IF(AND(C113=1,M113&gt;0),Q113/P113,"n/a")</f>
        <v/>
      </c>
      <c r="AF113" s="15" t="n">
        <v>0</v>
      </c>
      <c r="AG113" s="6">
        <f>IF(AND(C113=1,AF113=1),1+SUMPRODUCT($C$12:$C$267*$AF$12:$AF$267*(($M$12:$M$267&lt;M113)+($M$12:$M$267=M113)*($N$12:$N$267&lt;N113)+($M$12:$M$267=M113)*($N$12:$N$267=N113)*($A$12:$A$267&lt;A113))),0)</f>
        <v/>
      </c>
    </row>
    <row r="114">
      <c r="A114" s="4" t="n">
        <v>103</v>
      </c>
      <c r="B114" s="4" t="inlineStr">
        <is>
          <t>17D2E + 17B + 3E + 3F</t>
        </is>
      </c>
      <c r="C114" s="10">
        <f>IF(SUMPRODUCT(D114:K114,1-$D$5:$K$5)=0,1,0)</f>
        <v/>
      </c>
      <c r="D114" s="4" t="n">
        <v>0</v>
      </c>
      <c r="E114" s="4" t="n">
        <v>1</v>
      </c>
      <c r="F114" s="4" t="n">
        <v>1</v>
      </c>
      <c r="G114" s="4" t="n">
        <v>0</v>
      </c>
      <c r="H114" s="4" t="n">
        <v>0</v>
      </c>
      <c r="I114" s="4" t="n">
        <v>1</v>
      </c>
      <c r="J114" s="4" t="n">
        <v>1</v>
      </c>
      <c r="K114" s="4" t="n">
        <v>0</v>
      </c>
      <c r="L114" s="6">
        <f>IF(C114=1,1+SUMPRODUCT(D114:K114,$D$9:$K$9),"")</f>
        <v/>
      </c>
      <c r="M114" s="6">
        <f>SUMPRODUCT(D114:K114,$D$6:$K$6)</f>
        <v/>
      </c>
      <c r="N114" s="6">
        <f>SUMPRODUCT(D114:K114,$D$7:$K$7)</f>
        <v/>
      </c>
      <c r="O114" s="25">
        <f>SUMPRODUCT(D114:K114,$D$8:$K$8)</f>
        <v/>
      </c>
      <c r="P114" s="21">
        <f>M114/10^in_out_dp</f>
        <v/>
      </c>
      <c r="Q114" s="26">
        <f>N114/10^in_cost_dp</f>
        <v/>
      </c>
      <c r="R114" s="10">
        <f>IF(SUM(D114:K114)=0,1,0)</f>
        <v/>
      </c>
      <c r="S114" s="10">
        <f>SUMPRODUCT($C$12:$C$267*(($M$12:$M$267=M114)*($N$12:$N$267&lt;N114)+($M$12:$M$267&gt;M114)*($N$12:$N$267&lt;=N114)))</f>
        <v/>
      </c>
      <c r="T114" s="10">
        <f>IF(C114=0,0,IF(OR(R114=1,S114=0),1,0))</f>
        <v/>
      </c>
      <c r="U114" s="10">
        <f>IF(AND(T114=1,R114=0,M114&gt;0),1,0)</f>
        <v/>
      </c>
      <c r="V114" s="30">
        <f>IF(U114=1,MAX(N114/M114,SUMPRODUCT(MAX(((N114-$N$12:$N$267)*($U$12:$U$267*($M$12:$M$267&lt;M114)))/((M114-$M$12:$M$267)*($U$12:$U$267*($M$12:$M$267&lt;M114))+1-($U$12:$U$267*($M$12:$M$267&lt;M114)))-(1-($U$12:$U$267*($M$12:$M$267&lt;M114)))*1E+300))),0)</f>
        <v/>
      </c>
      <c r="W114" s="30">
        <f>IF(U114=1,SUMPRODUCT(MIN(((($N$12:$N$267-N114)*($U$12:$U$267*($M$12:$M$267&gt;M114)))/(($M$12:$M$267-M114)*($U$12:$U$267*($M$12:$M$267&gt;M114))+1-($U$12:$U$267*($M$12:$M$267&gt;M114)))+(1-($U$12:$U$267*($M$12:$M$267&gt;M114)))*1E+300))),0)</f>
        <v/>
      </c>
      <c r="X114" s="10">
        <f>IF(C114=0,0,IF(R114=1,1,IF(AND(U114=1,V114&lt;=W114),1,0)))</f>
        <v/>
      </c>
      <c r="Y114" s="10">
        <f>IF(X114=1,1+SUMPRODUCT($X$12:$X$267*(($M$12:$M$267&lt;M114)+($M$12:$M$267=M114)*($A$12:$A$267&lt;A114))),0)</f>
        <v/>
      </c>
      <c r="Z114" s="10">
        <f>IF(Y114&lt;=1,0,SUMPRODUCT(($Y$12:$Y$267=Y114-1)*$M$12:$M$267))</f>
        <v/>
      </c>
      <c r="AA114" s="10">
        <f>IF(Y114&lt;=1,0,SUMPRODUCT(($Y$12:$Y$267=Y114-1)*$N$12:$N$267))</f>
        <v/>
      </c>
      <c r="AB114" s="21">
        <f>IF(Y114=0,"",(M114-Z114)/10^in_out_dp)</f>
        <v/>
      </c>
      <c r="AC114" s="26">
        <f>IF(Y114=0,"",(N114-AA114)/10^in_cost_dp)</f>
        <v/>
      </c>
      <c r="AD114" s="26">
        <f>IF(Y114=0,"",IF(M114=Z114,0,AC114/AB114))</f>
        <v/>
      </c>
      <c r="AE114" s="26">
        <f>IF(AND(C114=1,M114&gt;0),Q114/P114,"n/a")</f>
        <v/>
      </c>
      <c r="AF114" s="15" t="n">
        <v>0</v>
      </c>
      <c r="AG114" s="6">
        <f>IF(AND(C114=1,AF114=1),1+SUMPRODUCT($C$12:$C$267*$AF$12:$AF$267*(($M$12:$M$267&lt;M114)+($M$12:$M$267=M114)*($N$12:$N$267&lt;N114)+($M$12:$M$267=M114)*($N$12:$N$267=N114)*($A$12:$A$267&lt;A114))),0)</f>
        <v/>
      </c>
    </row>
    <row r="115">
      <c r="A115" s="4" t="n">
        <v>104</v>
      </c>
      <c r="B115" s="4" t="inlineStr">
        <is>
          <t>17D2E + 17B + 3E + 3F + 19A</t>
        </is>
      </c>
      <c r="C115" s="10">
        <f>IF(SUMPRODUCT(D115:K115,1-$D$5:$K$5)=0,1,0)</f>
        <v/>
      </c>
      <c r="D115" s="4" t="n">
        <v>0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1</v>
      </c>
      <c r="J115" s="4" t="n">
        <v>1</v>
      </c>
      <c r="K115" s="4" t="n">
        <v>1</v>
      </c>
      <c r="L115" s="6">
        <f>IF(C115=1,1+SUMPRODUCT(D115:K115,$D$9:$K$9),"")</f>
        <v/>
      </c>
      <c r="M115" s="6">
        <f>SUMPRODUCT(D115:K115,$D$6:$K$6)</f>
        <v/>
      </c>
      <c r="N115" s="6">
        <f>SUMPRODUCT(D115:K115,$D$7:$K$7)</f>
        <v/>
      </c>
      <c r="O115" s="25">
        <f>SUMPRODUCT(D115:K115,$D$8:$K$8)</f>
        <v/>
      </c>
      <c r="P115" s="21">
        <f>M115/10^in_out_dp</f>
        <v/>
      </c>
      <c r="Q115" s="26">
        <f>N115/10^in_cost_dp</f>
        <v/>
      </c>
      <c r="R115" s="10">
        <f>IF(SUM(D115:K115)=0,1,0)</f>
        <v/>
      </c>
      <c r="S115" s="10">
        <f>SUMPRODUCT($C$12:$C$267*(($M$12:$M$267=M115)*($N$12:$N$267&lt;N115)+($M$12:$M$267&gt;M115)*($N$12:$N$267&lt;=N115)))</f>
        <v/>
      </c>
      <c r="T115" s="10">
        <f>IF(C115=0,0,IF(OR(R115=1,S115=0),1,0))</f>
        <v/>
      </c>
      <c r="U115" s="10">
        <f>IF(AND(T115=1,R115=0,M115&gt;0),1,0)</f>
        <v/>
      </c>
      <c r="V115" s="30">
        <f>IF(U115=1,MAX(N115/M115,SUMPRODUCT(MAX(((N115-$N$12:$N$267)*($U$12:$U$267*($M$12:$M$267&lt;M115)))/((M115-$M$12:$M$267)*($U$12:$U$267*($M$12:$M$267&lt;M115))+1-($U$12:$U$267*($M$12:$M$267&lt;M115)))-(1-($U$12:$U$267*($M$12:$M$267&lt;M115)))*1E+300))),0)</f>
        <v/>
      </c>
      <c r="W115" s="30">
        <f>IF(U115=1,SUMPRODUCT(MIN(((($N$12:$N$267-N115)*($U$12:$U$267*($M$12:$M$267&gt;M115)))/(($M$12:$M$267-M115)*($U$12:$U$267*($M$12:$M$267&gt;M115))+1-($U$12:$U$267*($M$12:$M$267&gt;M115)))+(1-($U$12:$U$267*($M$12:$M$267&gt;M115)))*1E+300))),0)</f>
        <v/>
      </c>
      <c r="X115" s="10">
        <f>IF(C115=0,0,IF(R115=1,1,IF(AND(U115=1,V115&lt;=W115),1,0)))</f>
        <v/>
      </c>
      <c r="Y115" s="10">
        <f>IF(X115=1,1+SUMPRODUCT($X$12:$X$267*(($M$12:$M$267&lt;M115)+($M$12:$M$267=M115)*($A$12:$A$267&lt;A115))),0)</f>
        <v/>
      </c>
      <c r="Z115" s="10">
        <f>IF(Y115&lt;=1,0,SUMPRODUCT(($Y$12:$Y$267=Y115-1)*$M$12:$M$267))</f>
        <v/>
      </c>
      <c r="AA115" s="10">
        <f>IF(Y115&lt;=1,0,SUMPRODUCT(($Y$12:$Y$267=Y115-1)*$N$12:$N$267))</f>
        <v/>
      </c>
      <c r="AB115" s="21">
        <f>IF(Y115=0,"",(M115-Z115)/10^in_out_dp)</f>
        <v/>
      </c>
      <c r="AC115" s="26">
        <f>IF(Y115=0,"",(N115-AA115)/10^in_cost_dp)</f>
        <v/>
      </c>
      <c r="AD115" s="26">
        <f>IF(Y115=0,"",IF(M115=Z115,0,AC115/AB115))</f>
        <v/>
      </c>
      <c r="AE115" s="26">
        <f>IF(AND(C115=1,M115&gt;0),Q115/P115,"n/a")</f>
        <v/>
      </c>
      <c r="AF115" s="15" t="n">
        <v>0</v>
      </c>
      <c r="AG115" s="6">
        <f>IF(AND(C115=1,AF115=1),1+SUMPRODUCT($C$12:$C$267*$AF$12:$AF$267*(($M$12:$M$267&lt;M115)+($M$12:$M$267=M115)*($N$12:$N$267&lt;N115)+($M$12:$M$267=M115)*($N$12:$N$267=N115)*($A$12:$A$267&lt;A115))),0)</f>
        <v/>
      </c>
    </row>
    <row r="116">
      <c r="A116" s="4" t="n">
        <v>105</v>
      </c>
      <c r="B116" s="4" t="inlineStr">
        <is>
          <t>17D2E + 17B + 2B</t>
        </is>
      </c>
      <c r="C116" s="10">
        <f>IF(SUMPRODUCT(D116:K116,1-$D$5:$K$5)=0,1,0)</f>
        <v/>
      </c>
      <c r="D116" s="4" t="n">
        <v>0</v>
      </c>
      <c r="E116" s="4" t="n">
        <v>1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6">
        <f>IF(C116=1,1+SUMPRODUCT(D116:K116,$D$9:$K$9),"")</f>
        <v/>
      </c>
      <c r="M116" s="6">
        <f>SUMPRODUCT(D116:K116,$D$6:$K$6)</f>
        <v/>
      </c>
      <c r="N116" s="6">
        <f>SUMPRODUCT(D116:K116,$D$7:$K$7)</f>
        <v/>
      </c>
      <c r="O116" s="25">
        <f>SUMPRODUCT(D116:K116,$D$8:$K$8)</f>
        <v/>
      </c>
      <c r="P116" s="21">
        <f>M116/10^in_out_dp</f>
        <v/>
      </c>
      <c r="Q116" s="26">
        <f>N116/10^in_cost_dp</f>
        <v/>
      </c>
      <c r="R116" s="10">
        <f>IF(SUM(D116:K116)=0,1,0)</f>
        <v/>
      </c>
      <c r="S116" s="10">
        <f>SUMPRODUCT($C$12:$C$267*(($M$12:$M$267=M116)*($N$12:$N$267&lt;N116)+($M$12:$M$267&gt;M116)*($N$12:$N$267&lt;=N116)))</f>
        <v/>
      </c>
      <c r="T116" s="10">
        <f>IF(C116=0,0,IF(OR(R116=1,S116=0),1,0))</f>
        <v/>
      </c>
      <c r="U116" s="10">
        <f>IF(AND(T116=1,R116=0,M116&gt;0),1,0)</f>
        <v/>
      </c>
      <c r="V116" s="30">
        <f>IF(U116=1,MAX(N116/M116,SUMPRODUCT(MAX(((N116-$N$12:$N$267)*($U$12:$U$267*($M$12:$M$267&lt;M116)))/((M116-$M$12:$M$267)*($U$12:$U$267*($M$12:$M$267&lt;M116))+1-($U$12:$U$267*($M$12:$M$267&lt;M116)))-(1-($U$12:$U$267*($M$12:$M$267&lt;M116)))*1E+300))),0)</f>
        <v/>
      </c>
      <c r="W116" s="30">
        <f>IF(U116=1,SUMPRODUCT(MIN(((($N$12:$N$267-N116)*($U$12:$U$267*($M$12:$M$267&gt;M116)))/(($M$12:$M$267-M116)*($U$12:$U$267*($M$12:$M$267&gt;M116))+1-($U$12:$U$267*($M$12:$M$267&gt;M116)))+(1-($U$12:$U$267*($M$12:$M$267&gt;M116)))*1E+300))),0)</f>
        <v/>
      </c>
      <c r="X116" s="10">
        <f>IF(C116=0,0,IF(R116=1,1,IF(AND(U116=1,V116&lt;=W116),1,0)))</f>
        <v/>
      </c>
      <c r="Y116" s="10">
        <f>IF(X116=1,1+SUMPRODUCT($X$12:$X$267*(($M$12:$M$267&lt;M116)+($M$12:$M$267=M116)*($A$12:$A$267&lt;A116))),0)</f>
        <v/>
      </c>
      <c r="Z116" s="10">
        <f>IF(Y116&lt;=1,0,SUMPRODUCT(($Y$12:$Y$267=Y116-1)*$M$12:$M$267))</f>
        <v/>
      </c>
      <c r="AA116" s="10">
        <f>IF(Y116&lt;=1,0,SUMPRODUCT(($Y$12:$Y$267=Y116-1)*$N$12:$N$267))</f>
        <v/>
      </c>
      <c r="AB116" s="21">
        <f>IF(Y116=0,"",(M116-Z116)/10^in_out_dp)</f>
        <v/>
      </c>
      <c r="AC116" s="26">
        <f>IF(Y116=0,"",(N116-AA116)/10^in_cost_dp)</f>
        <v/>
      </c>
      <c r="AD116" s="26">
        <f>IF(Y116=0,"",IF(M116=Z116,0,AC116/AB116))</f>
        <v/>
      </c>
      <c r="AE116" s="26">
        <f>IF(AND(C116=1,M116&gt;0),Q116/P116,"n/a")</f>
        <v/>
      </c>
      <c r="AF116" s="15" t="n">
        <v>0</v>
      </c>
      <c r="AG116" s="6">
        <f>IF(AND(C116=1,AF116=1),1+SUMPRODUCT($C$12:$C$267*$AF$12:$AF$267*(($M$12:$M$267&lt;M116)+($M$12:$M$267=M116)*($N$12:$N$267&lt;N116)+($M$12:$M$267=M116)*($N$12:$N$267=N116)*($A$12:$A$267&lt;A116))),0)</f>
        <v/>
      </c>
    </row>
    <row r="117">
      <c r="A117" s="4" t="n">
        <v>106</v>
      </c>
      <c r="B117" s="4" t="inlineStr">
        <is>
          <t>17D2E + 17B + 2B + 19A</t>
        </is>
      </c>
      <c r="C117" s="10">
        <f>IF(SUMPRODUCT(D117:K117,1-$D$5:$K$5)=0,1,0)</f>
        <v/>
      </c>
      <c r="D117" s="4" t="n">
        <v>0</v>
      </c>
      <c r="E117" s="4" t="n">
        <v>1</v>
      </c>
      <c r="F117" s="4" t="n">
        <v>1</v>
      </c>
      <c r="G117" s="4" t="n">
        <v>0</v>
      </c>
      <c r="H117" s="4" t="n">
        <v>1</v>
      </c>
      <c r="I117" s="4" t="n">
        <v>0</v>
      </c>
      <c r="J117" s="4" t="n">
        <v>0</v>
      </c>
      <c r="K117" s="4" t="n">
        <v>1</v>
      </c>
      <c r="L117" s="6">
        <f>IF(C117=1,1+SUMPRODUCT(D117:K117,$D$9:$K$9),"")</f>
        <v/>
      </c>
      <c r="M117" s="6">
        <f>SUMPRODUCT(D117:K117,$D$6:$K$6)</f>
        <v/>
      </c>
      <c r="N117" s="6">
        <f>SUMPRODUCT(D117:K117,$D$7:$K$7)</f>
        <v/>
      </c>
      <c r="O117" s="25">
        <f>SUMPRODUCT(D117:K117,$D$8:$K$8)</f>
        <v/>
      </c>
      <c r="P117" s="21">
        <f>M117/10^in_out_dp</f>
        <v/>
      </c>
      <c r="Q117" s="26">
        <f>N117/10^in_cost_dp</f>
        <v/>
      </c>
      <c r="R117" s="10">
        <f>IF(SUM(D117:K117)=0,1,0)</f>
        <v/>
      </c>
      <c r="S117" s="10">
        <f>SUMPRODUCT($C$12:$C$267*(($M$12:$M$267=M117)*($N$12:$N$267&lt;N117)+($M$12:$M$267&gt;M117)*($N$12:$N$267&lt;=N117)))</f>
        <v/>
      </c>
      <c r="T117" s="10">
        <f>IF(C117=0,0,IF(OR(R117=1,S117=0),1,0))</f>
        <v/>
      </c>
      <c r="U117" s="10">
        <f>IF(AND(T117=1,R117=0,M117&gt;0),1,0)</f>
        <v/>
      </c>
      <c r="V117" s="30">
        <f>IF(U117=1,MAX(N117/M117,SUMPRODUCT(MAX(((N117-$N$12:$N$267)*($U$12:$U$267*($M$12:$M$267&lt;M117)))/((M117-$M$12:$M$267)*($U$12:$U$267*($M$12:$M$267&lt;M117))+1-($U$12:$U$267*($M$12:$M$267&lt;M117)))-(1-($U$12:$U$267*($M$12:$M$267&lt;M117)))*1E+300))),0)</f>
        <v/>
      </c>
      <c r="W117" s="30">
        <f>IF(U117=1,SUMPRODUCT(MIN(((($N$12:$N$267-N117)*($U$12:$U$267*($M$12:$M$267&gt;M117)))/(($M$12:$M$267-M117)*($U$12:$U$267*($M$12:$M$267&gt;M117))+1-($U$12:$U$267*($M$12:$M$267&gt;M117)))+(1-($U$12:$U$267*($M$12:$M$267&gt;M117)))*1E+300))),0)</f>
        <v/>
      </c>
      <c r="X117" s="10">
        <f>IF(C117=0,0,IF(R117=1,1,IF(AND(U117=1,V117&lt;=W117),1,0)))</f>
        <v/>
      </c>
      <c r="Y117" s="10">
        <f>IF(X117=1,1+SUMPRODUCT($X$12:$X$267*(($M$12:$M$267&lt;M117)+($M$12:$M$267=M117)*($A$12:$A$267&lt;A117))),0)</f>
        <v/>
      </c>
      <c r="Z117" s="10">
        <f>IF(Y117&lt;=1,0,SUMPRODUCT(($Y$12:$Y$267=Y117-1)*$M$12:$M$267))</f>
        <v/>
      </c>
      <c r="AA117" s="10">
        <f>IF(Y117&lt;=1,0,SUMPRODUCT(($Y$12:$Y$267=Y117-1)*$N$12:$N$267))</f>
        <v/>
      </c>
      <c r="AB117" s="21">
        <f>IF(Y117=0,"",(M117-Z117)/10^in_out_dp)</f>
        <v/>
      </c>
      <c r="AC117" s="26">
        <f>IF(Y117=0,"",(N117-AA117)/10^in_cost_dp)</f>
        <v/>
      </c>
      <c r="AD117" s="26">
        <f>IF(Y117=0,"",IF(M117=Z117,0,AC117/AB117))</f>
        <v/>
      </c>
      <c r="AE117" s="26">
        <f>IF(AND(C117=1,M117&gt;0),Q117/P117,"n/a")</f>
        <v/>
      </c>
      <c r="AF117" s="15" t="n">
        <v>0</v>
      </c>
      <c r="AG117" s="6">
        <f>IF(AND(C117=1,AF117=1),1+SUMPRODUCT($C$12:$C$267*$AF$12:$AF$267*(($M$12:$M$267&lt;M117)+($M$12:$M$267=M117)*($N$12:$N$267&lt;N117)+($M$12:$M$267=M117)*($N$12:$N$267=N117)*($A$12:$A$267&lt;A117))),0)</f>
        <v/>
      </c>
    </row>
    <row r="118">
      <c r="A118" s="4" t="n">
        <v>107</v>
      </c>
      <c r="B118" s="4" t="inlineStr">
        <is>
          <t>17D2E + 17B + 2B + 3F</t>
        </is>
      </c>
      <c r="C118" s="10">
        <f>IF(SUMPRODUCT(D118:K118,1-$D$5:$K$5)=0,1,0)</f>
        <v/>
      </c>
      <c r="D118" s="4" t="n">
        <v>0</v>
      </c>
      <c r="E118" s="4" t="n">
        <v>1</v>
      </c>
      <c r="F118" s="4" t="n">
        <v>1</v>
      </c>
      <c r="G118" s="4" t="n">
        <v>0</v>
      </c>
      <c r="H118" s="4" t="n">
        <v>1</v>
      </c>
      <c r="I118" s="4" t="n">
        <v>0</v>
      </c>
      <c r="J118" s="4" t="n">
        <v>1</v>
      </c>
      <c r="K118" s="4" t="n">
        <v>0</v>
      </c>
      <c r="L118" s="6">
        <f>IF(C118=1,1+SUMPRODUCT(D118:K118,$D$9:$K$9),"")</f>
        <v/>
      </c>
      <c r="M118" s="6">
        <f>SUMPRODUCT(D118:K118,$D$6:$K$6)</f>
        <v/>
      </c>
      <c r="N118" s="6">
        <f>SUMPRODUCT(D118:K118,$D$7:$K$7)</f>
        <v/>
      </c>
      <c r="O118" s="25">
        <f>SUMPRODUCT(D118:K118,$D$8:$K$8)</f>
        <v/>
      </c>
      <c r="P118" s="21">
        <f>M118/10^in_out_dp</f>
        <v/>
      </c>
      <c r="Q118" s="26">
        <f>N118/10^in_cost_dp</f>
        <v/>
      </c>
      <c r="R118" s="10">
        <f>IF(SUM(D118:K118)=0,1,0)</f>
        <v/>
      </c>
      <c r="S118" s="10">
        <f>SUMPRODUCT($C$12:$C$267*(($M$12:$M$267=M118)*($N$12:$N$267&lt;N118)+($M$12:$M$267&gt;M118)*($N$12:$N$267&lt;=N118)))</f>
        <v/>
      </c>
      <c r="T118" s="10">
        <f>IF(C118=0,0,IF(OR(R118=1,S118=0),1,0))</f>
        <v/>
      </c>
      <c r="U118" s="10">
        <f>IF(AND(T118=1,R118=0,M118&gt;0),1,0)</f>
        <v/>
      </c>
      <c r="V118" s="30">
        <f>IF(U118=1,MAX(N118/M118,SUMPRODUCT(MAX(((N118-$N$12:$N$267)*($U$12:$U$267*($M$12:$M$267&lt;M118)))/((M118-$M$12:$M$267)*($U$12:$U$267*($M$12:$M$267&lt;M118))+1-($U$12:$U$267*($M$12:$M$267&lt;M118)))-(1-($U$12:$U$267*($M$12:$M$267&lt;M118)))*1E+300))),0)</f>
        <v/>
      </c>
      <c r="W118" s="30">
        <f>IF(U118=1,SUMPRODUCT(MIN(((($N$12:$N$267-N118)*($U$12:$U$267*($M$12:$M$267&gt;M118)))/(($M$12:$M$267-M118)*($U$12:$U$267*($M$12:$M$267&gt;M118))+1-($U$12:$U$267*($M$12:$M$267&gt;M118)))+(1-($U$12:$U$267*($M$12:$M$267&gt;M118)))*1E+300))),0)</f>
        <v/>
      </c>
      <c r="X118" s="10">
        <f>IF(C118=0,0,IF(R118=1,1,IF(AND(U118=1,V118&lt;=W118),1,0)))</f>
        <v/>
      </c>
      <c r="Y118" s="10">
        <f>IF(X118=1,1+SUMPRODUCT($X$12:$X$267*(($M$12:$M$267&lt;M118)+($M$12:$M$267=M118)*($A$12:$A$267&lt;A118))),0)</f>
        <v/>
      </c>
      <c r="Z118" s="10">
        <f>IF(Y118&lt;=1,0,SUMPRODUCT(($Y$12:$Y$267=Y118-1)*$M$12:$M$267))</f>
        <v/>
      </c>
      <c r="AA118" s="10">
        <f>IF(Y118&lt;=1,0,SUMPRODUCT(($Y$12:$Y$267=Y118-1)*$N$12:$N$267))</f>
        <v/>
      </c>
      <c r="AB118" s="21">
        <f>IF(Y118=0,"",(M118-Z118)/10^in_out_dp)</f>
        <v/>
      </c>
      <c r="AC118" s="26">
        <f>IF(Y118=0,"",(N118-AA118)/10^in_cost_dp)</f>
        <v/>
      </c>
      <c r="AD118" s="26">
        <f>IF(Y118=0,"",IF(M118=Z118,0,AC118/AB118))</f>
        <v/>
      </c>
      <c r="AE118" s="26">
        <f>IF(AND(C118=1,M118&gt;0),Q118/P118,"n/a")</f>
        <v/>
      </c>
      <c r="AF118" s="15" t="n">
        <v>0</v>
      </c>
      <c r="AG118" s="6">
        <f>IF(AND(C118=1,AF118=1),1+SUMPRODUCT($C$12:$C$267*$AF$12:$AF$267*(($M$12:$M$267&lt;M118)+($M$12:$M$267=M118)*($N$12:$N$267&lt;N118)+($M$12:$M$267=M118)*($N$12:$N$267=N118)*($A$12:$A$267&lt;A118))),0)</f>
        <v/>
      </c>
    </row>
    <row r="119">
      <c r="A119" s="4" t="n">
        <v>108</v>
      </c>
      <c r="B119" s="4" t="inlineStr">
        <is>
          <t>17D2E + 17B + 2B + 3F + 19A</t>
        </is>
      </c>
      <c r="C119" s="10">
        <f>IF(SUMPRODUCT(D119:K119,1-$D$5:$K$5)=0,1,0)</f>
        <v/>
      </c>
      <c r="D119" s="4" t="n">
        <v>0</v>
      </c>
      <c r="E119" s="4" t="n">
        <v>1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1</v>
      </c>
      <c r="K119" s="4" t="n">
        <v>1</v>
      </c>
      <c r="L119" s="6">
        <f>IF(C119=1,1+SUMPRODUCT(D119:K119,$D$9:$K$9),"")</f>
        <v/>
      </c>
      <c r="M119" s="6">
        <f>SUMPRODUCT(D119:K119,$D$6:$K$6)</f>
        <v/>
      </c>
      <c r="N119" s="6">
        <f>SUMPRODUCT(D119:K119,$D$7:$K$7)</f>
        <v/>
      </c>
      <c r="O119" s="25">
        <f>SUMPRODUCT(D119:K119,$D$8:$K$8)</f>
        <v/>
      </c>
      <c r="P119" s="21">
        <f>M119/10^in_out_dp</f>
        <v/>
      </c>
      <c r="Q119" s="26">
        <f>N119/10^in_cost_dp</f>
        <v/>
      </c>
      <c r="R119" s="10">
        <f>IF(SUM(D119:K119)=0,1,0)</f>
        <v/>
      </c>
      <c r="S119" s="10">
        <f>SUMPRODUCT($C$12:$C$267*(($M$12:$M$267=M119)*($N$12:$N$267&lt;N119)+($M$12:$M$267&gt;M119)*($N$12:$N$267&lt;=N119)))</f>
        <v/>
      </c>
      <c r="T119" s="10">
        <f>IF(C119=0,0,IF(OR(R119=1,S119=0),1,0))</f>
        <v/>
      </c>
      <c r="U119" s="10">
        <f>IF(AND(T119=1,R119=0,M119&gt;0),1,0)</f>
        <v/>
      </c>
      <c r="V119" s="30">
        <f>IF(U119=1,MAX(N119/M119,SUMPRODUCT(MAX(((N119-$N$12:$N$267)*($U$12:$U$267*($M$12:$M$267&lt;M119)))/((M119-$M$12:$M$267)*($U$12:$U$267*($M$12:$M$267&lt;M119))+1-($U$12:$U$267*($M$12:$M$267&lt;M119)))-(1-($U$12:$U$267*($M$12:$M$267&lt;M119)))*1E+300))),0)</f>
        <v/>
      </c>
      <c r="W119" s="30">
        <f>IF(U119=1,SUMPRODUCT(MIN(((($N$12:$N$267-N119)*($U$12:$U$267*($M$12:$M$267&gt;M119)))/(($M$12:$M$267-M119)*($U$12:$U$267*($M$12:$M$267&gt;M119))+1-($U$12:$U$267*($M$12:$M$267&gt;M119)))+(1-($U$12:$U$267*($M$12:$M$267&gt;M119)))*1E+300))),0)</f>
        <v/>
      </c>
      <c r="X119" s="10">
        <f>IF(C119=0,0,IF(R119=1,1,IF(AND(U119=1,V119&lt;=W119),1,0)))</f>
        <v/>
      </c>
      <c r="Y119" s="10">
        <f>IF(X119=1,1+SUMPRODUCT($X$12:$X$267*(($M$12:$M$267&lt;M119)+($M$12:$M$267=M119)*($A$12:$A$267&lt;A119))),0)</f>
        <v/>
      </c>
      <c r="Z119" s="10">
        <f>IF(Y119&lt;=1,0,SUMPRODUCT(($Y$12:$Y$267=Y119-1)*$M$12:$M$267))</f>
        <v/>
      </c>
      <c r="AA119" s="10">
        <f>IF(Y119&lt;=1,0,SUMPRODUCT(($Y$12:$Y$267=Y119-1)*$N$12:$N$267))</f>
        <v/>
      </c>
      <c r="AB119" s="21">
        <f>IF(Y119=0,"",(M119-Z119)/10^in_out_dp)</f>
        <v/>
      </c>
      <c r="AC119" s="26">
        <f>IF(Y119=0,"",(N119-AA119)/10^in_cost_dp)</f>
        <v/>
      </c>
      <c r="AD119" s="26">
        <f>IF(Y119=0,"",IF(M119=Z119,0,AC119/AB119))</f>
        <v/>
      </c>
      <c r="AE119" s="26">
        <f>IF(AND(C119=1,M119&gt;0),Q119/P119,"n/a")</f>
        <v/>
      </c>
      <c r="AF119" s="15" t="n">
        <v>0</v>
      </c>
      <c r="AG119" s="6">
        <f>IF(AND(C119=1,AF119=1),1+SUMPRODUCT($C$12:$C$267*$AF$12:$AF$267*(($M$12:$M$267&lt;M119)+($M$12:$M$267=M119)*($N$12:$N$267&lt;N119)+($M$12:$M$267=M119)*($N$12:$N$267=N119)*($A$12:$A$267&lt;A119))),0)</f>
        <v/>
      </c>
    </row>
    <row r="120">
      <c r="A120" s="4" t="n">
        <v>109</v>
      </c>
      <c r="B120" s="4" t="inlineStr">
        <is>
          <t>17D2E + 17B + 2B + 3E</t>
        </is>
      </c>
      <c r="C120" s="10">
        <f>IF(SUMPRODUCT(D120:K120,1-$D$5:$K$5)=0,1,0)</f>
        <v/>
      </c>
      <c r="D120" s="4" t="n">
        <v>0</v>
      </c>
      <c r="E120" s="4" t="n">
        <v>1</v>
      </c>
      <c r="F120" s="4" t="n">
        <v>1</v>
      </c>
      <c r="G120" s="4" t="n">
        <v>0</v>
      </c>
      <c r="H120" s="4" t="n">
        <v>1</v>
      </c>
      <c r="I120" s="4" t="n">
        <v>1</v>
      </c>
      <c r="J120" s="4" t="n">
        <v>0</v>
      </c>
      <c r="K120" s="4" t="n">
        <v>0</v>
      </c>
      <c r="L120" s="6">
        <f>IF(C120=1,1+SUMPRODUCT(D120:K120,$D$9:$K$9),"")</f>
        <v/>
      </c>
      <c r="M120" s="6">
        <f>SUMPRODUCT(D120:K120,$D$6:$K$6)</f>
        <v/>
      </c>
      <c r="N120" s="6">
        <f>SUMPRODUCT(D120:K120,$D$7:$K$7)</f>
        <v/>
      </c>
      <c r="O120" s="25">
        <f>SUMPRODUCT(D120:K120,$D$8:$K$8)</f>
        <v/>
      </c>
      <c r="P120" s="21">
        <f>M120/10^in_out_dp</f>
        <v/>
      </c>
      <c r="Q120" s="26">
        <f>N120/10^in_cost_dp</f>
        <v/>
      </c>
      <c r="R120" s="10">
        <f>IF(SUM(D120:K120)=0,1,0)</f>
        <v/>
      </c>
      <c r="S120" s="10">
        <f>SUMPRODUCT($C$12:$C$267*(($M$12:$M$267=M120)*($N$12:$N$267&lt;N120)+($M$12:$M$267&gt;M120)*($N$12:$N$267&lt;=N120)))</f>
        <v/>
      </c>
      <c r="T120" s="10">
        <f>IF(C120=0,0,IF(OR(R120=1,S120=0),1,0))</f>
        <v/>
      </c>
      <c r="U120" s="10">
        <f>IF(AND(T120=1,R120=0,M120&gt;0),1,0)</f>
        <v/>
      </c>
      <c r="V120" s="30">
        <f>IF(U120=1,MAX(N120/M120,SUMPRODUCT(MAX(((N120-$N$12:$N$267)*($U$12:$U$267*($M$12:$M$267&lt;M120)))/((M120-$M$12:$M$267)*($U$12:$U$267*($M$12:$M$267&lt;M120))+1-($U$12:$U$267*($M$12:$M$267&lt;M120)))-(1-($U$12:$U$267*($M$12:$M$267&lt;M120)))*1E+300))),0)</f>
        <v/>
      </c>
      <c r="W120" s="30">
        <f>IF(U120=1,SUMPRODUCT(MIN(((($N$12:$N$267-N120)*($U$12:$U$267*($M$12:$M$267&gt;M120)))/(($M$12:$M$267-M120)*($U$12:$U$267*($M$12:$M$267&gt;M120))+1-($U$12:$U$267*($M$12:$M$267&gt;M120)))+(1-($U$12:$U$267*($M$12:$M$267&gt;M120)))*1E+300))),0)</f>
        <v/>
      </c>
      <c r="X120" s="10">
        <f>IF(C120=0,0,IF(R120=1,1,IF(AND(U120=1,V120&lt;=W120),1,0)))</f>
        <v/>
      </c>
      <c r="Y120" s="10">
        <f>IF(X120=1,1+SUMPRODUCT($X$12:$X$267*(($M$12:$M$267&lt;M120)+($M$12:$M$267=M120)*($A$12:$A$267&lt;A120))),0)</f>
        <v/>
      </c>
      <c r="Z120" s="10">
        <f>IF(Y120&lt;=1,0,SUMPRODUCT(($Y$12:$Y$267=Y120-1)*$M$12:$M$267))</f>
        <v/>
      </c>
      <c r="AA120" s="10">
        <f>IF(Y120&lt;=1,0,SUMPRODUCT(($Y$12:$Y$267=Y120-1)*$N$12:$N$267))</f>
        <v/>
      </c>
      <c r="AB120" s="21">
        <f>IF(Y120=0,"",(M120-Z120)/10^in_out_dp)</f>
        <v/>
      </c>
      <c r="AC120" s="26">
        <f>IF(Y120=0,"",(N120-AA120)/10^in_cost_dp)</f>
        <v/>
      </c>
      <c r="AD120" s="26">
        <f>IF(Y120=0,"",IF(M120=Z120,0,AC120/AB120))</f>
        <v/>
      </c>
      <c r="AE120" s="26">
        <f>IF(AND(C120=1,M120&gt;0),Q120/P120,"n/a")</f>
        <v/>
      </c>
      <c r="AF120" s="15" t="n">
        <v>0</v>
      </c>
      <c r="AG120" s="6">
        <f>IF(AND(C120=1,AF120=1),1+SUMPRODUCT($C$12:$C$267*$AF$12:$AF$267*(($M$12:$M$267&lt;M120)+($M$12:$M$267=M120)*($N$12:$N$267&lt;N120)+($M$12:$M$267=M120)*($N$12:$N$267=N120)*($A$12:$A$267&lt;A120))),0)</f>
        <v/>
      </c>
    </row>
    <row r="121">
      <c r="A121" s="4" t="n">
        <v>110</v>
      </c>
      <c r="B121" s="4" t="inlineStr">
        <is>
          <t>17D2E + 17B + 2B + 3E + 19A</t>
        </is>
      </c>
      <c r="C121" s="10">
        <f>IF(SUMPRODUCT(D121:K121,1-$D$5:$K$5)=0,1,0)</f>
        <v/>
      </c>
      <c r="D121" s="4" t="n">
        <v>0</v>
      </c>
      <c r="E121" s="4" t="n">
        <v>1</v>
      </c>
      <c r="F121" s="4" t="n">
        <v>1</v>
      </c>
      <c r="G121" s="4" t="n">
        <v>0</v>
      </c>
      <c r="H121" s="4" t="n">
        <v>1</v>
      </c>
      <c r="I121" s="4" t="n">
        <v>1</v>
      </c>
      <c r="J121" s="4" t="n">
        <v>0</v>
      </c>
      <c r="K121" s="4" t="n">
        <v>1</v>
      </c>
      <c r="L121" s="6">
        <f>IF(C121=1,1+SUMPRODUCT(D121:K121,$D$9:$K$9),"")</f>
        <v/>
      </c>
      <c r="M121" s="6">
        <f>SUMPRODUCT(D121:K121,$D$6:$K$6)</f>
        <v/>
      </c>
      <c r="N121" s="6">
        <f>SUMPRODUCT(D121:K121,$D$7:$K$7)</f>
        <v/>
      </c>
      <c r="O121" s="25">
        <f>SUMPRODUCT(D121:K121,$D$8:$K$8)</f>
        <v/>
      </c>
      <c r="P121" s="21">
        <f>M121/10^in_out_dp</f>
        <v/>
      </c>
      <c r="Q121" s="26">
        <f>N121/10^in_cost_dp</f>
        <v/>
      </c>
      <c r="R121" s="10">
        <f>IF(SUM(D121:K121)=0,1,0)</f>
        <v/>
      </c>
      <c r="S121" s="10">
        <f>SUMPRODUCT($C$12:$C$267*(($M$12:$M$267=M121)*($N$12:$N$267&lt;N121)+($M$12:$M$267&gt;M121)*($N$12:$N$267&lt;=N121)))</f>
        <v/>
      </c>
      <c r="T121" s="10">
        <f>IF(C121=0,0,IF(OR(R121=1,S121=0),1,0))</f>
        <v/>
      </c>
      <c r="U121" s="10">
        <f>IF(AND(T121=1,R121=0,M121&gt;0),1,0)</f>
        <v/>
      </c>
      <c r="V121" s="30">
        <f>IF(U121=1,MAX(N121/M121,SUMPRODUCT(MAX(((N121-$N$12:$N$267)*($U$12:$U$267*($M$12:$M$267&lt;M121)))/((M121-$M$12:$M$267)*($U$12:$U$267*($M$12:$M$267&lt;M121))+1-($U$12:$U$267*($M$12:$M$267&lt;M121)))-(1-($U$12:$U$267*($M$12:$M$267&lt;M121)))*1E+300))),0)</f>
        <v/>
      </c>
      <c r="W121" s="30">
        <f>IF(U121=1,SUMPRODUCT(MIN(((($N$12:$N$267-N121)*($U$12:$U$267*($M$12:$M$267&gt;M121)))/(($M$12:$M$267-M121)*($U$12:$U$267*($M$12:$M$267&gt;M121))+1-($U$12:$U$267*($M$12:$M$267&gt;M121)))+(1-($U$12:$U$267*($M$12:$M$267&gt;M121)))*1E+300))),0)</f>
        <v/>
      </c>
      <c r="X121" s="10">
        <f>IF(C121=0,0,IF(R121=1,1,IF(AND(U121=1,V121&lt;=W121),1,0)))</f>
        <v/>
      </c>
      <c r="Y121" s="10">
        <f>IF(X121=1,1+SUMPRODUCT($X$12:$X$267*(($M$12:$M$267&lt;M121)+($M$12:$M$267=M121)*($A$12:$A$267&lt;A121))),0)</f>
        <v/>
      </c>
      <c r="Z121" s="10">
        <f>IF(Y121&lt;=1,0,SUMPRODUCT(($Y$12:$Y$267=Y121-1)*$M$12:$M$267))</f>
        <v/>
      </c>
      <c r="AA121" s="10">
        <f>IF(Y121&lt;=1,0,SUMPRODUCT(($Y$12:$Y$267=Y121-1)*$N$12:$N$267))</f>
        <v/>
      </c>
      <c r="AB121" s="21">
        <f>IF(Y121=0,"",(M121-Z121)/10^in_out_dp)</f>
        <v/>
      </c>
      <c r="AC121" s="26">
        <f>IF(Y121=0,"",(N121-AA121)/10^in_cost_dp)</f>
        <v/>
      </c>
      <c r="AD121" s="26">
        <f>IF(Y121=0,"",IF(M121=Z121,0,AC121/AB121))</f>
        <v/>
      </c>
      <c r="AE121" s="26">
        <f>IF(AND(C121=1,M121&gt;0),Q121/P121,"n/a")</f>
        <v/>
      </c>
      <c r="AF121" s="15" t="n">
        <v>0</v>
      </c>
      <c r="AG121" s="6">
        <f>IF(AND(C121=1,AF121=1),1+SUMPRODUCT($C$12:$C$267*$AF$12:$AF$267*(($M$12:$M$267&lt;M121)+($M$12:$M$267=M121)*($N$12:$N$267&lt;N121)+($M$12:$M$267=M121)*($N$12:$N$267=N121)*($A$12:$A$267&lt;A121))),0)</f>
        <v/>
      </c>
    </row>
    <row r="122">
      <c r="A122" s="4" t="n">
        <v>111</v>
      </c>
      <c r="B122" s="4" t="inlineStr">
        <is>
          <t>17D2E + 17B + 2B + 3E + 3F</t>
        </is>
      </c>
      <c r="C122" s="10">
        <f>IF(SUMPRODUCT(D122:K122,1-$D$5:$K$5)=0,1,0)</f>
        <v/>
      </c>
      <c r="D122" s="4" t="n">
        <v>0</v>
      </c>
      <c r="E122" s="4" t="n">
        <v>1</v>
      </c>
      <c r="F122" s="4" t="n">
        <v>1</v>
      </c>
      <c r="G122" s="4" t="n">
        <v>0</v>
      </c>
      <c r="H122" s="4" t="n">
        <v>1</v>
      </c>
      <c r="I122" s="4" t="n">
        <v>1</v>
      </c>
      <c r="J122" s="4" t="n">
        <v>1</v>
      </c>
      <c r="K122" s="4" t="n">
        <v>0</v>
      </c>
      <c r="L122" s="6">
        <f>IF(C122=1,1+SUMPRODUCT(D122:K122,$D$9:$K$9),"")</f>
        <v/>
      </c>
      <c r="M122" s="6">
        <f>SUMPRODUCT(D122:K122,$D$6:$K$6)</f>
        <v/>
      </c>
      <c r="N122" s="6">
        <f>SUMPRODUCT(D122:K122,$D$7:$K$7)</f>
        <v/>
      </c>
      <c r="O122" s="25">
        <f>SUMPRODUCT(D122:K122,$D$8:$K$8)</f>
        <v/>
      </c>
      <c r="P122" s="21">
        <f>M122/10^in_out_dp</f>
        <v/>
      </c>
      <c r="Q122" s="26">
        <f>N122/10^in_cost_dp</f>
        <v/>
      </c>
      <c r="R122" s="10">
        <f>IF(SUM(D122:K122)=0,1,0)</f>
        <v/>
      </c>
      <c r="S122" s="10">
        <f>SUMPRODUCT($C$12:$C$267*(($M$12:$M$267=M122)*($N$12:$N$267&lt;N122)+($M$12:$M$267&gt;M122)*($N$12:$N$267&lt;=N122)))</f>
        <v/>
      </c>
      <c r="T122" s="10">
        <f>IF(C122=0,0,IF(OR(R122=1,S122=0),1,0))</f>
        <v/>
      </c>
      <c r="U122" s="10">
        <f>IF(AND(T122=1,R122=0,M122&gt;0),1,0)</f>
        <v/>
      </c>
      <c r="V122" s="30">
        <f>IF(U122=1,MAX(N122/M122,SUMPRODUCT(MAX(((N122-$N$12:$N$267)*($U$12:$U$267*($M$12:$M$267&lt;M122)))/((M122-$M$12:$M$267)*($U$12:$U$267*($M$12:$M$267&lt;M122))+1-($U$12:$U$267*($M$12:$M$267&lt;M122)))-(1-($U$12:$U$267*($M$12:$M$267&lt;M122)))*1E+300))),0)</f>
        <v/>
      </c>
      <c r="W122" s="30">
        <f>IF(U122=1,SUMPRODUCT(MIN(((($N$12:$N$267-N122)*($U$12:$U$267*($M$12:$M$267&gt;M122)))/(($M$12:$M$267-M122)*($U$12:$U$267*($M$12:$M$267&gt;M122))+1-($U$12:$U$267*($M$12:$M$267&gt;M122)))+(1-($U$12:$U$267*($M$12:$M$267&gt;M122)))*1E+300))),0)</f>
        <v/>
      </c>
      <c r="X122" s="10">
        <f>IF(C122=0,0,IF(R122=1,1,IF(AND(U122=1,V122&lt;=W122),1,0)))</f>
        <v/>
      </c>
      <c r="Y122" s="10">
        <f>IF(X122=1,1+SUMPRODUCT($X$12:$X$267*(($M$12:$M$267&lt;M122)+($M$12:$M$267=M122)*($A$12:$A$267&lt;A122))),0)</f>
        <v/>
      </c>
      <c r="Z122" s="10">
        <f>IF(Y122&lt;=1,0,SUMPRODUCT(($Y$12:$Y$267=Y122-1)*$M$12:$M$267))</f>
        <v/>
      </c>
      <c r="AA122" s="10">
        <f>IF(Y122&lt;=1,0,SUMPRODUCT(($Y$12:$Y$267=Y122-1)*$N$12:$N$267))</f>
        <v/>
      </c>
      <c r="AB122" s="21">
        <f>IF(Y122=0,"",(M122-Z122)/10^in_out_dp)</f>
        <v/>
      </c>
      <c r="AC122" s="26">
        <f>IF(Y122=0,"",(N122-AA122)/10^in_cost_dp)</f>
        <v/>
      </c>
      <c r="AD122" s="26">
        <f>IF(Y122=0,"",IF(M122=Z122,0,AC122/AB122))</f>
        <v/>
      </c>
      <c r="AE122" s="26">
        <f>IF(AND(C122=1,M122&gt;0),Q122/P122,"n/a")</f>
        <v/>
      </c>
      <c r="AF122" s="15" t="n">
        <v>0</v>
      </c>
      <c r="AG122" s="6">
        <f>IF(AND(C122=1,AF122=1),1+SUMPRODUCT($C$12:$C$267*$AF$12:$AF$267*(($M$12:$M$267&lt;M122)+($M$12:$M$267=M122)*($N$12:$N$267&lt;N122)+($M$12:$M$267=M122)*($N$12:$N$267=N122)*($A$12:$A$267&lt;A122))),0)</f>
        <v/>
      </c>
    </row>
    <row r="123">
      <c r="A123" s="4" t="n">
        <v>112</v>
      </c>
      <c r="B123" s="4" t="inlineStr">
        <is>
          <t>17D2E + 17B + 2B + 3E + 3F + 19A</t>
        </is>
      </c>
      <c r="C123" s="10">
        <f>IF(SUMPRODUCT(D123:K123,1-$D$5:$K$5)=0,1,0)</f>
        <v/>
      </c>
      <c r="D123" s="4" t="n">
        <v>0</v>
      </c>
      <c r="E123" s="4" t="n">
        <v>1</v>
      </c>
      <c r="F123" s="4" t="n">
        <v>1</v>
      </c>
      <c r="G123" s="4" t="n">
        <v>0</v>
      </c>
      <c r="H123" s="4" t="n">
        <v>1</v>
      </c>
      <c r="I123" s="4" t="n">
        <v>1</v>
      </c>
      <c r="J123" s="4" t="n">
        <v>1</v>
      </c>
      <c r="K123" s="4" t="n">
        <v>1</v>
      </c>
      <c r="L123" s="6">
        <f>IF(C123=1,1+SUMPRODUCT(D123:K123,$D$9:$K$9),"")</f>
        <v/>
      </c>
      <c r="M123" s="6">
        <f>SUMPRODUCT(D123:K123,$D$6:$K$6)</f>
        <v/>
      </c>
      <c r="N123" s="6">
        <f>SUMPRODUCT(D123:K123,$D$7:$K$7)</f>
        <v/>
      </c>
      <c r="O123" s="25">
        <f>SUMPRODUCT(D123:K123,$D$8:$K$8)</f>
        <v/>
      </c>
      <c r="P123" s="21">
        <f>M123/10^in_out_dp</f>
        <v/>
      </c>
      <c r="Q123" s="26">
        <f>N123/10^in_cost_dp</f>
        <v/>
      </c>
      <c r="R123" s="10">
        <f>IF(SUM(D123:K123)=0,1,0)</f>
        <v/>
      </c>
      <c r="S123" s="10">
        <f>SUMPRODUCT($C$12:$C$267*(($M$12:$M$267=M123)*($N$12:$N$267&lt;N123)+($M$12:$M$267&gt;M123)*($N$12:$N$267&lt;=N123)))</f>
        <v/>
      </c>
      <c r="T123" s="10">
        <f>IF(C123=0,0,IF(OR(R123=1,S123=0),1,0))</f>
        <v/>
      </c>
      <c r="U123" s="10">
        <f>IF(AND(T123=1,R123=0,M123&gt;0),1,0)</f>
        <v/>
      </c>
      <c r="V123" s="30">
        <f>IF(U123=1,MAX(N123/M123,SUMPRODUCT(MAX(((N123-$N$12:$N$267)*($U$12:$U$267*($M$12:$M$267&lt;M123)))/((M123-$M$12:$M$267)*($U$12:$U$267*($M$12:$M$267&lt;M123))+1-($U$12:$U$267*($M$12:$M$267&lt;M123)))-(1-($U$12:$U$267*($M$12:$M$267&lt;M123)))*1E+300))),0)</f>
        <v/>
      </c>
      <c r="W123" s="30">
        <f>IF(U123=1,SUMPRODUCT(MIN(((($N$12:$N$267-N123)*($U$12:$U$267*($M$12:$M$267&gt;M123)))/(($M$12:$M$267-M123)*($U$12:$U$267*($M$12:$M$267&gt;M123))+1-($U$12:$U$267*($M$12:$M$267&gt;M123)))+(1-($U$12:$U$267*($M$12:$M$267&gt;M123)))*1E+300))),0)</f>
        <v/>
      </c>
      <c r="X123" s="10">
        <f>IF(C123=0,0,IF(R123=1,1,IF(AND(U123=1,V123&lt;=W123),1,0)))</f>
        <v/>
      </c>
      <c r="Y123" s="10">
        <f>IF(X123=1,1+SUMPRODUCT($X$12:$X$267*(($M$12:$M$267&lt;M123)+($M$12:$M$267=M123)*($A$12:$A$267&lt;A123))),0)</f>
        <v/>
      </c>
      <c r="Z123" s="10">
        <f>IF(Y123&lt;=1,0,SUMPRODUCT(($Y$12:$Y$267=Y123-1)*$M$12:$M$267))</f>
        <v/>
      </c>
      <c r="AA123" s="10">
        <f>IF(Y123&lt;=1,0,SUMPRODUCT(($Y$12:$Y$267=Y123-1)*$N$12:$N$267))</f>
        <v/>
      </c>
      <c r="AB123" s="21">
        <f>IF(Y123=0,"",(M123-Z123)/10^in_out_dp)</f>
        <v/>
      </c>
      <c r="AC123" s="26">
        <f>IF(Y123=0,"",(N123-AA123)/10^in_cost_dp)</f>
        <v/>
      </c>
      <c r="AD123" s="26">
        <f>IF(Y123=0,"",IF(M123=Z123,0,AC123/AB123))</f>
        <v/>
      </c>
      <c r="AE123" s="26">
        <f>IF(AND(C123=1,M123&gt;0),Q123/P123,"n/a")</f>
        <v/>
      </c>
      <c r="AF123" s="15" t="n">
        <v>0</v>
      </c>
      <c r="AG123" s="6">
        <f>IF(AND(C123=1,AF123=1),1+SUMPRODUCT($C$12:$C$267*$AF$12:$AF$267*(($M$12:$M$267&lt;M123)+($M$12:$M$267=M123)*($N$12:$N$267&lt;N123)+($M$12:$M$267=M123)*($N$12:$N$267=N123)*($A$12:$A$267&lt;A123))),0)</f>
        <v/>
      </c>
    </row>
    <row r="124">
      <c r="A124" s="4" t="n">
        <v>113</v>
      </c>
      <c r="B124" s="4" t="inlineStr">
        <is>
          <t>17D2E + 17B + 2A</t>
        </is>
      </c>
      <c r="C124" s="10">
        <f>IF(SUMPRODUCT(D124:K124,1-$D$5:$K$5)=0,1,0)</f>
        <v/>
      </c>
      <c r="D124" s="4" t="n">
        <v>0</v>
      </c>
      <c r="E124" s="4" t="n">
        <v>1</v>
      </c>
      <c r="F124" s="4" t="n">
        <v>1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6">
        <f>IF(C124=1,1+SUMPRODUCT(D124:K124,$D$9:$K$9),"")</f>
        <v/>
      </c>
      <c r="M124" s="6">
        <f>SUMPRODUCT(D124:K124,$D$6:$K$6)</f>
        <v/>
      </c>
      <c r="N124" s="6">
        <f>SUMPRODUCT(D124:K124,$D$7:$K$7)</f>
        <v/>
      </c>
      <c r="O124" s="25">
        <f>SUMPRODUCT(D124:K124,$D$8:$K$8)</f>
        <v/>
      </c>
      <c r="P124" s="21">
        <f>M124/10^in_out_dp</f>
        <v/>
      </c>
      <c r="Q124" s="26">
        <f>N124/10^in_cost_dp</f>
        <v/>
      </c>
      <c r="R124" s="10">
        <f>IF(SUM(D124:K124)=0,1,0)</f>
        <v/>
      </c>
      <c r="S124" s="10">
        <f>SUMPRODUCT($C$12:$C$267*(($M$12:$M$267=M124)*($N$12:$N$267&lt;N124)+($M$12:$M$267&gt;M124)*($N$12:$N$267&lt;=N124)))</f>
        <v/>
      </c>
      <c r="T124" s="10">
        <f>IF(C124=0,0,IF(OR(R124=1,S124=0),1,0))</f>
        <v/>
      </c>
      <c r="U124" s="10">
        <f>IF(AND(T124=1,R124=0,M124&gt;0),1,0)</f>
        <v/>
      </c>
      <c r="V124" s="30">
        <f>IF(U124=1,MAX(N124/M124,SUMPRODUCT(MAX(((N124-$N$12:$N$267)*($U$12:$U$267*($M$12:$M$267&lt;M124)))/((M124-$M$12:$M$267)*($U$12:$U$267*($M$12:$M$267&lt;M124))+1-($U$12:$U$267*($M$12:$M$267&lt;M124)))-(1-($U$12:$U$267*($M$12:$M$267&lt;M124)))*1E+300))),0)</f>
        <v/>
      </c>
      <c r="W124" s="30">
        <f>IF(U124=1,SUMPRODUCT(MIN(((($N$12:$N$267-N124)*($U$12:$U$267*($M$12:$M$267&gt;M124)))/(($M$12:$M$267-M124)*($U$12:$U$267*($M$12:$M$267&gt;M124))+1-($U$12:$U$267*($M$12:$M$267&gt;M124)))+(1-($U$12:$U$267*($M$12:$M$267&gt;M124)))*1E+300))),0)</f>
        <v/>
      </c>
      <c r="X124" s="10">
        <f>IF(C124=0,0,IF(R124=1,1,IF(AND(U124=1,V124&lt;=W124),1,0)))</f>
        <v/>
      </c>
      <c r="Y124" s="10">
        <f>IF(X124=1,1+SUMPRODUCT($X$12:$X$267*(($M$12:$M$267&lt;M124)+($M$12:$M$267=M124)*($A$12:$A$267&lt;A124))),0)</f>
        <v/>
      </c>
      <c r="Z124" s="10">
        <f>IF(Y124&lt;=1,0,SUMPRODUCT(($Y$12:$Y$267=Y124-1)*$M$12:$M$267))</f>
        <v/>
      </c>
      <c r="AA124" s="10">
        <f>IF(Y124&lt;=1,0,SUMPRODUCT(($Y$12:$Y$267=Y124-1)*$N$12:$N$267))</f>
        <v/>
      </c>
      <c r="AB124" s="21">
        <f>IF(Y124=0,"",(M124-Z124)/10^in_out_dp)</f>
        <v/>
      </c>
      <c r="AC124" s="26">
        <f>IF(Y124=0,"",(N124-AA124)/10^in_cost_dp)</f>
        <v/>
      </c>
      <c r="AD124" s="26">
        <f>IF(Y124=0,"",IF(M124=Z124,0,AC124/AB124))</f>
        <v/>
      </c>
      <c r="AE124" s="26">
        <f>IF(AND(C124=1,M124&gt;0),Q124/P124,"n/a")</f>
        <v/>
      </c>
      <c r="AF124" s="15" t="n">
        <v>0</v>
      </c>
      <c r="AG124" s="6">
        <f>IF(AND(C124=1,AF124=1),1+SUMPRODUCT($C$12:$C$267*$AF$12:$AF$267*(($M$12:$M$267&lt;M124)+($M$12:$M$267=M124)*($N$12:$N$267&lt;N124)+($M$12:$M$267=M124)*($N$12:$N$267=N124)*($A$12:$A$267&lt;A124))),0)</f>
        <v/>
      </c>
    </row>
    <row r="125">
      <c r="A125" s="4" t="n">
        <v>114</v>
      </c>
      <c r="B125" s="4" t="inlineStr">
        <is>
          <t>17D2E + 17B + 2A + 19A</t>
        </is>
      </c>
      <c r="C125" s="10">
        <f>IF(SUMPRODUCT(D125:K125,1-$D$5:$K$5)=0,1,0)</f>
        <v/>
      </c>
      <c r="D125" s="4" t="n">
        <v>0</v>
      </c>
      <c r="E125" s="4" t="n">
        <v>1</v>
      </c>
      <c r="F125" s="4" t="n">
        <v>1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1</v>
      </c>
      <c r="L125" s="6">
        <f>IF(C125=1,1+SUMPRODUCT(D125:K125,$D$9:$K$9),"")</f>
        <v/>
      </c>
      <c r="M125" s="6">
        <f>SUMPRODUCT(D125:K125,$D$6:$K$6)</f>
        <v/>
      </c>
      <c r="N125" s="6">
        <f>SUMPRODUCT(D125:K125,$D$7:$K$7)</f>
        <v/>
      </c>
      <c r="O125" s="25">
        <f>SUMPRODUCT(D125:K125,$D$8:$K$8)</f>
        <v/>
      </c>
      <c r="P125" s="21">
        <f>M125/10^in_out_dp</f>
        <v/>
      </c>
      <c r="Q125" s="26">
        <f>N125/10^in_cost_dp</f>
        <v/>
      </c>
      <c r="R125" s="10">
        <f>IF(SUM(D125:K125)=0,1,0)</f>
        <v/>
      </c>
      <c r="S125" s="10">
        <f>SUMPRODUCT($C$12:$C$267*(($M$12:$M$267=M125)*($N$12:$N$267&lt;N125)+($M$12:$M$267&gt;M125)*($N$12:$N$267&lt;=N125)))</f>
        <v/>
      </c>
      <c r="T125" s="10">
        <f>IF(C125=0,0,IF(OR(R125=1,S125=0),1,0))</f>
        <v/>
      </c>
      <c r="U125" s="10">
        <f>IF(AND(T125=1,R125=0,M125&gt;0),1,0)</f>
        <v/>
      </c>
      <c r="V125" s="30">
        <f>IF(U125=1,MAX(N125/M125,SUMPRODUCT(MAX(((N125-$N$12:$N$267)*($U$12:$U$267*($M$12:$M$267&lt;M125)))/((M125-$M$12:$M$267)*($U$12:$U$267*($M$12:$M$267&lt;M125))+1-($U$12:$U$267*($M$12:$M$267&lt;M125)))-(1-($U$12:$U$267*($M$12:$M$267&lt;M125)))*1E+300))),0)</f>
        <v/>
      </c>
      <c r="W125" s="30">
        <f>IF(U125=1,SUMPRODUCT(MIN(((($N$12:$N$267-N125)*($U$12:$U$267*($M$12:$M$267&gt;M125)))/(($M$12:$M$267-M125)*($U$12:$U$267*($M$12:$M$267&gt;M125))+1-($U$12:$U$267*($M$12:$M$267&gt;M125)))+(1-($U$12:$U$267*($M$12:$M$267&gt;M125)))*1E+300))),0)</f>
        <v/>
      </c>
      <c r="X125" s="10">
        <f>IF(C125=0,0,IF(R125=1,1,IF(AND(U125=1,V125&lt;=W125),1,0)))</f>
        <v/>
      </c>
      <c r="Y125" s="10">
        <f>IF(X125=1,1+SUMPRODUCT($X$12:$X$267*(($M$12:$M$267&lt;M125)+($M$12:$M$267=M125)*($A$12:$A$267&lt;A125))),0)</f>
        <v/>
      </c>
      <c r="Z125" s="10">
        <f>IF(Y125&lt;=1,0,SUMPRODUCT(($Y$12:$Y$267=Y125-1)*$M$12:$M$267))</f>
        <v/>
      </c>
      <c r="AA125" s="10">
        <f>IF(Y125&lt;=1,0,SUMPRODUCT(($Y$12:$Y$267=Y125-1)*$N$12:$N$267))</f>
        <v/>
      </c>
      <c r="AB125" s="21">
        <f>IF(Y125=0,"",(M125-Z125)/10^in_out_dp)</f>
        <v/>
      </c>
      <c r="AC125" s="26">
        <f>IF(Y125=0,"",(N125-AA125)/10^in_cost_dp)</f>
        <v/>
      </c>
      <c r="AD125" s="26">
        <f>IF(Y125=0,"",IF(M125=Z125,0,AC125/AB125))</f>
        <v/>
      </c>
      <c r="AE125" s="26">
        <f>IF(AND(C125=1,M125&gt;0),Q125/P125,"n/a")</f>
        <v/>
      </c>
      <c r="AF125" s="15" t="n">
        <v>0</v>
      </c>
      <c r="AG125" s="6">
        <f>IF(AND(C125=1,AF125=1),1+SUMPRODUCT($C$12:$C$267*$AF$12:$AF$267*(($M$12:$M$267&lt;M125)+($M$12:$M$267=M125)*($N$12:$N$267&lt;N125)+($M$12:$M$267=M125)*($N$12:$N$267=N125)*($A$12:$A$267&lt;A125))),0)</f>
        <v/>
      </c>
    </row>
    <row r="126">
      <c r="A126" s="4" t="n">
        <v>115</v>
      </c>
      <c r="B126" s="4" t="inlineStr">
        <is>
          <t>17D2E + 17B + 2A + 3F</t>
        </is>
      </c>
      <c r="C126" s="10">
        <f>IF(SUMPRODUCT(D126:K126,1-$D$5:$K$5)=0,1,0)</f>
        <v/>
      </c>
      <c r="D126" s="4" t="n">
        <v>0</v>
      </c>
      <c r="E126" s="4" t="n">
        <v>1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1</v>
      </c>
      <c r="K126" s="4" t="n">
        <v>0</v>
      </c>
      <c r="L126" s="6">
        <f>IF(C126=1,1+SUMPRODUCT(D126:K126,$D$9:$K$9),"")</f>
        <v/>
      </c>
      <c r="M126" s="6">
        <f>SUMPRODUCT(D126:K126,$D$6:$K$6)</f>
        <v/>
      </c>
      <c r="N126" s="6">
        <f>SUMPRODUCT(D126:K126,$D$7:$K$7)</f>
        <v/>
      </c>
      <c r="O126" s="25">
        <f>SUMPRODUCT(D126:K126,$D$8:$K$8)</f>
        <v/>
      </c>
      <c r="P126" s="21">
        <f>M126/10^in_out_dp</f>
        <v/>
      </c>
      <c r="Q126" s="26">
        <f>N126/10^in_cost_dp</f>
        <v/>
      </c>
      <c r="R126" s="10">
        <f>IF(SUM(D126:K126)=0,1,0)</f>
        <v/>
      </c>
      <c r="S126" s="10">
        <f>SUMPRODUCT($C$12:$C$267*(($M$12:$M$267=M126)*($N$12:$N$267&lt;N126)+($M$12:$M$267&gt;M126)*($N$12:$N$267&lt;=N126)))</f>
        <v/>
      </c>
      <c r="T126" s="10">
        <f>IF(C126=0,0,IF(OR(R126=1,S126=0),1,0))</f>
        <v/>
      </c>
      <c r="U126" s="10">
        <f>IF(AND(T126=1,R126=0,M126&gt;0),1,0)</f>
        <v/>
      </c>
      <c r="V126" s="30">
        <f>IF(U126=1,MAX(N126/M126,SUMPRODUCT(MAX(((N126-$N$12:$N$267)*($U$12:$U$267*($M$12:$M$267&lt;M126)))/((M126-$M$12:$M$267)*($U$12:$U$267*($M$12:$M$267&lt;M126))+1-($U$12:$U$267*($M$12:$M$267&lt;M126)))-(1-($U$12:$U$267*($M$12:$M$267&lt;M126)))*1E+300))),0)</f>
        <v/>
      </c>
      <c r="W126" s="30">
        <f>IF(U126=1,SUMPRODUCT(MIN(((($N$12:$N$267-N126)*($U$12:$U$267*($M$12:$M$267&gt;M126)))/(($M$12:$M$267-M126)*($U$12:$U$267*($M$12:$M$267&gt;M126))+1-($U$12:$U$267*($M$12:$M$267&gt;M126)))+(1-($U$12:$U$267*($M$12:$M$267&gt;M126)))*1E+300))),0)</f>
        <v/>
      </c>
      <c r="X126" s="10">
        <f>IF(C126=0,0,IF(R126=1,1,IF(AND(U126=1,V126&lt;=W126),1,0)))</f>
        <v/>
      </c>
      <c r="Y126" s="10">
        <f>IF(X126=1,1+SUMPRODUCT($X$12:$X$267*(($M$12:$M$267&lt;M126)+($M$12:$M$267=M126)*($A$12:$A$267&lt;A126))),0)</f>
        <v/>
      </c>
      <c r="Z126" s="10">
        <f>IF(Y126&lt;=1,0,SUMPRODUCT(($Y$12:$Y$267=Y126-1)*$M$12:$M$267))</f>
        <v/>
      </c>
      <c r="AA126" s="10">
        <f>IF(Y126&lt;=1,0,SUMPRODUCT(($Y$12:$Y$267=Y126-1)*$N$12:$N$267))</f>
        <v/>
      </c>
      <c r="AB126" s="21">
        <f>IF(Y126=0,"",(M126-Z126)/10^in_out_dp)</f>
        <v/>
      </c>
      <c r="AC126" s="26">
        <f>IF(Y126=0,"",(N126-AA126)/10^in_cost_dp)</f>
        <v/>
      </c>
      <c r="AD126" s="26">
        <f>IF(Y126=0,"",IF(M126=Z126,0,AC126/AB126))</f>
        <v/>
      </c>
      <c r="AE126" s="26">
        <f>IF(AND(C126=1,M126&gt;0),Q126/P126,"n/a")</f>
        <v/>
      </c>
      <c r="AF126" s="15" t="n">
        <v>0</v>
      </c>
      <c r="AG126" s="6">
        <f>IF(AND(C126=1,AF126=1),1+SUMPRODUCT($C$12:$C$267*$AF$12:$AF$267*(($M$12:$M$267&lt;M126)+($M$12:$M$267=M126)*($N$12:$N$267&lt;N126)+($M$12:$M$267=M126)*($N$12:$N$267=N126)*($A$12:$A$267&lt;A126))),0)</f>
        <v/>
      </c>
    </row>
    <row r="127">
      <c r="A127" s="4" t="n">
        <v>116</v>
      </c>
      <c r="B127" s="4" t="inlineStr">
        <is>
          <t>17D2E + 17B + 2A + 3F + 19A</t>
        </is>
      </c>
      <c r="C127" s="10">
        <f>IF(SUMPRODUCT(D127:K127,1-$D$5:$K$5)=0,1,0)</f>
        <v/>
      </c>
      <c r="D127" s="4" t="n">
        <v>0</v>
      </c>
      <c r="E127" s="4" t="n">
        <v>1</v>
      </c>
      <c r="F127" s="4" t="n">
        <v>1</v>
      </c>
      <c r="G127" s="4" t="n">
        <v>1</v>
      </c>
      <c r="H127" s="4" t="n">
        <v>0</v>
      </c>
      <c r="I127" s="4" t="n">
        <v>0</v>
      </c>
      <c r="J127" s="4" t="n">
        <v>1</v>
      </c>
      <c r="K127" s="4" t="n">
        <v>1</v>
      </c>
      <c r="L127" s="6">
        <f>IF(C127=1,1+SUMPRODUCT(D127:K127,$D$9:$K$9),"")</f>
        <v/>
      </c>
      <c r="M127" s="6">
        <f>SUMPRODUCT(D127:K127,$D$6:$K$6)</f>
        <v/>
      </c>
      <c r="N127" s="6">
        <f>SUMPRODUCT(D127:K127,$D$7:$K$7)</f>
        <v/>
      </c>
      <c r="O127" s="25">
        <f>SUMPRODUCT(D127:K127,$D$8:$K$8)</f>
        <v/>
      </c>
      <c r="P127" s="21">
        <f>M127/10^in_out_dp</f>
        <v/>
      </c>
      <c r="Q127" s="26">
        <f>N127/10^in_cost_dp</f>
        <v/>
      </c>
      <c r="R127" s="10">
        <f>IF(SUM(D127:K127)=0,1,0)</f>
        <v/>
      </c>
      <c r="S127" s="10">
        <f>SUMPRODUCT($C$12:$C$267*(($M$12:$M$267=M127)*($N$12:$N$267&lt;N127)+($M$12:$M$267&gt;M127)*($N$12:$N$267&lt;=N127)))</f>
        <v/>
      </c>
      <c r="T127" s="10">
        <f>IF(C127=0,0,IF(OR(R127=1,S127=0),1,0))</f>
        <v/>
      </c>
      <c r="U127" s="10">
        <f>IF(AND(T127=1,R127=0,M127&gt;0),1,0)</f>
        <v/>
      </c>
      <c r="V127" s="30">
        <f>IF(U127=1,MAX(N127/M127,SUMPRODUCT(MAX(((N127-$N$12:$N$267)*($U$12:$U$267*($M$12:$M$267&lt;M127)))/((M127-$M$12:$M$267)*($U$12:$U$267*($M$12:$M$267&lt;M127))+1-($U$12:$U$267*($M$12:$M$267&lt;M127)))-(1-($U$12:$U$267*($M$12:$M$267&lt;M127)))*1E+300))),0)</f>
        <v/>
      </c>
      <c r="W127" s="30">
        <f>IF(U127=1,SUMPRODUCT(MIN(((($N$12:$N$267-N127)*($U$12:$U$267*($M$12:$M$267&gt;M127)))/(($M$12:$M$267-M127)*($U$12:$U$267*($M$12:$M$267&gt;M127))+1-($U$12:$U$267*($M$12:$M$267&gt;M127)))+(1-($U$12:$U$267*($M$12:$M$267&gt;M127)))*1E+300))),0)</f>
        <v/>
      </c>
      <c r="X127" s="10">
        <f>IF(C127=0,0,IF(R127=1,1,IF(AND(U127=1,V127&lt;=W127),1,0)))</f>
        <v/>
      </c>
      <c r="Y127" s="10">
        <f>IF(X127=1,1+SUMPRODUCT($X$12:$X$267*(($M$12:$M$267&lt;M127)+($M$12:$M$267=M127)*($A$12:$A$267&lt;A127))),0)</f>
        <v/>
      </c>
      <c r="Z127" s="10">
        <f>IF(Y127&lt;=1,0,SUMPRODUCT(($Y$12:$Y$267=Y127-1)*$M$12:$M$267))</f>
        <v/>
      </c>
      <c r="AA127" s="10">
        <f>IF(Y127&lt;=1,0,SUMPRODUCT(($Y$12:$Y$267=Y127-1)*$N$12:$N$267))</f>
        <v/>
      </c>
      <c r="AB127" s="21">
        <f>IF(Y127=0,"",(M127-Z127)/10^in_out_dp)</f>
        <v/>
      </c>
      <c r="AC127" s="26">
        <f>IF(Y127=0,"",(N127-AA127)/10^in_cost_dp)</f>
        <v/>
      </c>
      <c r="AD127" s="26">
        <f>IF(Y127=0,"",IF(M127=Z127,0,AC127/AB127))</f>
        <v/>
      </c>
      <c r="AE127" s="26">
        <f>IF(AND(C127=1,M127&gt;0),Q127/P127,"n/a")</f>
        <v/>
      </c>
      <c r="AF127" s="15" t="n">
        <v>0</v>
      </c>
      <c r="AG127" s="6">
        <f>IF(AND(C127=1,AF127=1),1+SUMPRODUCT($C$12:$C$267*$AF$12:$AF$267*(($M$12:$M$267&lt;M127)+($M$12:$M$267=M127)*($N$12:$N$267&lt;N127)+($M$12:$M$267=M127)*($N$12:$N$267=N127)*($A$12:$A$267&lt;A127))),0)</f>
        <v/>
      </c>
    </row>
    <row r="128">
      <c r="A128" s="4" t="n">
        <v>117</v>
      </c>
      <c r="B128" s="4" t="inlineStr">
        <is>
          <t>17D2E + 17B + 2A + 3E</t>
        </is>
      </c>
      <c r="C128" s="10">
        <f>IF(SUMPRODUCT(D128:K128,1-$D$5:$K$5)=0,1,0)</f>
        <v/>
      </c>
      <c r="D128" s="4" t="n">
        <v>0</v>
      </c>
      <c r="E128" s="4" t="n">
        <v>1</v>
      </c>
      <c r="F128" s="4" t="n">
        <v>1</v>
      </c>
      <c r="G128" s="4" t="n">
        <v>1</v>
      </c>
      <c r="H128" s="4" t="n">
        <v>0</v>
      </c>
      <c r="I128" s="4" t="n">
        <v>1</v>
      </c>
      <c r="J128" s="4" t="n">
        <v>0</v>
      </c>
      <c r="K128" s="4" t="n">
        <v>0</v>
      </c>
      <c r="L128" s="6">
        <f>IF(C128=1,1+SUMPRODUCT(D128:K128,$D$9:$K$9),"")</f>
        <v/>
      </c>
      <c r="M128" s="6">
        <f>SUMPRODUCT(D128:K128,$D$6:$K$6)</f>
        <v/>
      </c>
      <c r="N128" s="6">
        <f>SUMPRODUCT(D128:K128,$D$7:$K$7)</f>
        <v/>
      </c>
      <c r="O128" s="25">
        <f>SUMPRODUCT(D128:K128,$D$8:$K$8)</f>
        <v/>
      </c>
      <c r="P128" s="21">
        <f>M128/10^in_out_dp</f>
        <v/>
      </c>
      <c r="Q128" s="26">
        <f>N128/10^in_cost_dp</f>
        <v/>
      </c>
      <c r="R128" s="10">
        <f>IF(SUM(D128:K128)=0,1,0)</f>
        <v/>
      </c>
      <c r="S128" s="10">
        <f>SUMPRODUCT($C$12:$C$267*(($M$12:$M$267=M128)*($N$12:$N$267&lt;N128)+($M$12:$M$267&gt;M128)*($N$12:$N$267&lt;=N128)))</f>
        <v/>
      </c>
      <c r="T128" s="10">
        <f>IF(C128=0,0,IF(OR(R128=1,S128=0),1,0))</f>
        <v/>
      </c>
      <c r="U128" s="10">
        <f>IF(AND(T128=1,R128=0,M128&gt;0),1,0)</f>
        <v/>
      </c>
      <c r="V128" s="30">
        <f>IF(U128=1,MAX(N128/M128,SUMPRODUCT(MAX(((N128-$N$12:$N$267)*($U$12:$U$267*($M$12:$M$267&lt;M128)))/((M128-$M$12:$M$267)*($U$12:$U$267*($M$12:$M$267&lt;M128))+1-($U$12:$U$267*($M$12:$M$267&lt;M128)))-(1-($U$12:$U$267*($M$12:$M$267&lt;M128)))*1E+300))),0)</f>
        <v/>
      </c>
      <c r="W128" s="30">
        <f>IF(U128=1,SUMPRODUCT(MIN(((($N$12:$N$267-N128)*($U$12:$U$267*($M$12:$M$267&gt;M128)))/(($M$12:$M$267-M128)*($U$12:$U$267*($M$12:$M$267&gt;M128))+1-($U$12:$U$267*($M$12:$M$267&gt;M128)))+(1-($U$12:$U$267*($M$12:$M$267&gt;M128)))*1E+300))),0)</f>
        <v/>
      </c>
      <c r="X128" s="10">
        <f>IF(C128=0,0,IF(R128=1,1,IF(AND(U128=1,V128&lt;=W128),1,0)))</f>
        <v/>
      </c>
      <c r="Y128" s="10">
        <f>IF(X128=1,1+SUMPRODUCT($X$12:$X$267*(($M$12:$M$267&lt;M128)+($M$12:$M$267=M128)*($A$12:$A$267&lt;A128))),0)</f>
        <v/>
      </c>
      <c r="Z128" s="10">
        <f>IF(Y128&lt;=1,0,SUMPRODUCT(($Y$12:$Y$267=Y128-1)*$M$12:$M$267))</f>
        <v/>
      </c>
      <c r="AA128" s="10">
        <f>IF(Y128&lt;=1,0,SUMPRODUCT(($Y$12:$Y$267=Y128-1)*$N$12:$N$267))</f>
        <v/>
      </c>
      <c r="AB128" s="21">
        <f>IF(Y128=0,"",(M128-Z128)/10^in_out_dp)</f>
        <v/>
      </c>
      <c r="AC128" s="26">
        <f>IF(Y128=0,"",(N128-AA128)/10^in_cost_dp)</f>
        <v/>
      </c>
      <c r="AD128" s="26">
        <f>IF(Y128=0,"",IF(M128=Z128,0,AC128/AB128))</f>
        <v/>
      </c>
      <c r="AE128" s="26">
        <f>IF(AND(C128=1,M128&gt;0),Q128/P128,"n/a")</f>
        <v/>
      </c>
      <c r="AF128" s="15" t="n">
        <v>0</v>
      </c>
      <c r="AG128" s="6">
        <f>IF(AND(C128=1,AF128=1),1+SUMPRODUCT($C$12:$C$267*$AF$12:$AF$267*(($M$12:$M$267&lt;M128)+($M$12:$M$267=M128)*($N$12:$N$267&lt;N128)+($M$12:$M$267=M128)*($N$12:$N$267=N128)*($A$12:$A$267&lt;A128))),0)</f>
        <v/>
      </c>
    </row>
    <row r="129">
      <c r="A129" s="4" t="n">
        <v>118</v>
      </c>
      <c r="B129" s="4" t="inlineStr">
        <is>
          <t>17D2E + 17B + 2A + 3E + 19A</t>
        </is>
      </c>
      <c r="C129" s="10">
        <f>IF(SUMPRODUCT(D129:K129,1-$D$5:$K$5)=0,1,0)</f>
        <v/>
      </c>
      <c r="D129" s="4" t="n">
        <v>0</v>
      </c>
      <c r="E129" s="4" t="n">
        <v>1</v>
      </c>
      <c r="F129" s="4" t="n">
        <v>1</v>
      </c>
      <c r="G129" s="4" t="n">
        <v>1</v>
      </c>
      <c r="H129" s="4" t="n">
        <v>0</v>
      </c>
      <c r="I129" s="4" t="n">
        <v>1</v>
      </c>
      <c r="J129" s="4" t="n">
        <v>0</v>
      </c>
      <c r="K129" s="4" t="n">
        <v>1</v>
      </c>
      <c r="L129" s="6">
        <f>IF(C129=1,1+SUMPRODUCT(D129:K129,$D$9:$K$9),"")</f>
        <v/>
      </c>
      <c r="M129" s="6">
        <f>SUMPRODUCT(D129:K129,$D$6:$K$6)</f>
        <v/>
      </c>
      <c r="N129" s="6">
        <f>SUMPRODUCT(D129:K129,$D$7:$K$7)</f>
        <v/>
      </c>
      <c r="O129" s="25">
        <f>SUMPRODUCT(D129:K129,$D$8:$K$8)</f>
        <v/>
      </c>
      <c r="P129" s="21">
        <f>M129/10^in_out_dp</f>
        <v/>
      </c>
      <c r="Q129" s="26">
        <f>N129/10^in_cost_dp</f>
        <v/>
      </c>
      <c r="R129" s="10">
        <f>IF(SUM(D129:K129)=0,1,0)</f>
        <v/>
      </c>
      <c r="S129" s="10">
        <f>SUMPRODUCT($C$12:$C$267*(($M$12:$M$267=M129)*($N$12:$N$267&lt;N129)+($M$12:$M$267&gt;M129)*($N$12:$N$267&lt;=N129)))</f>
        <v/>
      </c>
      <c r="T129" s="10">
        <f>IF(C129=0,0,IF(OR(R129=1,S129=0),1,0))</f>
        <v/>
      </c>
      <c r="U129" s="10">
        <f>IF(AND(T129=1,R129=0,M129&gt;0),1,0)</f>
        <v/>
      </c>
      <c r="V129" s="30">
        <f>IF(U129=1,MAX(N129/M129,SUMPRODUCT(MAX(((N129-$N$12:$N$267)*($U$12:$U$267*($M$12:$M$267&lt;M129)))/((M129-$M$12:$M$267)*($U$12:$U$267*($M$12:$M$267&lt;M129))+1-($U$12:$U$267*($M$12:$M$267&lt;M129)))-(1-($U$12:$U$267*($M$12:$M$267&lt;M129)))*1E+300))),0)</f>
        <v/>
      </c>
      <c r="W129" s="30">
        <f>IF(U129=1,SUMPRODUCT(MIN(((($N$12:$N$267-N129)*($U$12:$U$267*($M$12:$M$267&gt;M129)))/(($M$12:$M$267-M129)*($U$12:$U$267*($M$12:$M$267&gt;M129))+1-($U$12:$U$267*($M$12:$M$267&gt;M129)))+(1-($U$12:$U$267*($M$12:$M$267&gt;M129)))*1E+300))),0)</f>
        <v/>
      </c>
      <c r="X129" s="10">
        <f>IF(C129=0,0,IF(R129=1,1,IF(AND(U129=1,V129&lt;=W129),1,0)))</f>
        <v/>
      </c>
      <c r="Y129" s="10">
        <f>IF(X129=1,1+SUMPRODUCT($X$12:$X$267*(($M$12:$M$267&lt;M129)+($M$12:$M$267=M129)*($A$12:$A$267&lt;A129))),0)</f>
        <v/>
      </c>
      <c r="Z129" s="10">
        <f>IF(Y129&lt;=1,0,SUMPRODUCT(($Y$12:$Y$267=Y129-1)*$M$12:$M$267))</f>
        <v/>
      </c>
      <c r="AA129" s="10">
        <f>IF(Y129&lt;=1,0,SUMPRODUCT(($Y$12:$Y$267=Y129-1)*$N$12:$N$267))</f>
        <v/>
      </c>
      <c r="AB129" s="21">
        <f>IF(Y129=0,"",(M129-Z129)/10^in_out_dp)</f>
        <v/>
      </c>
      <c r="AC129" s="26">
        <f>IF(Y129=0,"",(N129-AA129)/10^in_cost_dp)</f>
        <v/>
      </c>
      <c r="AD129" s="26">
        <f>IF(Y129=0,"",IF(M129=Z129,0,AC129/AB129))</f>
        <v/>
      </c>
      <c r="AE129" s="26">
        <f>IF(AND(C129=1,M129&gt;0),Q129/P129,"n/a")</f>
        <v/>
      </c>
      <c r="AF129" s="15" t="n">
        <v>0</v>
      </c>
      <c r="AG129" s="6">
        <f>IF(AND(C129=1,AF129=1),1+SUMPRODUCT($C$12:$C$267*$AF$12:$AF$267*(($M$12:$M$267&lt;M129)+($M$12:$M$267=M129)*($N$12:$N$267&lt;N129)+($M$12:$M$267=M129)*($N$12:$N$267=N129)*($A$12:$A$267&lt;A129))),0)</f>
        <v/>
      </c>
    </row>
    <row r="130">
      <c r="A130" s="4" t="n">
        <v>119</v>
      </c>
      <c r="B130" s="4" t="inlineStr">
        <is>
          <t>17D2E + 17B + 2A + 3E + 3F</t>
        </is>
      </c>
      <c r="C130" s="10">
        <f>IF(SUMPRODUCT(D130:K130,1-$D$5:$K$5)=0,1,0)</f>
        <v/>
      </c>
      <c r="D130" s="4" t="n">
        <v>0</v>
      </c>
      <c r="E130" s="4" t="n">
        <v>1</v>
      </c>
      <c r="F130" s="4" t="n">
        <v>1</v>
      </c>
      <c r="G130" s="4" t="n">
        <v>1</v>
      </c>
      <c r="H130" s="4" t="n">
        <v>0</v>
      </c>
      <c r="I130" s="4" t="n">
        <v>1</v>
      </c>
      <c r="J130" s="4" t="n">
        <v>1</v>
      </c>
      <c r="K130" s="4" t="n">
        <v>0</v>
      </c>
      <c r="L130" s="6">
        <f>IF(C130=1,1+SUMPRODUCT(D130:K130,$D$9:$K$9),"")</f>
        <v/>
      </c>
      <c r="M130" s="6">
        <f>SUMPRODUCT(D130:K130,$D$6:$K$6)</f>
        <v/>
      </c>
      <c r="N130" s="6">
        <f>SUMPRODUCT(D130:K130,$D$7:$K$7)</f>
        <v/>
      </c>
      <c r="O130" s="25">
        <f>SUMPRODUCT(D130:K130,$D$8:$K$8)</f>
        <v/>
      </c>
      <c r="P130" s="21">
        <f>M130/10^in_out_dp</f>
        <v/>
      </c>
      <c r="Q130" s="26">
        <f>N130/10^in_cost_dp</f>
        <v/>
      </c>
      <c r="R130" s="10">
        <f>IF(SUM(D130:K130)=0,1,0)</f>
        <v/>
      </c>
      <c r="S130" s="10">
        <f>SUMPRODUCT($C$12:$C$267*(($M$12:$M$267=M130)*($N$12:$N$267&lt;N130)+($M$12:$M$267&gt;M130)*($N$12:$N$267&lt;=N130)))</f>
        <v/>
      </c>
      <c r="T130" s="10">
        <f>IF(C130=0,0,IF(OR(R130=1,S130=0),1,0))</f>
        <v/>
      </c>
      <c r="U130" s="10">
        <f>IF(AND(T130=1,R130=0,M130&gt;0),1,0)</f>
        <v/>
      </c>
      <c r="V130" s="30">
        <f>IF(U130=1,MAX(N130/M130,SUMPRODUCT(MAX(((N130-$N$12:$N$267)*($U$12:$U$267*($M$12:$M$267&lt;M130)))/((M130-$M$12:$M$267)*($U$12:$U$267*($M$12:$M$267&lt;M130))+1-($U$12:$U$267*($M$12:$M$267&lt;M130)))-(1-($U$12:$U$267*($M$12:$M$267&lt;M130)))*1E+300))),0)</f>
        <v/>
      </c>
      <c r="W130" s="30">
        <f>IF(U130=1,SUMPRODUCT(MIN(((($N$12:$N$267-N130)*($U$12:$U$267*($M$12:$M$267&gt;M130)))/(($M$12:$M$267-M130)*($U$12:$U$267*($M$12:$M$267&gt;M130))+1-($U$12:$U$267*($M$12:$M$267&gt;M130)))+(1-($U$12:$U$267*($M$12:$M$267&gt;M130)))*1E+300))),0)</f>
        <v/>
      </c>
      <c r="X130" s="10">
        <f>IF(C130=0,0,IF(R130=1,1,IF(AND(U130=1,V130&lt;=W130),1,0)))</f>
        <v/>
      </c>
      <c r="Y130" s="10">
        <f>IF(X130=1,1+SUMPRODUCT($X$12:$X$267*(($M$12:$M$267&lt;M130)+($M$12:$M$267=M130)*($A$12:$A$267&lt;A130))),0)</f>
        <v/>
      </c>
      <c r="Z130" s="10">
        <f>IF(Y130&lt;=1,0,SUMPRODUCT(($Y$12:$Y$267=Y130-1)*$M$12:$M$267))</f>
        <v/>
      </c>
      <c r="AA130" s="10">
        <f>IF(Y130&lt;=1,0,SUMPRODUCT(($Y$12:$Y$267=Y130-1)*$N$12:$N$267))</f>
        <v/>
      </c>
      <c r="AB130" s="21">
        <f>IF(Y130=0,"",(M130-Z130)/10^in_out_dp)</f>
        <v/>
      </c>
      <c r="AC130" s="26">
        <f>IF(Y130=0,"",(N130-AA130)/10^in_cost_dp)</f>
        <v/>
      </c>
      <c r="AD130" s="26">
        <f>IF(Y130=0,"",IF(M130=Z130,0,AC130/AB130))</f>
        <v/>
      </c>
      <c r="AE130" s="26">
        <f>IF(AND(C130=1,M130&gt;0),Q130/P130,"n/a")</f>
        <v/>
      </c>
      <c r="AF130" s="15" t="n">
        <v>0</v>
      </c>
      <c r="AG130" s="6">
        <f>IF(AND(C130=1,AF130=1),1+SUMPRODUCT($C$12:$C$267*$AF$12:$AF$267*(($M$12:$M$267&lt;M130)+($M$12:$M$267=M130)*($N$12:$N$267&lt;N130)+($M$12:$M$267=M130)*($N$12:$N$267=N130)*($A$12:$A$267&lt;A130))),0)</f>
        <v/>
      </c>
    </row>
    <row r="131">
      <c r="A131" s="4" t="n">
        <v>120</v>
      </c>
      <c r="B131" s="4" t="inlineStr">
        <is>
          <t>17D2E + 17B + 2A + 3E + 3F + 19A</t>
        </is>
      </c>
      <c r="C131" s="10">
        <f>IF(SUMPRODUCT(D131:K131,1-$D$5:$K$5)=0,1,0)</f>
        <v/>
      </c>
      <c r="D131" s="4" t="n">
        <v>0</v>
      </c>
      <c r="E131" s="4" t="n">
        <v>1</v>
      </c>
      <c r="F131" s="4" t="n">
        <v>1</v>
      </c>
      <c r="G131" s="4" t="n">
        <v>1</v>
      </c>
      <c r="H131" s="4" t="n">
        <v>0</v>
      </c>
      <c r="I131" s="4" t="n">
        <v>1</v>
      </c>
      <c r="J131" s="4" t="n">
        <v>1</v>
      </c>
      <c r="K131" s="4" t="n">
        <v>1</v>
      </c>
      <c r="L131" s="6">
        <f>IF(C131=1,1+SUMPRODUCT(D131:K131,$D$9:$K$9),"")</f>
        <v/>
      </c>
      <c r="M131" s="6">
        <f>SUMPRODUCT(D131:K131,$D$6:$K$6)</f>
        <v/>
      </c>
      <c r="N131" s="6">
        <f>SUMPRODUCT(D131:K131,$D$7:$K$7)</f>
        <v/>
      </c>
      <c r="O131" s="25">
        <f>SUMPRODUCT(D131:K131,$D$8:$K$8)</f>
        <v/>
      </c>
      <c r="P131" s="21">
        <f>M131/10^in_out_dp</f>
        <v/>
      </c>
      <c r="Q131" s="26">
        <f>N131/10^in_cost_dp</f>
        <v/>
      </c>
      <c r="R131" s="10">
        <f>IF(SUM(D131:K131)=0,1,0)</f>
        <v/>
      </c>
      <c r="S131" s="10">
        <f>SUMPRODUCT($C$12:$C$267*(($M$12:$M$267=M131)*($N$12:$N$267&lt;N131)+($M$12:$M$267&gt;M131)*($N$12:$N$267&lt;=N131)))</f>
        <v/>
      </c>
      <c r="T131" s="10">
        <f>IF(C131=0,0,IF(OR(R131=1,S131=0),1,0))</f>
        <v/>
      </c>
      <c r="U131" s="10">
        <f>IF(AND(T131=1,R131=0,M131&gt;0),1,0)</f>
        <v/>
      </c>
      <c r="V131" s="30">
        <f>IF(U131=1,MAX(N131/M131,SUMPRODUCT(MAX(((N131-$N$12:$N$267)*($U$12:$U$267*($M$12:$M$267&lt;M131)))/((M131-$M$12:$M$267)*($U$12:$U$267*($M$12:$M$267&lt;M131))+1-($U$12:$U$267*($M$12:$M$267&lt;M131)))-(1-($U$12:$U$267*($M$12:$M$267&lt;M131)))*1E+300))),0)</f>
        <v/>
      </c>
      <c r="W131" s="30">
        <f>IF(U131=1,SUMPRODUCT(MIN(((($N$12:$N$267-N131)*($U$12:$U$267*($M$12:$M$267&gt;M131)))/(($M$12:$M$267-M131)*($U$12:$U$267*($M$12:$M$267&gt;M131))+1-($U$12:$U$267*($M$12:$M$267&gt;M131)))+(1-($U$12:$U$267*($M$12:$M$267&gt;M131)))*1E+300))),0)</f>
        <v/>
      </c>
      <c r="X131" s="10">
        <f>IF(C131=0,0,IF(R131=1,1,IF(AND(U131=1,V131&lt;=W131),1,0)))</f>
        <v/>
      </c>
      <c r="Y131" s="10">
        <f>IF(X131=1,1+SUMPRODUCT($X$12:$X$267*(($M$12:$M$267&lt;M131)+($M$12:$M$267=M131)*($A$12:$A$267&lt;A131))),0)</f>
        <v/>
      </c>
      <c r="Z131" s="10">
        <f>IF(Y131&lt;=1,0,SUMPRODUCT(($Y$12:$Y$267=Y131-1)*$M$12:$M$267))</f>
        <v/>
      </c>
      <c r="AA131" s="10">
        <f>IF(Y131&lt;=1,0,SUMPRODUCT(($Y$12:$Y$267=Y131-1)*$N$12:$N$267))</f>
        <v/>
      </c>
      <c r="AB131" s="21">
        <f>IF(Y131=0,"",(M131-Z131)/10^in_out_dp)</f>
        <v/>
      </c>
      <c r="AC131" s="26">
        <f>IF(Y131=0,"",(N131-AA131)/10^in_cost_dp)</f>
        <v/>
      </c>
      <c r="AD131" s="26">
        <f>IF(Y131=0,"",IF(M131=Z131,0,AC131/AB131))</f>
        <v/>
      </c>
      <c r="AE131" s="26">
        <f>IF(AND(C131=1,M131&gt;0),Q131/P131,"n/a")</f>
        <v/>
      </c>
      <c r="AF131" s="15" t="n">
        <v>0</v>
      </c>
      <c r="AG131" s="6">
        <f>IF(AND(C131=1,AF131=1),1+SUMPRODUCT($C$12:$C$267*$AF$12:$AF$267*(($M$12:$M$267&lt;M131)+($M$12:$M$267=M131)*($N$12:$N$267&lt;N131)+($M$12:$M$267=M131)*($N$12:$N$267=N131)*($A$12:$A$267&lt;A131))),0)</f>
        <v/>
      </c>
    </row>
    <row r="132">
      <c r="A132" s="4" t="n">
        <v>121</v>
      </c>
      <c r="B132" s="4" t="inlineStr">
        <is>
          <t>17D2E + 17B + 2A + 2B</t>
        </is>
      </c>
      <c r="C132" s="10">
        <f>IF(SUMPRODUCT(D132:K132,1-$D$5:$K$5)=0,1,0)</f>
        <v/>
      </c>
      <c r="D132" s="4" t="n">
        <v>0</v>
      </c>
      <c r="E132" s="4" t="n">
        <v>1</v>
      </c>
      <c r="F132" s="4" t="n">
        <v>1</v>
      </c>
      <c r="G132" s="4" t="n">
        <v>1</v>
      </c>
      <c r="H132" s="4" t="n">
        <v>1</v>
      </c>
      <c r="I132" s="4" t="n">
        <v>0</v>
      </c>
      <c r="J132" s="4" t="n">
        <v>0</v>
      </c>
      <c r="K132" s="4" t="n">
        <v>0</v>
      </c>
      <c r="L132" s="6">
        <f>IF(C132=1,1+SUMPRODUCT(D132:K132,$D$9:$K$9),"")</f>
        <v/>
      </c>
      <c r="M132" s="6">
        <f>SUMPRODUCT(D132:K132,$D$6:$K$6)</f>
        <v/>
      </c>
      <c r="N132" s="6">
        <f>SUMPRODUCT(D132:K132,$D$7:$K$7)</f>
        <v/>
      </c>
      <c r="O132" s="25">
        <f>SUMPRODUCT(D132:K132,$D$8:$K$8)</f>
        <v/>
      </c>
      <c r="P132" s="21">
        <f>M132/10^in_out_dp</f>
        <v/>
      </c>
      <c r="Q132" s="26">
        <f>N132/10^in_cost_dp</f>
        <v/>
      </c>
      <c r="R132" s="10">
        <f>IF(SUM(D132:K132)=0,1,0)</f>
        <v/>
      </c>
      <c r="S132" s="10">
        <f>SUMPRODUCT($C$12:$C$267*(($M$12:$M$267=M132)*($N$12:$N$267&lt;N132)+($M$12:$M$267&gt;M132)*($N$12:$N$267&lt;=N132)))</f>
        <v/>
      </c>
      <c r="T132" s="10">
        <f>IF(C132=0,0,IF(OR(R132=1,S132=0),1,0))</f>
        <v/>
      </c>
      <c r="U132" s="10">
        <f>IF(AND(T132=1,R132=0,M132&gt;0),1,0)</f>
        <v/>
      </c>
      <c r="V132" s="30">
        <f>IF(U132=1,MAX(N132/M132,SUMPRODUCT(MAX(((N132-$N$12:$N$267)*($U$12:$U$267*($M$12:$M$267&lt;M132)))/((M132-$M$12:$M$267)*($U$12:$U$267*($M$12:$M$267&lt;M132))+1-($U$12:$U$267*($M$12:$M$267&lt;M132)))-(1-($U$12:$U$267*($M$12:$M$267&lt;M132)))*1E+300))),0)</f>
        <v/>
      </c>
      <c r="W132" s="30">
        <f>IF(U132=1,SUMPRODUCT(MIN(((($N$12:$N$267-N132)*($U$12:$U$267*($M$12:$M$267&gt;M132)))/(($M$12:$M$267-M132)*($U$12:$U$267*($M$12:$M$267&gt;M132))+1-($U$12:$U$267*($M$12:$M$267&gt;M132)))+(1-($U$12:$U$267*($M$12:$M$267&gt;M132)))*1E+300))),0)</f>
        <v/>
      </c>
      <c r="X132" s="10">
        <f>IF(C132=0,0,IF(R132=1,1,IF(AND(U132=1,V132&lt;=W132),1,0)))</f>
        <v/>
      </c>
      <c r="Y132" s="10">
        <f>IF(X132=1,1+SUMPRODUCT($X$12:$X$267*(($M$12:$M$267&lt;M132)+($M$12:$M$267=M132)*($A$12:$A$267&lt;A132))),0)</f>
        <v/>
      </c>
      <c r="Z132" s="10">
        <f>IF(Y132&lt;=1,0,SUMPRODUCT(($Y$12:$Y$267=Y132-1)*$M$12:$M$267))</f>
        <v/>
      </c>
      <c r="AA132" s="10">
        <f>IF(Y132&lt;=1,0,SUMPRODUCT(($Y$12:$Y$267=Y132-1)*$N$12:$N$267))</f>
        <v/>
      </c>
      <c r="AB132" s="21">
        <f>IF(Y132=0,"",(M132-Z132)/10^in_out_dp)</f>
        <v/>
      </c>
      <c r="AC132" s="26">
        <f>IF(Y132=0,"",(N132-AA132)/10^in_cost_dp)</f>
        <v/>
      </c>
      <c r="AD132" s="26">
        <f>IF(Y132=0,"",IF(M132=Z132,0,AC132/AB132))</f>
        <v/>
      </c>
      <c r="AE132" s="26">
        <f>IF(AND(C132=1,M132&gt;0),Q132/P132,"n/a")</f>
        <v/>
      </c>
      <c r="AF132" s="15" t="n">
        <v>0</v>
      </c>
      <c r="AG132" s="6">
        <f>IF(AND(C132=1,AF132=1),1+SUMPRODUCT($C$12:$C$267*$AF$12:$AF$267*(($M$12:$M$267&lt;M132)+($M$12:$M$267=M132)*($N$12:$N$267&lt;N132)+($M$12:$M$267=M132)*($N$12:$N$267=N132)*($A$12:$A$267&lt;A132))),0)</f>
        <v/>
      </c>
    </row>
    <row r="133">
      <c r="A133" s="4" t="n">
        <v>122</v>
      </c>
      <c r="B133" s="4" t="inlineStr">
        <is>
          <t>17D2E + 17B + 2A + 2B + 19A</t>
        </is>
      </c>
      <c r="C133" s="10">
        <f>IF(SUMPRODUCT(D133:K133,1-$D$5:$K$5)=0,1,0)</f>
        <v/>
      </c>
      <c r="D133" s="4" t="n">
        <v>0</v>
      </c>
      <c r="E133" s="4" t="n">
        <v>1</v>
      </c>
      <c r="F133" s="4" t="n">
        <v>1</v>
      </c>
      <c r="G133" s="4" t="n">
        <v>1</v>
      </c>
      <c r="H133" s="4" t="n">
        <v>1</v>
      </c>
      <c r="I133" s="4" t="n">
        <v>0</v>
      </c>
      <c r="J133" s="4" t="n">
        <v>0</v>
      </c>
      <c r="K133" s="4" t="n">
        <v>1</v>
      </c>
      <c r="L133" s="6">
        <f>IF(C133=1,1+SUMPRODUCT(D133:K133,$D$9:$K$9),"")</f>
        <v/>
      </c>
      <c r="M133" s="6">
        <f>SUMPRODUCT(D133:K133,$D$6:$K$6)</f>
        <v/>
      </c>
      <c r="N133" s="6">
        <f>SUMPRODUCT(D133:K133,$D$7:$K$7)</f>
        <v/>
      </c>
      <c r="O133" s="25">
        <f>SUMPRODUCT(D133:K133,$D$8:$K$8)</f>
        <v/>
      </c>
      <c r="P133" s="21">
        <f>M133/10^in_out_dp</f>
        <v/>
      </c>
      <c r="Q133" s="26">
        <f>N133/10^in_cost_dp</f>
        <v/>
      </c>
      <c r="R133" s="10">
        <f>IF(SUM(D133:K133)=0,1,0)</f>
        <v/>
      </c>
      <c r="S133" s="10">
        <f>SUMPRODUCT($C$12:$C$267*(($M$12:$M$267=M133)*($N$12:$N$267&lt;N133)+($M$12:$M$267&gt;M133)*($N$12:$N$267&lt;=N133)))</f>
        <v/>
      </c>
      <c r="T133" s="10">
        <f>IF(C133=0,0,IF(OR(R133=1,S133=0),1,0))</f>
        <v/>
      </c>
      <c r="U133" s="10">
        <f>IF(AND(T133=1,R133=0,M133&gt;0),1,0)</f>
        <v/>
      </c>
      <c r="V133" s="30">
        <f>IF(U133=1,MAX(N133/M133,SUMPRODUCT(MAX(((N133-$N$12:$N$267)*($U$12:$U$267*($M$12:$M$267&lt;M133)))/((M133-$M$12:$M$267)*($U$12:$U$267*($M$12:$M$267&lt;M133))+1-($U$12:$U$267*($M$12:$M$267&lt;M133)))-(1-($U$12:$U$267*($M$12:$M$267&lt;M133)))*1E+300))),0)</f>
        <v/>
      </c>
      <c r="W133" s="30">
        <f>IF(U133=1,SUMPRODUCT(MIN(((($N$12:$N$267-N133)*($U$12:$U$267*($M$12:$M$267&gt;M133)))/(($M$12:$M$267-M133)*($U$12:$U$267*($M$12:$M$267&gt;M133))+1-($U$12:$U$267*($M$12:$M$267&gt;M133)))+(1-($U$12:$U$267*($M$12:$M$267&gt;M133)))*1E+300))),0)</f>
        <v/>
      </c>
      <c r="X133" s="10">
        <f>IF(C133=0,0,IF(R133=1,1,IF(AND(U133=1,V133&lt;=W133),1,0)))</f>
        <v/>
      </c>
      <c r="Y133" s="10">
        <f>IF(X133=1,1+SUMPRODUCT($X$12:$X$267*(($M$12:$M$267&lt;M133)+($M$12:$M$267=M133)*($A$12:$A$267&lt;A133))),0)</f>
        <v/>
      </c>
      <c r="Z133" s="10">
        <f>IF(Y133&lt;=1,0,SUMPRODUCT(($Y$12:$Y$267=Y133-1)*$M$12:$M$267))</f>
        <v/>
      </c>
      <c r="AA133" s="10">
        <f>IF(Y133&lt;=1,0,SUMPRODUCT(($Y$12:$Y$267=Y133-1)*$N$12:$N$267))</f>
        <v/>
      </c>
      <c r="AB133" s="21">
        <f>IF(Y133=0,"",(M133-Z133)/10^in_out_dp)</f>
        <v/>
      </c>
      <c r="AC133" s="26">
        <f>IF(Y133=0,"",(N133-AA133)/10^in_cost_dp)</f>
        <v/>
      </c>
      <c r="AD133" s="26">
        <f>IF(Y133=0,"",IF(M133=Z133,0,AC133/AB133))</f>
        <v/>
      </c>
      <c r="AE133" s="26">
        <f>IF(AND(C133=1,M133&gt;0),Q133/P133,"n/a")</f>
        <v/>
      </c>
      <c r="AF133" s="15" t="n">
        <v>1</v>
      </c>
      <c r="AG133" s="6">
        <f>IF(AND(C133=1,AF133=1),1+SUMPRODUCT($C$12:$C$267*$AF$12:$AF$267*(($M$12:$M$267&lt;M133)+($M$12:$M$267=M133)*($N$12:$N$267&lt;N133)+($M$12:$M$267=M133)*($N$12:$N$267=N133)*($A$12:$A$267&lt;A133))),0)</f>
        <v/>
      </c>
    </row>
    <row r="134">
      <c r="A134" s="4" t="n">
        <v>123</v>
      </c>
      <c r="B134" s="4" t="inlineStr">
        <is>
          <t>17D2E + 17B + 2A + 2B + 3F</t>
        </is>
      </c>
      <c r="C134" s="10">
        <f>IF(SUMPRODUCT(D134:K134,1-$D$5:$K$5)=0,1,0)</f>
        <v/>
      </c>
      <c r="D134" s="4" t="n">
        <v>0</v>
      </c>
      <c r="E134" s="4" t="n">
        <v>1</v>
      </c>
      <c r="F134" s="4" t="n">
        <v>1</v>
      </c>
      <c r="G134" s="4" t="n">
        <v>1</v>
      </c>
      <c r="H134" s="4" t="n">
        <v>1</v>
      </c>
      <c r="I134" s="4" t="n">
        <v>0</v>
      </c>
      <c r="J134" s="4" t="n">
        <v>1</v>
      </c>
      <c r="K134" s="4" t="n">
        <v>0</v>
      </c>
      <c r="L134" s="6">
        <f>IF(C134=1,1+SUMPRODUCT(D134:K134,$D$9:$K$9),"")</f>
        <v/>
      </c>
      <c r="M134" s="6">
        <f>SUMPRODUCT(D134:K134,$D$6:$K$6)</f>
        <v/>
      </c>
      <c r="N134" s="6">
        <f>SUMPRODUCT(D134:K134,$D$7:$K$7)</f>
        <v/>
      </c>
      <c r="O134" s="25">
        <f>SUMPRODUCT(D134:K134,$D$8:$K$8)</f>
        <v/>
      </c>
      <c r="P134" s="21">
        <f>M134/10^in_out_dp</f>
        <v/>
      </c>
      <c r="Q134" s="26">
        <f>N134/10^in_cost_dp</f>
        <v/>
      </c>
      <c r="R134" s="10">
        <f>IF(SUM(D134:K134)=0,1,0)</f>
        <v/>
      </c>
      <c r="S134" s="10">
        <f>SUMPRODUCT($C$12:$C$267*(($M$12:$M$267=M134)*($N$12:$N$267&lt;N134)+($M$12:$M$267&gt;M134)*($N$12:$N$267&lt;=N134)))</f>
        <v/>
      </c>
      <c r="T134" s="10">
        <f>IF(C134=0,0,IF(OR(R134=1,S134=0),1,0))</f>
        <v/>
      </c>
      <c r="U134" s="10">
        <f>IF(AND(T134=1,R134=0,M134&gt;0),1,0)</f>
        <v/>
      </c>
      <c r="V134" s="30">
        <f>IF(U134=1,MAX(N134/M134,SUMPRODUCT(MAX(((N134-$N$12:$N$267)*($U$12:$U$267*($M$12:$M$267&lt;M134)))/((M134-$M$12:$M$267)*($U$12:$U$267*($M$12:$M$267&lt;M134))+1-($U$12:$U$267*($M$12:$M$267&lt;M134)))-(1-($U$12:$U$267*($M$12:$M$267&lt;M134)))*1E+300))),0)</f>
        <v/>
      </c>
      <c r="W134" s="30">
        <f>IF(U134=1,SUMPRODUCT(MIN(((($N$12:$N$267-N134)*($U$12:$U$267*($M$12:$M$267&gt;M134)))/(($M$12:$M$267-M134)*($U$12:$U$267*($M$12:$M$267&gt;M134))+1-($U$12:$U$267*($M$12:$M$267&gt;M134)))+(1-($U$12:$U$267*($M$12:$M$267&gt;M134)))*1E+300))),0)</f>
        <v/>
      </c>
      <c r="X134" s="10">
        <f>IF(C134=0,0,IF(R134=1,1,IF(AND(U134=1,V134&lt;=W134),1,0)))</f>
        <v/>
      </c>
      <c r="Y134" s="10">
        <f>IF(X134=1,1+SUMPRODUCT($X$12:$X$267*(($M$12:$M$267&lt;M134)+($M$12:$M$267=M134)*($A$12:$A$267&lt;A134))),0)</f>
        <v/>
      </c>
      <c r="Z134" s="10">
        <f>IF(Y134&lt;=1,0,SUMPRODUCT(($Y$12:$Y$267=Y134-1)*$M$12:$M$267))</f>
        <v/>
      </c>
      <c r="AA134" s="10">
        <f>IF(Y134&lt;=1,0,SUMPRODUCT(($Y$12:$Y$267=Y134-1)*$N$12:$N$267))</f>
        <v/>
      </c>
      <c r="AB134" s="21">
        <f>IF(Y134=0,"",(M134-Z134)/10^in_out_dp)</f>
        <v/>
      </c>
      <c r="AC134" s="26">
        <f>IF(Y134=0,"",(N134-AA134)/10^in_cost_dp)</f>
        <v/>
      </c>
      <c r="AD134" s="26">
        <f>IF(Y134=0,"",IF(M134=Z134,0,AC134/AB134))</f>
        <v/>
      </c>
      <c r="AE134" s="26">
        <f>IF(AND(C134=1,M134&gt;0),Q134/P134,"n/a")</f>
        <v/>
      </c>
      <c r="AF134" s="15" t="n">
        <v>0</v>
      </c>
      <c r="AG134" s="6">
        <f>IF(AND(C134=1,AF134=1),1+SUMPRODUCT($C$12:$C$267*$AF$12:$AF$267*(($M$12:$M$267&lt;M134)+($M$12:$M$267=M134)*($N$12:$N$267&lt;N134)+($M$12:$M$267=M134)*($N$12:$N$267=N134)*($A$12:$A$267&lt;A134))),0)</f>
        <v/>
      </c>
    </row>
    <row r="135">
      <c r="A135" s="4" t="n">
        <v>124</v>
      </c>
      <c r="B135" s="4" t="inlineStr">
        <is>
          <t>17D2E + 17B + 2A + 2B + 3F + 19A</t>
        </is>
      </c>
      <c r="C135" s="10">
        <f>IF(SUMPRODUCT(D135:K135,1-$D$5:$K$5)=0,1,0)</f>
        <v/>
      </c>
      <c r="D135" s="4" t="n">
        <v>0</v>
      </c>
      <c r="E135" s="4" t="n">
        <v>1</v>
      </c>
      <c r="F135" s="4" t="n">
        <v>1</v>
      </c>
      <c r="G135" s="4" t="n">
        <v>1</v>
      </c>
      <c r="H135" s="4" t="n">
        <v>1</v>
      </c>
      <c r="I135" s="4" t="n">
        <v>0</v>
      </c>
      <c r="J135" s="4" t="n">
        <v>1</v>
      </c>
      <c r="K135" s="4" t="n">
        <v>1</v>
      </c>
      <c r="L135" s="6">
        <f>IF(C135=1,1+SUMPRODUCT(D135:K135,$D$9:$K$9),"")</f>
        <v/>
      </c>
      <c r="M135" s="6">
        <f>SUMPRODUCT(D135:K135,$D$6:$K$6)</f>
        <v/>
      </c>
      <c r="N135" s="6">
        <f>SUMPRODUCT(D135:K135,$D$7:$K$7)</f>
        <v/>
      </c>
      <c r="O135" s="25">
        <f>SUMPRODUCT(D135:K135,$D$8:$K$8)</f>
        <v/>
      </c>
      <c r="P135" s="21">
        <f>M135/10^in_out_dp</f>
        <v/>
      </c>
      <c r="Q135" s="26">
        <f>N135/10^in_cost_dp</f>
        <v/>
      </c>
      <c r="R135" s="10">
        <f>IF(SUM(D135:K135)=0,1,0)</f>
        <v/>
      </c>
      <c r="S135" s="10">
        <f>SUMPRODUCT($C$12:$C$267*(($M$12:$M$267=M135)*($N$12:$N$267&lt;N135)+($M$12:$M$267&gt;M135)*($N$12:$N$267&lt;=N135)))</f>
        <v/>
      </c>
      <c r="T135" s="10">
        <f>IF(C135=0,0,IF(OR(R135=1,S135=0),1,0))</f>
        <v/>
      </c>
      <c r="U135" s="10">
        <f>IF(AND(T135=1,R135=0,M135&gt;0),1,0)</f>
        <v/>
      </c>
      <c r="V135" s="30">
        <f>IF(U135=1,MAX(N135/M135,SUMPRODUCT(MAX(((N135-$N$12:$N$267)*($U$12:$U$267*($M$12:$M$267&lt;M135)))/((M135-$M$12:$M$267)*($U$12:$U$267*($M$12:$M$267&lt;M135))+1-($U$12:$U$267*($M$12:$M$267&lt;M135)))-(1-($U$12:$U$267*($M$12:$M$267&lt;M135)))*1E+300))),0)</f>
        <v/>
      </c>
      <c r="W135" s="30">
        <f>IF(U135=1,SUMPRODUCT(MIN(((($N$12:$N$267-N135)*($U$12:$U$267*($M$12:$M$267&gt;M135)))/(($M$12:$M$267-M135)*($U$12:$U$267*($M$12:$M$267&gt;M135))+1-($U$12:$U$267*($M$12:$M$267&gt;M135)))+(1-($U$12:$U$267*($M$12:$M$267&gt;M135)))*1E+300))),0)</f>
        <v/>
      </c>
      <c r="X135" s="10">
        <f>IF(C135=0,0,IF(R135=1,1,IF(AND(U135=1,V135&lt;=W135),1,0)))</f>
        <v/>
      </c>
      <c r="Y135" s="10">
        <f>IF(X135=1,1+SUMPRODUCT($X$12:$X$267*(($M$12:$M$267&lt;M135)+($M$12:$M$267=M135)*($A$12:$A$267&lt;A135))),0)</f>
        <v/>
      </c>
      <c r="Z135" s="10">
        <f>IF(Y135&lt;=1,0,SUMPRODUCT(($Y$12:$Y$267=Y135-1)*$M$12:$M$267))</f>
        <v/>
      </c>
      <c r="AA135" s="10">
        <f>IF(Y135&lt;=1,0,SUMPRODUCT(($Y$12:$Y$267=Y135-1)*$N$12:$N$267))</f>
        <v/>
      </c>
      <c r="AB135" s="21">
        <f>IF(Y135=0,"",(M135-Z135)/10^in_out_dp)</f>
        <v/>
      </c>
      <c r="AC135" s="26">
        <f>IF(Y135=0,"",(N135-AA135)/10^in_cost_dp)</f>
        <v/>
      </c>
      <c r="AD135" s="26">
        <f>IF(Y135=0,"",IF(M135=Z135,0,AC135/AB135))</f>
        <v/>
      </c>
      <c r="AE135" s="26">
        <f>IF(AND(C135=1,M135&gt;0),Q135/P135,"n/a")</f>
        <v/>
      </c>
      <c r="AF135" s="15" t="n">
        <v>0</v>
      </c>
      <c r="AG135" s="6">
        <f>IF(AND(C135=1,AF135=1),1+SUMPRODUCT($C$12:$C$267*$AF$12:$AF$267*(($M$12:$M$267&lt;M135)+($M$12:$M$267=M135)*($N$12:$N$267&lt;N135)+($M$12:$M$267=M135)*($N$12:$N$267=N135)*($A$12:$A$267&lt;A135))),0)</f>
        <v/>
      </c>
    </row>
    <row r="136">
      <c r="A136" s="4" t="n">
        <v>125</v>
      </c>
      <c r="B136" s="4" t="inlineStr">
        <is>
          <t>17D2E + 17B + 2A + 2B + 3E</t>
        </is>
      </c>
      <c r="C136" s="10">
        <f>IF(SUMPRODUCT(D136:K136,1-$D$5:$K$5)=0,1,0)</f>
        <v/>
      </c>
      <c r="D136" s="4" t="n">
        <v>0</v>
      </c>
      <c r="E136" s="4" t="n">
        <v>1</v>
      </c>
      <c r="F136" s="4" t="n">
        <v>1</v>
      </c>
      <c r="G136" s="4" t="n">
        <v>1</v>
      </c>
      <c r="H136" s="4" t="n">
        <v>1</v>
      </c>
      <c r="I136" s="4" t="n">
        <v>1</v>
      </c>
      <c r="J136" s="4" t="n">
        <v>0</v>
      </c>
      <c r="K136" s="4" t="n">
        <v>0</v>
      </c>
      <c r="L136" s="6">
        <f>IF(C136=1,1+SUMPRODUCT(D136:K136,$D$9:$K$9),"")</f>
        <v/>
      </c>
      <c r="M136" s="6">
        <f>SUMPRODUCT(D136:K136,$D$6:$K$6)</f>
        <v/>
      </c>
      <c r="N136" s="6">
        <f>SUMPRODUCT(D136:K136,$D$7:$K$7)</f>
        <v/>
      </c>
      <c r="O136" s="25">
        <f>SUMPRODUCT(D136:K136,$D$8:$K$8)</f>
        <v/>
      </c>
      <c r="P136" s="21">
        <f>M136/10^in_out_dp</f>
        <v/>
      </c>
      <c r="Q136" s="26">
        <f>N136/10^in_cost_dp</f>
        <v/>
      </c>
      <c r="R136" s="10">
        <f>IF(SUM(D136:K136)=0,1,0)</f>
        <v/>
      </c>
      <c r="S136" s="10">
        <f>SUMPRODUCT($C$12:$C$267*(($M$12:$M$267=M136)*($N$12:$N$267&lt;N136)+($M$12:$M$267&gt;M136)*($N$12:$N$267&lt;=N136)))</f>
        <v/>
      </c>
      <c r="T136" s="10">
        <f>IF(C136=0,0,IF(OR(R136=1,S136=0),1,0))</f>
        <v/>
      </c>
      <c r="U136" s="10">
        <f>IF(AND(T136=1,R136=0,M136&gt;0),1,0)</f>
        <v/>
      </c>
      <c r="V136" s="30">
        <f>IF(U136=1,MAX(N136/M136,SUMPRODUCT(MAX(((N136-$N$12:$N$267)*($U$12:$U$267*($M$12:$M$267&lt;M136)))/((M136-$M$12:$M$267)*($U$12:$U$267*($M$12:$M$267&lt;M136))+1-($U$12:$U$267*($M$12:$M$267&lt;M136)))-(1-($U$12:$U$267*($M$12:$M$267&lt;M136)))*1E+300))),0)</f>
        <v/>
      </c>
      <c r="W136" s="30">
        <f>IF(U136=1,SUMPRODUCT(MIN(((($N$12:$N$267-N136)*($U$12:$U$267*($M$12:$M$267&gt;M136)))/(($M$12:$M$267-M136)*($U$12:$U$267*($M$12:$M$267&gt;M136))+1-($U$12:$U$267*($M$12:$M$267&gt;M136)))+(1-($U$12:$U$267*($M$12:$M$267&gt;M136)))*1E+300))),0)</f>
        <v/>
      </c>
      <c r="X136" s="10">
        <f>IF(C136=0,0,IF(R136=1,1,IF(AND(U136=1,V136&lt;=W136),1,0)))</f>
        <v/>
      </c>
      <c r="Y136" s="10">
        <f>IF(X136=1,1+SUMPRODUCT($X$12:$X$267*(($M$12:$M$267&lt;M136)+($M$12:$M$267=M136)*($A$12:$A$267&lt;A136))),0)</f>
        <v/>
      </c>
      <c r="Z136" s="10">
        <f>IF(Y136&lt;=1,0,SUMPRODUCT(($Y$12:$Y$267=Y136-1)*$M$12:$M$267))</f>
        <v/>
      </c>
      <c r="AA136" s="10">
        <f>IF(Y136&lt;=1,0,SUMPRODUCT(($Y$12:$Y$267=Y136-1)*$N$12:$N$267))</f>
        <v/>
      </c>
      <c r="AB136" s="21">
        <f>IF(Y136=0,"",(M136-Z136)/10^in_out_dp)</f>
        <v/>
      </c>
      <c r="AC136" s="26">
        <f>IF(Y136=0,"",(N136-AA136)/10^in_cost_dp)</f>
        <v/>
      </c>
      <c r="AD136" s="26">
        <f>IF(Y136=0,"",IF(M136=Z136,0,AC136/AB136))</f>
        <v/>
      </c>
      <c r="AE136" s="26">
        <f>IF(AND(C136=1,M136&gt;0),Q136/P136,"n/a")</f>
        <v/>
      </c>
      <c r="AF136" s="15" t="n">
        <v>0</v>
      </c>
      <c r="AG136" s="6">
        <f>IF(AND(C136=1,AF136=1),1+SUMPRODUCT($C$12:$C$267*$AF$12:$AF$267*(($M$12:$M$267&lt;M136)+($M$12:$M$267=M136)*($N$12:$N$267&lt;N136)+($M$12:$M$267=M136)*($N$12:$N$267=N136)*($A$12:$A$267&lt;A136))),0)</f>
        <v/>
      </c>
    </row>
    <row r="137">
      <c r="A137" s="4" t="n">
        <v>126</v>
      </c>
      <c r="B137" s="4" t="inlineStr">
        <is>
          <t>17D2E + 17B + 2A + 2B + 3E + 19A</t>
        </is>
      </c>
      <c r="C137" s="10">
        <f>IF(SUMPRODUCT(D137:K137,1-$D$5:$K$5)=0,1,0)</f>
        <v/>
      </c>
      <c r="D137" s="4" t="n">
        <v>0</v>
      </c>
      <c r="E137" s="4" t="n">
        <v>1</v>
      </c>
      <c r="F137" s="4" t="n">
        <v>1</v>
      </c>
      <c r="G137" s="4" t="n">
        <v>1</v>
      </c>
      <c r="H137" s="4" t="n">
        <v>1</v>
      </c>
      <c r="I137" s="4" t="n">
        <v>1</v>
      </c>
      <c r="J137" s="4" t="n">
        <v>0</v>
      </c>
      <c r="K137" s="4" t="n">
        <v>1</v>
      </c>
      <c r="L137" s="6">
        <f>IF(C137=1,1+SUMPRODUCT(D137:K137,$D$9:$K$9),"")</f>
        <v/>
      </c>
      <c r="M137" s="6">
        <f>SUMPRODUCT(D137:K137,$D$6:$K$6)</f>
        <v/>
      </c>
      <c r="N137" s="6">
        <f>SUMPRODUCT(D137:K137,$D$7:$K$7)</f>
        <v/>
      </c>
      <c r="O137" s="25">
        <f>SUMPRODUCT(D137:K137,$D$8:$K$8)</f>
        <v/>
      </c>
      <c r="P137" s="21">
        <f>M137/10^in_out_dp</f>
        <v/>
      </c>
      <c r="Q137" s="26">
        <f>N137/10^in_cost_dp</f>
        <v/>
      </c>
      <c r="R137" s="10">
        <f>IF(SUM(D137:K137)=0,1,0)</f>
        <v/>
      </c>
      <c r="S137" s="10">
        <f>SUMPRODUCT($C$12:$C$267*(($M$12:$M$267=M137)*($N$12:$N$267&lt;N137)+($M$12:$M$267&gt;M137)*($N$12:$N$267&lt;=N137)))</f>
        <v/>
      </c>
      <c r="T137" s="10">
        <f>IF(C137=0,0,IF(OR(R137=1,S137=0),1,0))</f>
        <v/>
      </c>
      <c r="U137" s="10">
        <f>IF(AND(T137=1,R137=0,M137&gt;0),1,0)</f>
        <v/>
      </c>
      <c r="V137" s="30">
        <f>IF(U137=1,MAX(N137/M137,SUMPRODUCT(MAX(((N137-$N$12:$N$267)*($U$12:$U$267*($M$12:$M$267&lt;M137)))/((M137-$M$12:$M$267)*($U$12:$U$267*($M$12:$M$267&lt;M137))+1-($U$12:$U$267*($M$12:$M$267&lt;M137)))-(1-($U$12:$U$267*($M$12:$M$267&lt;M137)))*1E+300))),0)</f>
        <v/>
      </c>
      <c r="W137" s="30">
        <f>IF(U137=1,SUMPRODUCT(MIN(((($N$12:$N$267-N137)*($U$12:$U$267*($M$12:$M$267&gt;M137)))/(($M$12:$M$267-M137)*($U$12:$U$267*($M$12:$M$267&gt;M137))+1-($U$12:$U$267*($M$12:$M$267&gt;M137)))+(1-($U$12:$U$267*($M$12:$M$267&gt;M137)))*1E+300))),0)</f>
        <v/>
      </c>
      <c r="X137" s="10">
        <f>IF(C137=0,0,IF(R137=1,1,IF(AND(U137=1,V137&lt;=W137),1,0)))</f>
        <v/>
      </c>
      <c r="Y137" s="10">
        <f>IF(X137=1,1+SUMPRODUCT($X$12:$X$267*(($M$12:$M$267&lt;M137)+($M$12:$M$267=M137)*($A$12:$A$267&lt;A137))),0)</f>
        <v/>
      </c>
      <c r="Z137" s="10">
        <f>IF(Y137&lt;=1,0,SUMPRODUCT(($Y$12:$Y$267=Y137-1)*$M$12:$M$267))</f>
        <v/>
      </c>
      <c r="AA137" s="10">
        <f>IF(Y137&lt;=1,0,SUMPRODUCT(($Y$12:$Y$267=Y137-1)*$N$12:$N$267))</f>
        <v/>
      </c>
      <c r="AB137" s="21">
        <f>IF(Y137=0,"",(M137-Z137)/10^in_out_dp)</f>
        <v/>
      </c>
      <c r="AC137" s="26">
        <f>IF(Y137=0,"",(N137-AA137)/10^in_cost_dp)</f>
        <v/>
      </c>
      <c r="AD137" s="26">
        <f>IF(Y137=0,"",IF(M137=Z137,0,AC137/AB137))</f>
        <v/>
      </c>
      <c r="AE137" s="26">
        <f>IF(AND(C137=1,M137&gt;0),Q137/P137,"n/a")</f>
        <v/>
      </c>
      <c r="AF137" s="15" t="n">
        <v>0</v>
      </c>
      <c r="AG137" s="6">
        <f>IF(AND(C137=1,AF137=1),1+SUMPRODUCT($C$12:$C$267*$AF$12:$AF$267*(($M$12:$M$267&lt;M137)+($M$12:$M$267=M137)*($N$12:$N$267&lt;N137)+($M$12:$M$267=M137)*($N$12:$N$267=N137)*($A$12:$A$267&lt;A137))),0)</f>
        <v/>
      </c>
    </row>
    <row r="138">
      <c r="A138" s="4" t="n">
        <v>127</v>
      </c>
      <c r="B138" s="4" t="inlineStr">
        <is>
          <t>17D2E + 17B + 2A + 2B + 3E + 3F</t>
        </is>
      </c>
      <c r="C138" s="10">
        <f>IF(SUMPRODUCT(D138:K138,1-$D$5:$K$5)=0,1,0)</f>
        <v/>
      </c>
      <c r="D138" s="4" t="n">
        <v>0</v>
      </c>
      <c r="E138" s="4" t="n">
        <v>1</v>
      </c>
      <c r="F138" s="4" t="n">
        <v>1</v>
      </c>
      <c r="G138" s="4" t="n">
        <v>1</v>
      </c>
      <c r="H138" s="4" t="n">
        <v>1</v>
      </c>
      <c r="I138" s="4" t="n">
        <v>1</v>
      </c>
      <c r="J138" s="4" t="n">
        <v>1</v>
      </c>
      <c r="K138" s="4" t="n">
        <v>0</v>
      </c>
      <c r="L138" s="6">
        <f>IF(C138=1,1+SUMPRODUCT(D138:K138,$D$9:$K$9),"")</f>
        <v/>
      </c>
      <c r="M138" s="6">
        <f>SUMPRODUCT(D138:K138,$D$6:$K$6)</f>
        <v/>
      </c>
      <c r="N138" s="6">
        <f>SUMPRODUCT(D138:K138,$D$7:$K$7)</f>
        <v/>
      </c>
      <c r="O138" s="25">
        <f>SUMPRODUCT(D138:K138,$D$8:$K$8)</f>
        <v/>
      </c>
      <c r="P138" s="21">
        <f>M138/10^in_out_dp</f>
        <v/>
      </c>
      <c r="Q138" s="26">
        <f>N138/10^in_cost_dp</f>
        <v/>
      </c>
      <c r="R138" s="10">
        <f>IF(SUM(D138:K138)=0,1,0)</f>
        <v/>
      </c>
      <c r="S138" s="10">
        <f>SUMPRODUCT($C$12:$C$267*(($M$12:$M$267=M138)*($N$12:$N$267&lt;N138)+($M$12:$M$267&gt;M138)*($N$12:$N$267&lt;=N138)))</f>
        <v/>
      </c>
      <c r="T138" s="10">
        <f>IF(C138=0,0,IF(OR(R138=1,S138=0),1,0))</f>
        <v/>
      </c>
      <c r="U138" s="10">
        <f>IF(AND(T138=1,R138=0,M138&gt;0),1,0)</f>
        <v/>
      </c>
      <c r="V138" s="30">
        <f>IF(U138=1,MAX(N138/M138,SUMPRODUCT(MAX(((N138-$N$12:$N$267)*($U$12:$U$267*($M$12:$M$267&lt;M138)))/((M138-$M$12:$M$267)*($U$12:$U$267*($M$12:$M$267&lt;M138))+1-($U$12:$U$267*($M$12:$M$267&lt;M138)))-(1-($U$12:$U$267*($M$12:$M$267&lt;M138)))*1E+300))),0)</f>
        <v/>
      </c>
      <c r="W138" s="30">
        <f>IF(U138=1,SUMPRODUCT(MIN(((($N$12:$N$267-N138)*($U$12:$U$267*($M$12:$M$267&gt;M138)))/(($M$12:$M$267-M138)*($U$12:$U$267*($M$12:$M$267&gt;M138))+1-($U$12:$U$267*($M$12:$M$267&gt;M138)))+(1-($U$12:$U$267*($M$12:$M$267&gt;M138)))*1E+300))),0)</f>
        <v/>
      </c>
      <c r="X138" s="10">
        <f>IF(C138=0,0,IF(R138=1,1,IF(AND(U138=1,V138&lt;=W138),1,0)))</f>
        <v/>
      </c>
      <c r="Y138" s="10">
        <f>IF(X138=1,1+SUMPRODUCT($X$12:$X$267*(($M$12:$M$267&lt;M138)+($M$12:$M$267=M138)*($A$12:$A$267&lt;A138))),0)</f>
        <v/>
      </c>
      <c r="Z138" s="10">
        <f>IF(Y138&lt;=1,0,SUMPRODUCT(($Y$12:$Y$267=Y138-1)*$M$12:$M$267))</f>
        <v/>
      </c>
      <c r="AA138" s="10">
        <f>IF(Y138&lt;=1,0,SUMPRODUCT(($Y$12:$Y$267=Y138-1)*$N$12:$N$267))</f>
        <v/>
      </c>
      <c r="AB138" s="21">
        <f>IF(Y138=0,"",(M138-Z138)/10^in_out_dp)</f>
        <v/>
      </c>
      <c r="AC138" s="26">
        <f>IF(Y138=0,"",(N138-AA138)/10^in_cost_dp)</f>
        <v/>
      </c>
      <c r="AD138" s="26">
        <f>IF(Y138=0,"",IF(M138=Z138,0,AC138/AB138))</f>
        <v/>
      </c>
      <c r="AE138" s="26">
        <f>IF(AND(C138=1,M138&gt;0),Q138/P138,"n/a")</f>
        <v/>
      </c>
      <c r="AF138" s="15" t="n">
        <v>0</v>
      </c>
      <c r="AG138" s="6">
        <f>IF(AND(C138=1,AF138=1),1+SUMPRODUCT($C$12:$C$267*$AF$12:$AF$267*(($M$12:$M$267&lt;M138)+($M$12:$M$267=M138)*($N$12:$N$267&lt;N138)+($M$12:$M$267=M138)*($N$12:$N$267=N138)*($A$12:$A$267&lt;A138))),0)</f>
        <v/>
      </c>
    </row>
    <row r="139">
      <c r="A139" s="4" t="n">
        <v>128</v>
      </c>
      <c r="B139" s="4" t="inlineStr">
        <is>
          <t>17D2E + 17B + 2A + 2B + 3E + 3F + 19A</t>
        </is>
      </c>
      <c r="C139" s="10">
        <f>IF(SUMPRODUCT(D139:K139,1-$D$5:$K$5)=0,1,0)</f>
        <v/>
      </c>
      <c r="D139" s="4" t="n">
        <v>0</v>
      </c>
      <c r="E139" s="4" t="n">
        <v>1</v>
      </c>
      <c r="F139" s="4" t="n">
        <v>1</v>
      </c>
      <c r="G139" s="4" t="n">
        <v>1</v>
      </c>
      <c r="H139" s="4" t="n">
        <v>1</v>
      </c>
      <c r="I139" s="4" t="n">
        <v>1</v>
      </c>
      <c r="J139" s="4" t="n">
        <v>1</v>
      </c>
      <c r="K139" s="4" t="n">
        <v>1</v>
      </c>
      <c r="L139" s="6">
        <f>IF(C139=1,1+SUMPRODUCT(D139:K139,$D$9:$K$9),"")</f>
        <v/>
      </c>
      <c r="M139" s="6">
        <f>SUMPRODUCT(D139:K139,$D$6:$K$6)</f>
        <v/>
      </c>
      <c r="N139" s="6">
        <f>SUMPRODUCT(D139:K139,$D$7:$K$7)</f>
        <v/>
      </c>
      <c r="O139" s="25">
        <f>SUMPRODUCT(D139:K139,$D$8:$K$8)</f>
        <v/>
      </c>
      <c r="P139" s="21">
        <f>M139/10^in_out_dp</f>
        <v/>
      </c>
      <c r="Q139" s="26">
        <f>N139/10^in_cost_dp</f>
        <v/>
      </c>
      <c r="R139" s="10">
        <f>IF(SUM(D139:K139)=0,1,0)</f>
        <v/>
      </c>
      <c r="S139" s="10">
        <f>SUMPRODUCT($C$12:$C$267*(($M$12:$M$267=M139)*($N$12:$N$267&lt;N139)+($M$12:$M$267&gt;M139)*($N$12:$N$267&lt;=N139)))</f>
        <v/>
      </c>
      <c r="T139" s="10">
        <f>IF(C139=0,0,IF(OR(R139=1,S139=0),1,0))</f>
        <v/>
      </c>
      <c r="U139" s="10">
        <f>IF(AND(T139=1,R139=0,M139&gt;0),1,0)</f>
        <v/>
      </c>
      <c r="V139" s="30">
        <f>IF(U139=1,MAX(N139/M139,SUMPRODUCT(MAX(((N139-$N$12:$N$267)*($U$12:$U$267*($M$12:$M$267&lt;M139)))/((M139-$M$12:$M$267)*($U$12:$U$267*($M$12:$M$267&lt;M139))+1-($U$12:$U$267*($M$12:$M$267&lt;M139)))-(1-($U$12:$U$267*($M$12:$M$267&lt;M139)))*1E+300))),0)</f>
        <v/>
      </c>
      <c r="W139" s="30">
        <f>IF(U139=1,SUMPRODUCT(MIN(((($N$12:$N$267-N139)*($U$12:$U$267*($M$12:$M$267&gt;M139)))/(($M$12:$M$267-M139)*($U$12:$U$267*($M$12:$M$267&gt;M139))+1-($U$12:$U$267*($M$12:$M$267&gt;M139)))+(1-($U$12:$U$267*($M$12:$M$267&gt;M139)))*1E+300))),0)</f>
        <v/>
      </c>
      <c r="X139" s="10">
        <f>IF(C139=0,0,IF(R139=1,1,IF(AND(U139=1,V139&lt;=W139),1,0)))</f>
        <v/>
      </c>
      <c r="Y139" s="10">
        <f>IF(X139=1,1+SUMPRODUCT($X$12:$X$267*(($M$12:$M$267&lt;M139)+($M$12:$M$267=M139)*($A$12:$A$267&lt;A139))),0)</f>
        <v/>
      </c>
      <c r="Z139" s="10">
        <f>IF(Y139&lt;=1,0,SUMPRODUCT(($Y$12:$Y$267=Y139-1)*$M$12:$M$267))</f>
        <v/>
      </c>
      <c r="AA139" s="10">
        <f>IF(Y139&lt;=1,0,SUMPRODUCT(($Y$12:$Y$267=Y139-1)*$N$12:$N$267))</f>
        <v/>
      </c>
      <c r="AB139" s="21">
        <f>IF(Y139=0,"",(M139-Z139)/10^in_out_dp)</f>
        <v/>
      </c>
      <c r="AC139" s="26">
        <f>IF(Y139=0,"",(N139-AA139)/10^in_cost_dp)</f>
        <v/>
      </c>
      <c r="AD139" s="26">
        <f>IF(Y139=0,"",IF(M139=Z139,0,AC139/AB139))</f>
        <v/>
      </c>
      <c r="AE139" s="26">
        <f>IF(AND(C139=1,M139&gt;0),Q139/P139,"n/a")</f>
        <v/>
      </c>
      <c r="AF139" s="15" t="n">
        <v>0</v>
      </c>
      <c r="AG139" s="6">
        <f>IF(AND(C139=1,AF139=1),1+SUMPRODUCT($C$12:$C$267*$AF$12:$AF$267*(($M$12:$M$267&lt;M139)+($M$12:$M$267=M139)*($N$12:$N$267&lt;N139)+($M$12:$M$267=M139)*($N$12:$N$267=N139)*($A$12:$A$267&lt;A139))),0)</f>
        <v/>
      </c>
    </row>
    <row r="140">
      <c r="A140" s="4" t="n">
        <v>129</v>
      </c>
      <c r="B140" s="4" t="inlineStr">
        <is>
          <t>17F2M</t>
        </is>
      </c>
      <c r="C140" s="10">
        <f>IF(SUMPRODUCT(D140:K140,1-$D$5:$K$5)=0,1,0)</f>
        <v/>
      </c>
      <c r="D140" s="4" t="n">
        <v>1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6">
        <f>IF(C140=1,1+SUMPRODUCT(D140:K140,$D$9:$K$9),"")</f>
        <v/>
      </c>
      <c r="M140" s="6">
        <f>SUMPRODUCT(D140:K140,$D$6:$K$6)</f>
        <v/>
      </c>
      <c r="N140" s="6">
        <f>SUMPRODUCT(D140:K140,$D$7:$K$7)</f>
        <v/>
      </c>
      <c r="O140" s="25">
        <f>SUMPRODUCT(D140:K140,$D$8:$K$8)</f>
        <v/>
      </c>
      <c r="P140" s="21">
        <f>M140/10^in_out_dp</f>
        <v/>
      </c>
      <c r="Q140" s="26">
        <f>N140/10^in_cost_dp</f>
        <v/>
      </c>
      <c r="R140" s="10">
        <f>IF(SUM(D140:K140)=0,1,0)</f>
        <v/>
      </c>
      <c r="S140" s="10">
        <f>SUMPRODUCT($C$12:$C$267*(($M$12:$M$267=M140)*($N$12:$N$267&lt;N140)+($M$12:$M$267&gt;M140)*($N$12:$N$267&lt;=N140)))</f>
        <v/>
      </c>
      <c r="T140" s="10">
        <f>IF(C140=0,0,IF(OR(R140=1,S140=0),1,0))</f>
        <v/>
      </c>
      <c r="U140" s="10">
        <f>IF(AND(T140=1,R140=0,M140&gt;0),1,0)</f>
        <v/>
      </c>
      <c r="V140" s="30">
        <f>IF(U140=1,MAX(N140/M140,SUMPRODUCT(MAX(((N140-$N$12:$N$267)*($U$12:$U$267*($M$12:$M$267&lt;M140)))/((M140-$M$12:$M$267)*($U$12:$U$267*($M$12:$M$267&lt;M140))+1-($U$12:$U$267*($M$12:$M$267&lt;M140)))-(1-($U$12:$U$267*($M$12:$M$267&lt;M140)))*1E+300))),0)</f>
        <v/>
      </c>
      <c r="W140" s="30">
        <f>IF(U140=1,SUMPRODUCT(MIN(((($N$12:$N$267-N140)*($U$12:$U$267*($M$12:$M$267&gt;M140)))/(($M$12:$M$267-M140)*($U$12:$U$267*($M$12:$M$267&gt;M140))+1-($U$12:$U$267*($M$12:$M$267&gt;M140)))+(1-($U$12:$U$267*($M$12:$M$267&gt;M140)))*1E+300))),0)</f>
        <v/>
      </c>
      <c r="X140" s="10">
        <f>IF(C140=0,0,IF(R140=1,1,IF(AND(U140=1,V140&lt;=W140),1,0)))</f>
        <v/>
      </c>
      <c r="Y140" s="10">
        <f>IF(X140=1,1+SUMPRODUCT($X$12:$X$267*(($M$12:$M$267&lt;M140)+($M$12:$M$267=M140)*($A$12:$A$267&lt;A140))),0)</f>
        <v/>
      </c>
      <c r="Z140" s="10">
        <f>IF(Y140&lt;=1,0,SUMPRODUCT(($Y$12:$Y$267=Y140-1)*$M$12:$M$267))</f>
        <v/>
      </c>
      <c r="AA140" s="10">
        <f>IF(Y140&lt;=1,0,SUMPRODUCT(($Y$12:$Y$267=Y140-1)*$N$12:$N$267))</f>
        <v/>
      </c>
      <c r="AB140" s="21">
        <f>IF(Y140=0,"",(M140-Z140)/10^in_out_dp)</f>
        <v/>
      </c>
      <c r="AC140" s="26">
        <f>IF(Y140=0,"",(N140-AA140)/10^in_cost_dp)</f>
        <v/>
      </c>
      <c r="AD140" s="26">
        <f>IF(Y140=0,"",IF(M140=Z140,0,AC140/AB140))</f>
        <v/>
      </c>
      <c r="AE140" s="26">
        <f>IF(AND(C140=1,M140&gt;0),Q140/P140,"n/a")</f>
        <v/>
      </c>
      <c r="AF140" s="15" t="n">
        <v>0</v>
      </c>
      <c r="AG140" s="6">
        <f>IF(AND(C140=1,AF140=1),1+SUMPRODUCT($C$12:$C$267*$AF$12:$AF$267*(($M$12:$M$267&lt;M140)+($M$12:$M$267=M140)*($N$12:$N$267&lt;N140)+($M$12:$M$267=M140)*($N$12:$N$267=N140)*($A$12:$A$267&lt;A140))),0)</f>
        <v/>
      </c>
    </row>
    <row r="141">
      <c r="A141" s="4" t="n">
        <v>130</v>
      </c>
      <c r="B141" s="4" t="inlineStr">
        <is>
          <t>17F2M + 19A</t>
        </is>
      </c>
      <c r="C141" s="10">
        <f>IF(SUMPRODUCT(D141:K141,1-$D$5:$K$5)=0,1,0)</f>
        <v/>
      </c>
      <c r="D141" s="4" t="n">
        <v>1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1</v>
      </c>
      <c r="L141" s="6">
        <f>IF(C141=1,1+SUMPRODUCT(D141:K141,$D$9:$K$9),"")</f>
        <v/>
      </c>
      <c r="M141" s="6">
        <f>SUMPRODUCT(D141:K141,$D$6:$K$6)</f>
        <v/>
      </c>
      <c r="N141" s="6">
        <f>SUMPRODUCT(D141:K141,$D$7:$K$7)</f>
        <v/>
      </c>
      <c r="O141" s="25">
        <f>SUMPRODUCT(D141:K141,$D$8:$K$8)</f>
        <v/>
      </c>
      <c r="P141" s="21">
        <f>M141/10^in_out_dp</f>
        <v/>
      </c>
      <c r="Q141" s="26">
        <f>N141/10^in_cost_dp</f>
        <v/>
      </c>
      <c r="R141" s="10">
        <f>IF(SUM(D141:K141)=0,1,0)</f>
        <v/>
      </c>
      <c r="S141" s="10">
        <f>SUMPRODUCT($C$12:$C$267*(($M$12:$M$267=M141)*($N$12:$N$267&lt;N141)+($M$12:$M$267&gt;M141)*($N$12:$N$267&lt;=N141)))</f>
        <v/>
      </c>
      <c r="T141" s="10">
        <f>IF(C141=0,0,IF(OR(R141=1,S141=0),1,0))</f>
        <v/>
      </c>
      <c r="U141" s="10">
        <f>IF(AND(T141=1,R141=0,M141&gt;0),1,0)</f>
        <v/>
      </c>
      <c r="V141" s="30">
        <f>IF(U141=1,MAX(N141/M141,SUMPRODUCT(MAX(((N141-$N$12:$N$267)*($U$12:$U$267*($M$12:$M$267&lt;M141)))/((M141-$M$12:$M$267)*($U$12:$U$267*($M$12:$M$267&lt;M141))+1-($U$12:$U$267*($M$12:$M$267&lt;M141)))-(1-($U$12:$U$267*($M$12:$M$267&lt;M141)))*1E+300))),0)</f>
        <v/>
      </c>
      <c r="W141" s="30">
        <f>IF(U141=1,SUMPRODUCT(MIN(((($N$12:$N$267-N141)*($U$12:$U$267*($M$12:$M$267&gt;M141)))/(($M$12:$M$267-M141)*($U$12:$U$267*($M$12:$M$267&gt;M141))+1-($U$12:$U$267*($M$12:$M$267&gt;M141)))+(1-($U$12:$U$267*($M$12:$M$267&gt;M141)))*1E+300))),0)</f>
        <v/>
      </c>
      <c r="X141" s="10">
        <f>IF(C141=0,0,IF(R141=1,1,IF(AND(U141=1,V141&lt;=W141),1,0)))</f>
        <v/>
      </c>
      <c r="Y141" s="10">
        <f>IF(X141=1,1+SUMPRODUCT($X$12:$X$267*(($M$12:$M$267&lt;M141)+($M$12:$M$267=M141)*($A$12:$A$267&lt;A141))),0)</f>
        <v/>
      </c>
      <c r="Z141" s="10">
        <f>IF(Y141&lt;=1,0,SUMPRODUCT(($Y$12:$Y$267=Y141-1)*$M$12:$M$267))</f>
        <v/>
      </c>
      <c r="AA141" s="10">
        <f>IF(Y141&lt;=1,0,SUMPRODUCT(($Y$12:$Y$267=Y141-1)*$N$12:$N$267))</f>
        <v/>
      </c>
      <c r="AB141" s="21">
        <f>IF(Y141=0,"",(M141-Z141)/10^in_out_dp)</f>
        <v/>
      </c>
      <c r="AC141" s="26">
        <f>IF(Y141=0,"",(N141-AA141)/10^in_cost_dp)</f>
        <v/>
      </c>
      <c r="AD141" s="26">
        <f>IF(Y141=0,"",IF(M141=Z141,0,AC141/AB141))</f>
        <v/>
      </c>
      <c r="AE141" s="26">
        <f>IF(AND(C141=1,M141&gt;0),Q141/P141,"n/a")</f>
        <v/>
      </c>
      <c r="AF141" s="15" t="n">
        <v>0</v>
      </c>
      <c r="AG141" s="6">
        <f>IF(AND(C141=1,AF141=1),1+SUMPRODUCT($C$12:$C$267*$AF$12:$AF$267*(($M$12:$M$267&lt;M141)+($M$12:$M$267=M141)*($N$12:$N$267&lt;N141)+($M$12:$M$267=M141)*($N$12:$N$267=N141)*($A$12:$A$267&lt;A141))),0)</f>
        <v/>
      </c>
    </row>
    <row r="142">
      <c r="A142" s="4" t="n">
        <v>131</v>
      </c>
      <c r="B142" s="4" t="inlineStr">
        <is>
          <t>17F2M + 3F</t>
        </is>
      </c>
      <c r="C142" s="10">
        <f>IF(SUMPRODUCT(D142:K142,1-$D$5:$K$5)=0,1,0)</f>
        <v/>
      </c>
      <c r="D142" s="4" t="n">
        <v>1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1</v>
      </c>
      <c r="K142" s="4" t="n">
        <v>0</v>
      </c>
      <c r="L142" s="6">
        <f>IF(C142=1,1+SUMPRODUCT(D142:K142,$D$9:$K$9),"")</f>
        <v/>
      </c>
      <c r="M142" s="6">
        <f>SUMPRODUCT(D142:K142,$D$6:$K$6)</f>
        <v/>
      </c>
      <c r="N142" s="6">
        <f>SUMPRODUCT(D142:K142,$D$7:$K$7)</f>
        <v/>
      </c>
      <c r="O142" s="25">
        <f>SUMPRODUCT(D142:K142,$D$8:$K$8)</f>
        <v/>
      </c>
      <c r="P142" s="21">
        <f>M142/10^in_out_dp</f>
        <v/>
      </c>
      <c r="Q142" s="26">
        <f>N142/10^in_cost_dp</f>
        <v/>
      </c>
      <c r="R142" s="10">
        <f>IF(SUM(D142:K142)=0,1,0)</f>
        <v/>
      </c>
      <c r="S142" s="10">
        <f>SUMPRODUCT($C$12:$C$267*(($M$12:$M$267=M142)*($N$12:$N$267&lt;N142)+($M$12:$M$267&gt;M142)*($N$12:$N$267&lt;=N142)))</f>
        <v/>
      </c>
      <c r="T142" s="10">
        <f>IF(C142=0,0,IF(OR(R142=1,S142=0),1,0))</f>
        <v/>
      </c>
      <c r="U142" s="10">
        <f>IF(AND(T142=1,R142=0,M142&gt;0),1,0)</f>
        <v/>
      </c>
      <c r="V142" s="30">
        <f>IF(U142=1,MAX(N142/M142,SUMPRODUCT(MAX(((N142-$N$12:$N$267)*($U$12:$U$267*($M$12:$M$267&lt;M142)))/((M142-$M$12:$M$267)*($U$12:$U$267*($M$12:$M$267&lt;M142))+1-($U$12:$U$267*($M$12:$M$267&lt;M142)))-(1-($U$12:$U$267*($M$12:$M$267&lt;M142)))*1E+300))),0)</f>
        <v/>
      </c>
      <c r="W142" s="30">
        <f>IF(U142=1,SUMPRODUCT(MIN(((($N$12:$N$267-N142)*($U$12:$U$267*($M$12:$M$267&gt;M142)))/(($M$12:$M$267-M142)*($U$12:$U$267*($M$12:$M$267&gt;M142))+1-($U$12:$U$267*($M$12:$M$267&gt;M142)))+(1-($U$12:$U$267*($M$12:$M$267&gt;M142)))*1E+300))),0)</f>
        <v/>
      </c>
      <c r="X142" s="10">
        <f>IF(C142=0,0,IF(R142=1,1,IF(AND(U142=1,V142&lt;=W142),1,0)))</f>
        <v/>
      </c>
      <c r="Y142" s="10">
        <f>IF(X142=1,1+SUMPRODUCT($X$12:$X$267*(($M$12:$M$267&lt;M142)+($M$12:$M$267=M142)*($A$12:$A$267&lt;A142))),0)</f>
        <v/>
      </c>
      <c r="Z142" s="10">
        <f>IF(Y142&lt;=1,0,SUMPRODUCT(($Y$12:$Y$267=Y142-1)*$M$12:$M$267))</f>
        <v/>
      </c>
      <c r="AA142" s="10">
        <f>IF(Y142&lt;=1,0,SUMPRODUCT(($Y$12:$Y$267=Y142-1)*$N$12:$N$267))</f>
        <v/>
      </c>
      <c r="AB142" s="21">
        <f>IF(Y142=0,"",(M142-Z142)/10^in_out_dp)</f>
        <v/>
      </c>
      <c r="AC142" s="26">
        <f>IF(Y142=0,"",(N142-AA142)/10^in_cost_dp)</f>
        <v/>
      </c>
      <c r="AD142" s="26">
        <f>IF(Y142=0,"",IF(M142=Z142,0,AC142/AB142))</f>
        <v/>
      </c>
      <c r="AE142" s="26">
        <f>IF(AND(C142=1,M142&gt;0),Q142/P142,"n/a")</f>
        <v/>
      </c>
      <c r="AF142" s="15" t="n">
        <v>0</v>
      </c>
      <c r="AG142" s="6">
        <f>IF(AND(C142=1,AF142=1),1+SUMPRODUCT($C$12:$C$267*$AF$12:$AF$267*(($M$12:$M$267&lt;M142)+($M$12:$M$267=M142)*($N$12:$N$267&lt;N142)+($M$12:$M$267=M142)*($N$12:$N$267=N142)*($A$12:$A$267&lt;A142))),0)</f>
        <v/>
      </c>
    </row>
    <row r="143">
      <c r="A143" s="4" t="n">
        <v>132</v>
      </c>
      <c r="B143" s="4" t="inlineStr">
        <is>
          <t>17F2M + 3F + 19A</t>
        </is>
      </c>
      <c r="C143" s="10">
        <f>IF(SUMPRODUCT(D143:K143,1-$D$5:$K$5)=0,1,0)</f>
        <v/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1</v>
      </c>
      <c r="K143" s="4" t="n">
        <v>1</v>
      </c>
      <c r="L143" s="6">
        <f>IF(C143=1,1+SUMPRODUCT(D143:K143,$D$9:$K$9),"")</f>
        <v/>
      </c>
      <c r="M143" s="6">
        <f>SUMPRODUCT(D143:K143,$D$6:$K$6)</f>
        <v/>
      </c>
      <c r="N143" s="6">
        <f>SUMPRODUCT(D143:K143,$D$7:$K$7)</f>
        <v/>
      </c>
      <c r="O143" s="25">
        <f>SUMPRODUCT(D143:K143,$D$8:$K$8)</f>
        <v/>
      </c>
      <c r="P143" s="21">
        <f>M143/10^in_out_dp</f>
        <v/>
      </c>
      <c r="Q143" s="26">
        <f>N143/10^in_cost_dp</f>
        <v/>
      </c>
      <c r="R143" s="10">
        <f>IF(SUM(D143:K143)=0,1,0)</f>
        <v/>
      </c>
      <c r="S143" s="10">
        <f>SUMPRODUCT($C$12:$C$267*(($M$12:$M$267=M143)*($N$12:$N$267&lt;N143)+($M$12:$M$267&gt;M143)*($N$12:$N$267&lt;=N143)))</f>
        <v/>
      </c>
      <c r="T143" s="10">
        <f>IF(C143=0,0,IF(OR(R143=1,S143=0),1,0))</f>
        <v/>
      </c>
      <c r="U143" s="10">
        <f>IF(AND(T143=1,R143=0,M143&gt;0),1,0)</f>
        <v/>
      </c>
      <c r="V143" s="30">
        <f>IF(U143=1,MAX(N143/M143,SUMPRODUCT(MAX(((N143-$N$12:$N$267)*($U$12:$U$267*($M$12:$M$267&lt;M143)))/((M143-$M$12:$M$267)*($U$12:$U$267*($M$12:$M$267&lt;M143))+1-($U$12:$U$267*($M$12:$M$267&lt;M143)))-(1-($U$12:$U$267*($M$12:$M$267&lt;M143)))*1E+300))),0)</f>
        <v/>
      </c>
      <c r="W143" s="30">
        <f>IF(U143=1,SUMPRODUCT(MIN(((($N$12:$N$267-N143)*($U$12:$U$267*($M$12:$M$267&gt;M143)))/(($M$12:$M$267-M143)*($U$12:$U$267*($M$12:$M$267&gt;M143))+1-($U$12:$U$267*($M$12:$M$267&gt;M143)))+(1-($U$12:$U$267*($M$12:$M$267&gt;M143)))*1E+300))),0)</f>
        <v/>
      </c>
      <c r="X143" s="10">
        <f>IF(C143=0,0,IF(R143=1,1,IF(AND(U143=1,V143&lt;=W143),1,0)))</f>
        <v/>
      </c>
      <c r="Y143" s="10">
        <f>IF(X143=1,1+SUMPRODUCT($X$12:$X$267*(($M$12:$M$267&lt;M143)+($M$12:$M$267=M143)*($A$12:$A$267&lt;A143))),0)</f>
        <v/>
      </c>
      <c r="Z143" s="10">
        <f>IF(Y143&lt;=1,0,SUMPRODUCT(($Y$12:$Y$267=Y143-1)*$M$12:$M$267))</f>
        <v/>
      </c>
      <c r="AA143" s="10">
        <f>IF(Y143&lt;=1,0,SUMPRODUCT(($Y$12:$Y$267=Y143-1)*$N$12:$N$267))</f>
        <v/>
      </c>
      <c r="AB143" s="21">
        <f>IF(Y143=0,"",(M143-Z143)/10^in_out_dp)</f>
        <v/>
      </c>
      <c r="AC143" s="26">
        <f>IF(Y143=0,"",(N143-AA143)/10^in_cost_dp)</f>
        <v/>
      </c>
      <c r="AD143" s="26">
        <f>IF(Y143=0,"",IF(M143=Z143,0,AC143/AB143))</f>
        <v/>
      </c>
      <c r="AE143" s="26">
        <f>IF(AND(C143=1,M143&gt;0),Q143/P143,"n/a")</f>
        <v/>
      </c>
      <c r="AF143" s="15" t="n">
        <v>0</v>
      </c>
      <c r="AG143" s="6">
        <f>IF(AND(C143=1,AF143=1),1+SUMPRODUCT($C$12:$C$267*$AF$12:$AF$267*(($M$12:$M$267&lt;M143)+($M$12:$M$267=M143)*($N$12:$N$267&lt;N143)+($M$12:$M$267=M143)*($N$12:$N$267=N143)*($A$12:$A$267&lt;A143))),0)</f>
        <v/>
      </c>
    </row>
    <row r="144">
      <c r="A144" s="4" t="n">
        <v>133</v>
      </c>
      <c r="B144" s="4" t="inlineStr">
        <is>
          <t>17F2M + 3E</t>
        </is>
      </c>
      <c r="C144" s="10">
        <f>IF(SUMPRODUCT(D144:K144,1-$D$5:$K$5)=0,1,0)</f>
        <v/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6">
        <f>IF(C144=1,1+SUMPRODUCT(D144:K144,$D$9:$K$9),"")</f>
        <v/>
      </c>
      <c r="M144" s="6">
        <f>SUMPRODUCT(D144:K144,$D$6:$K$6)</f>
        <v/>
      </c>
      <c r="N144" s="6">
        <f>SUMPRODUCT(D144:K144,$D$7:$K$7)</f>
        <v/>
      </c>
      <c r="O144" s="25">
        <f>SUMPRODUCT(D144:K144,$D$8:$K$8)</f>
        <v/>
      </c>
      <c r="P144" s="21">
        <f>M144/10^in_out_dp</f>
        <v/>
      </c>
      <c r="Q144" s="26">
        <f>N144/10^in_cost_dp</f>
        <v/>
      </c>
      <c r="R144" s="10">
        <f>IF(SUM(D144:K144)=0,1,0)</f>
        <v/>
      </c>
      <c r="S144" s="10">
        <f>SUMPRODUCT($C$12:$C$267*(($M$12:$M$267=M144)*($N$12:$N$267&lt;N144)+($M$12:$M$267&gt;M144)*($N$12:$N$267&lt;=N144)))</f>
        <v/>
      </c>
      <c r="T144" s="10">
        <f>IF(C144=0,0,IF(OR(R144=1,S144=0),1,0))</f>
        <v/>
      </c>
      <c r="U144" s="10">
        <f>IF(AND(T144=1,R144=0,M144&gt;0),1,0)</f>
        <v/>
      </c>
      <c r="V144" s="30">
        <f>IF(U144=1,MAX(N144/M144,SUMPRODUCT(MAX(((N144-$N$12:$N$267)*($U$12:$U$267*($M$12:$M$267&lt;M144)))/((M144-$M$12:$M$267)*($U$12:$U$267*($M$12:$M$267&lt;M144))+1-($U$12:$U$267*($M$12:$M$267&lt;M144)))-(1-($U$12:$U$267*($M$12:$M$267&lt;M144)))*1E+300))),0)</f>
        <v/>
      </c>
      <c r="W144" s="30">
        <f>IF(U144=1,SUMPRODUCT(MIN(((($N$12:$N$267-N144)*($U$12:$U$267*($M$12:$M$267&gt;M144)))/(($M$12:$M$267-M144)*($U$12:$U$267*($M$12:$M$267&gt;M144))+1-($U$12:$U$267*($M$12:$M$267&gt;M144)))+(1-($U$12:$U$267*($M$12:$M$267&gt;M144)))*1E+300))),0)</f>
        <v/>
      </c>
      <c r="X144" s="10">
        <f>IF(C144=0,0,IF(R144=1,1,IF(AND(U144=1,V144&lt;=W144),1,0)))</f>
        <v/>
      </c>
      <c r="Y144" s="10">
        <f>IF(X144=1,1+SUMPRODUCT($X$12:$X$267*(($M$12:$M$267&lt;M144)+($M$12:$M$267=M144)*($A$12:$A$267&lt;A144))),0)</f>
        <v/>
      </c>
      <c r="Z144" s="10">
        <f>IF(Y144&lt;=1,0,SUMPRODUCT(($Y$12:$Y$267=Y144-1)*$M$12:$M$267))</f>
        <v/>
      </c>
      <c r="AA144" s="10">
        <f>IF(Y144&lt;=1,0,SUMPRODUCT(($Y$12:$Y$267=Y144-1)*$N$12:$N$267))</f>
        <v/>
      </c>
      <c r="AB144" s="21">
        <f>IF(Y144=0,"",(M144-Z144)/10^in_out_dp)</f>
        <v/>
      </c>
      <c r="AC144" s="26">
        <f>IF(Y144=0,"",(N144-AA144)/10^in_cost_dp)</f>
        <v/>
      </c>
      <c r="AD144" s="26">
        <f>IF(Y144=0,"",IF(M144=Z144,0,AC144/AB144))</f>
        <v/>
      </c>
      <c r="AE144" s="26">
        <f>IF(AND(C144=1,M144&gt;0),Q144/P144,"n/a")</f>
        <v/>
      </c>
      <c r="AF144" s="15" t="n">
        <v>0</v>
      </c>
      <c r="AG144" s="6">
        <f>IF(AND(C144=1,AF144=1),1+SUMPRODUCT($C$12:$C$267*$AF$12:$AF$267*(($M$12:$M$267&lt;M144)+($M$12:$M$267=M144)*($N$12:$N$267&lt;N144)+($M$12:$M$267=M144)*($N$12:$N$267=N144)*($A$12:$A$267&lt;A144))),0)</f>
        <v/>
      </c>
    </row>
    <row r="145">
      <c r="A145" s="4" t="n">
        <v>134</v>
      </c>
      <c r="B145" s="4" t="inlineStr">
        <is>
          <t>17F2M + 3E + 19A</t>
        </is>
      </c>
      <c r="C145" s="10">
        <f>IF(SUMPRODUCT(D145:K145,1-$D$5:$K$5)=0,1,0)</f>
        <v/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1</v>
      </c>
      <c r="J145" s="4" t="n">
        <v>0</v>
      </c>
      <c r="K145" s="4" t="n">
        <v>1</v>
      </c>
      <c r="L145" s="6">
        <f>IF(C145=1,1+SUMPRODUCT(D145:K145,$D$9:$K$9),"")</f>
        <v/>
      </c>
      <c r="M145" s="6">
        <f>SUMPRODUCT(D145:K145,$D$6:$K$6)</f>
        <v/>
      </c>
      <c r="N145" s="6">
        <f>SUMPRODUCT(D145:K145,$D$7:$K$7)</f>
        <v/>
      </c>
      <c r="O145" s="25">
        <f>SUMPRODUCT(D145:K145,$D$8:$K$8)</f>
        <v/>
      </c>
      <c r="P145" s="21">
        <f>M145/10^in_out_dp</f>
        <v/>
      </c>
      <c r="Q145" s="26">
        <f>N145/10^in_cost_dp</f>
        <v/>
      </c>
      <c r="R145" s="10">
        <f>IF(SUM(D145:K145)=0,1,0)</f>
        <v/>
      </c>
      <c r="S145" s="10">
        <f>SUMPRODUCT($C$12:$C$267*(($M$12:$M$267=M145)*($N$12:$N$267&lt;N145)+($M$12:$M$267&gt;M145)*($N$12:$N$267&lt;=N145)))</f>
        <v/>
      </c>
      <c r="T145" s="10">
        <f>IF(C145=0,0,IF(OR(R145=1,S145=0),1,0))</f>
        <v/>
      </c>
      <c r="U145" s="10">
        <f>IF(AND(T145=1,R145=0,M145&gt;0),1,0)</f>
        <v/>
      </c>
      <c r="V145" s="30">
        <f>IF(U145=1,MAX(N145/M145,SUMPRODUCT(MAX(((N145-$N$12:$N$267)*($U$12:$U$267*($M$12:$M$267&lt;M145)))/((M145-$M$12:$M$267)*($U$12:$U$267*($M$12:$M$267&lt;M145))+1-($U$12:$U$267*($M$12:$M$267&lt;M145)))-(1-($U$12:$U$267*($M$12:$M$267&lt;M145)))*1E+300))),0)</f>
        <v/>
      </c>
      <c r="W145" s="30">
        <f>IF(U145=1,SUMPRODUCT(MIN(((($N$12:$N$267-N145)*($U$12:$U$267*($M$12:$M$267&gt;M145)))/(($M$12:$M$267-M145)*($U$12:$U$267*($M$12:$M$267&gt;M145))+1-($U$12:$U$267*($M$12:$M$267&gt;M145)))+(1-($U$12:$U$267*($M$12:$M$267&gt;M145)))*1E+300))),0)</f>
        <v/>
      </c>
      <c r="X145" s="10">
        <f>IF(C145=0,0,IF(R145=1,1,IF(AND(U145=1,V145&lt;=W145),1,0)))</f>
        <v/>
      </c>
      <c r="Y145" s="10">
        <f>IF(X145=1,1+SUMPRODUCT($X$12:$X$267*(($M$12:$M$267&lt;M145)+($M$12:$M$267=M145)*($A$12:$A$267&lt;A145))),0)</f>
        <v/>
      </c>
      <c r="Z145" s="10">
        <f>IF(Y145&lt;=1,0,SUMPRODUCT(($Y$12:$Y$267=Y145-1)*$M$12:$M$267))</f>
        <v/>
      </c>
      <c r="AA145" s="10">
        <f>IF(Y145&lt;=1,0,SUMPRODUCT(($Y$12:$Y$267=Y145-1)*$N$12:$N$267))</f>
        <v/>
      </c>
      <c r="AB145" s="21">
        <f>IF(Y145=0,"",(M145-Z145)/10^in_out_dp)</f>
        <v/>
      </c>
      <c r="AC145" s="26">
        <f>IF(Y145=0,"",(N145-AA145)/10^in_cost_dp)</f>
        <v/>
      </c>
      <c r="AD145" s="26">
        <f>IF(Y145=0,"",IF(M145=Z145,0,AC145/AB145))</f>
        <v/>
      </c>
      <c r="AE145" s="26">
        <f>IF(AND(C145=1,M145&gt;0),Q145/P145,"n/a")</f>
        <v/>
      </c>
      <c r="AF145" s="15" t="n">
        <v>0</v>
      </c>
      <c r="AG145" s="6">
        <f>IF(AND(C145=1,AF145=1),1+SUMPRODUCT($C$12:$C$267*$AF$12:$AF$267*(($M$12:$M$267&lt;M145)+($M$12:$M$267=M145)*($N$12:$N$267&lt;N145)+($M$12:$M$267=M145)*($N$12:$N$267=N145)*($A$12:$A$267&lt;A145))),0)</f>
        <v/>
      </c>
    </row>
    <row r="146">
      <c r="A146" s="4" t="n">
        <v>135</v>
      </c>
      <c r="B146" s="4" t="inlineStr">
        <is>
          <t>17F2M + 3E + 3F</t>
        </is>
      </c>
      <c r="C146" s="10">
        <f>IF(SUMPRODUCT(D146:K146,1-$D$5:$K$5)=0,1,0)</f>
        <v/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1</v>
      </c>
      <c r="J146" s="4" t="n">
        <v>1</v>
      </c>
      <c r="K146" s="4" t="n">
        <v>0</v>
      </c>
      <c r="L146" s="6">
        <f>IF(C146=1,1+SUMPRODUCT(D146:K146,$D$9:$K$9),"")</f>
        <v/>
      </c>
      <c r="M146" s="6">
        <f>SUMPRODUCT(D146:K146,$D$6:$K$6)</f>
        <v/>
      </c>
      <c r="N146" s="6">
        <f>SUMPRODUCT(D146:K146,$D$7:$K$7)</f>
        <v/>
      </c>
      <c r="O146" s="25">
        <f>SUMPRODUCT(D146:K146,$D$8:$K$8)</f>
        <v/>
      </c>
      <c r="P146" s="21">
        <f>M146/10^in_out_dp</f>
        <v/>
      </c>
      <c r="Q146" s="26">
        <f>N146/10^in_cost_dp</f>
        <v/>
      </c>
      <c r="R146" s="10">
        <f>IF(SUM(D146:K146)=0,1,0)</f>
        <v/>
      </c>
      <c r="S146" s="10">
        <f>SUMPRODUCT($C$12:$C$267*(($M$12:$M$267=M146)*($N$12:$N$267&lt;N146)+($M$12:$M$267&gt;M146)*($N$12:$N$267&lt;=N146)))</f>
        <v/>
      </c>
      <c r="T146" s="10">
        <f>IF(C146=0,0,IF(OR(R146=1,S146=0),1,0))</f>
        <v/>
      </c>
      <c r="U146" s="10">
        <f>IF(AND(T146=1,R146=0,M146&gt;0),1,0)</f>
        <v/>
      </c>
      <c r="V146" s="30">
        <f>IF(U146=1,MAX(N146/M146,SUMPRODUCT(MAX(((N146-$N$12:$N$267)*($U$12:$U$267*($M$12:$M$267&lt;M146)))/((M146-$M$12:$M$267)*($U$12:$U$267*($M$12:$M$267&lt;M146))+1-($U$12:$U$267*($M$12:$M$267&lt;M146)))-(1-($U$12:$U$267*($M$12:$M$267&lt;M146)))*1E+300))),0)</f>
        <v/>
      </c>
      <c r="W146" s="30">
        <f>IF(U146=1,SUMPRODUCT(MIN(((($N$12:$N$267-N146)*($U$12:$U$267*($M$12:$M$267&gt;M146)))/(($M$12:$M$267-M146)*($U$12:$U$267*($M$12:$M$267&gt;M146))+1-($U$12:$U$267*($M$12:$M$267&gt;M146)))+(1-($U$12:$U$267*($M$12:$M$267&gt;M146)))*1E+300))),0)</f>
        <v/>
      </c>
      <c r="X146" s="10">
        <f>IF(C146=0,0,IF(R146=1,1,IF(AND(U146=1,V146&lt;=W146),1,0)))</f>
        <v/>
      </c>
      <c r="Y146" s="10">
        <f>IF(X146=1,1+SUMPRODUCT($X$12:$X$267*(($M$12:$M$267&lt;M146)+($M$12:$M$267=M146)*($A$12:$A$267&lt;A146))),0)</f>
        <v/>
      </c>
      <c r="Z146" s="10">
        <f>IF(Y146&lt;=1,0,SUMPRODUCT(($Y$12:$Y$267=Y146-1)*$M$12:$M$267))</f>
        <v/>
      </c>
      <c r="AA146" s="10">
        <f>IF(Y146&lt;=1,0,SUMPRODUCT(($Y$12:$Y$267=Y146-1)*$N$12:$N$267))</f>
        <v/>
      </c>
      <c r="AB146" s="21">
        <f>IF(Y146=0,"",(M146-Z146)/10^in_out_dp)</f>
        <v/>
      </c>
      <c r="AC146" s="26">
        <f>IF(Y146=0,"",(N146-AA146)/10^in_cost_dp)</f>
        <v/>
      </c>
      <c r="AD146" s="26">
        <f>IF(Y146=0,"",IF(M146=Z146,0,AC146/AB146))</f>
        <v/>
      </c>
      <c r="AE146" s="26">
        <f>IF(AND(C146=1,M146&gt;0),Q146/P146,"n/a")</f>
        <v/>
      </c>
      <c r="AF146" s="15" t="n">
        <v>0</v>
      </c>
      <c r="AG146" s="6">
        <f>IF(AND(C146=1,AF146=1),1+SUMPRODUCT($C$12:$C$267*$AF$12:$AF$267*(($M$12:$M$267&lt;M146)+($M$12:$M$267=M146)*($N$12:$N$267&lt;N146)+($M$12:$M$267=M146)*($N$12:$N$267=N146)*($A$12:$A$267&lt;A146))),0)</f>
        <v/>
      </c>
    </row>
    <row r="147">
      <c r="A147" s="4" t="n">
        <v>136</v>
      </c>
      <c r="B147" s="4" t="inlineStr">
        <is>
          <t>17F2M + 3E + 3F + 19A</t>
        </is>
      </c>
      <c r="C147" s="10">
        <f>IF(SUMPRODUCT(D147:K147,1-$D$5:$K$5)=0,1,0)</f>
        <v/>
      </c>
      <c r="D147" s="4" t="n">
        <v>1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1</v>
      </c>
      <c r="K147" s="4" t="n">
        <v>1</v>
      </c>
      <c r="L147" s="6">
        <f>IF(C147=1,1+SUMPRODUCT(D147:K147,$D$9:$K$9),"")</f>
        <v/>
      </c>
      <c r="M147" s="6">
        <f>SUMPRODUCT(D147:K147,$D$6:$K$6)</f>
        <v/>
      </c>
      <c r="N147" s="6">
        <f>SUMPRODUCT(D147:K147,$D$7:$K$7)</f>
        <v/>
      </c>
      <c r="O147" s="25">
        <f>SUMPRODUCT(D147:K147,$D$8:$K$8)</f>
        <v/>
      </c>
      <c r="P147" s="21">
        <f>M147/10^in_out_dp</f>
        <v/>
      </c>
      <c r="Q147" s="26">
        <f>N147/10^in_cost_dp</f>
        <v/>
      </c>
      <c r="R147" s="10">
        <f>IF(SUM(D147:K147)=0,1,0)</f>
        <v/>
      </c>
      <c r="S147" s="10">
        <f>SUMPRODUCT($C$12:$C$267*(($M$12:$M$267=M147)*($N$12:$N$267&lt;N147)+($M$12:$M$267&gt;M147)*($N$12:$N$267&lt;=N147)))</f>
        <v/>
      </c>
      <c r="T147" s="10">
        <f>IF(C147=0,0,IF(OR(R147=1,S147=0),1,0))</f>
        <v/>
      </c>
      <c r="U147" s="10">
        <f>IF(AND(T147=1,R147=0,M147&gt;0),1,0)</f>
        <v/>
      </c>
      <c r="V147" s="30">
        <f>IF(U147=1,MAX(N147/M147,SUMPRODUCT(MAX(((N147-$N$12:$N$267)*($U$12:$U$267*($M$12:$M$267&lt;M147)))/((M147-$M$12:$M$267)*($U$12:$U$267*($M$12:$M$267&lt;M147))+1-($U$12:$U$267*($M$12:$M$267&lt;M147)))-(1-($U$12:$U$267*($M$12:$M$267&lt;M147)))*1E+300))),0)</f>
        <v/>
      </c>
      <c r="W147" s="30">
        <f>IF(U147=1,SUMPRODUCT(MIN(((($N$12:$N$267-N147)*($U$12:$U$267*($M$12:$M$267&gt;M147)))/(($M$12:$M$267-M147)*($U$12:$U$267*($M$12:$M$267&gt;M147))+1-($U$12:$U$267*($M$12:$M$267&gt;M147)))+(1-($U$12:$U$267*($M$12:$M$267&gt;M147)))*1E+300))),0)</f>
        <v/>
      </c>
      <c r="X147" s="10">
        <f>IF(C147=0,0,IF(R147=1,1,IF(AND(U147=1,V147&lt;=W147),1,0)))</f>
        <v/>
      </c>
      <c r="Y147" s="10">
        <f>IF(X147=1,1+SUMPRODUCT($X$12:$X$267*(($M$12:$M$267&lt;M147)+($M$12:$M$267=M147)*($A$12:$A$267&lt;A147))),0)</f>
        <v/>
      </c>
      <c r="Z147" s="10">
        <f>IF(Y147&lt;=1,0,SUMPRODUCT(($Y$12:$Y$267=Y147-1)*$M$12:$M$267))</f>
        <v/>
      </c>
      <c r="AA147" s="10">
        <f>IF(Y147&lt;=1,0,SUMPRODUCT(($Y$12:$Y$267=Y147-1)*$N$12:$N$267))</f>
        <v/>
      </c>
      <c r="AB147" s="21">
        <f>IF(Y147=0,"",(M147-Z147)/10^in_out_dp)</f>
        <v/>
      </c>
      <c r="AC147" s="26">
        <f>IF(Y147=0,"",(N147-AA147)/10^in_cost_dp)</f>
        <v/>
      </c>
      <c r="AD147" s="26">
        <f>IF(Y147=0,"",IF(M147=Z147,0,AC147/AB147))</f>
        <v/>
      </c>
      <c r="AE147" s="26">
        <f>IF(AND(C147=1,M147&gt;0),Q147/P147,"n/a")</f>
        <v/>
      </c>
      <c r="AF147" s="15" t="n">
        <v>0</v>
      </c>
      <c r="AG147" s="6">
        <f>IF(AND(C147=1,AF147=1),1+SUMPRODUCT($C$12:$C$267*$AF$12:$AF$267*(($M$12:$M$267&lt;M147)+($M$12:$M$267=M147)*($N$12:$N$267&lt;N147)+($M$12:$M$267=M147)*($N$12:$N$267=N147)*($A$12:$A$267&lt;A147))),0)</f>
        <v/>
      </c>
    </row>
    <row r="148">
      <c r="A148" s="4" t="n">
        <v>137</v>
      </c>
      <c r="B148" s="4" t="inlineStr">
        <is>
          <t>17F2M + 2B</t>
        </is>
      </c>
      <c r="C148" s="10">
        <f>IF(SUMPRODUCT(D148:K148,1-$D$5:$K$5)=0,1,0)</f>
        <v/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1</v>
      </c>
      <c r="I148" s="4" t="n">
        <v>0</v>
      </c>
      <c r="J148" s="4" t="n">
        <v>0</v>
      </c>
      <c r="K148" s="4" t="n">
        <v>0</v>
      </c>
      <c r="L148" s="6">
        <f>IF(C148=1,1+SUMPRODUCT(D148:K148,$D$9:$K$9),"")</f>
        <v/>
      </c>
      <c r="M148" s="6">
        <f>SUMPRODUCT(D148:K148,$D$6:$K$6)</f>
        <v/>
      </c>
      <c r="N148" s="6">
        <f>SUMPRODUCT(D148:K148,$D$7:$K$7)</f>
        <v/>
      </c>
      <c r="O148" s="25">
        <f>SUMPRODUCT(D148:K148,$D$8:$K$8)</f>
        <v/>
      </c>
      <c r="P148" s="21">
        <f>M148/10^in_out_dp</f>
        <v/>
      </c>
      <c r="Q148" s="26">
        <f>N148/10^in_cost_dp</f>
        <v/>
      </c>
      <c r="R148" s="10">
        <f>IF(SUM(D148:K148)=0,1,0)</f>
        <v/>
      </c>
      <c r="S148" s="10">
        <f>SUMPRODUCT($C$12:$C$267*(($M$12:$M$267=M148)*($N$12:$N$267&lt;N148)+($M$12:$M$267&gt;M148)*($N$12:$N$267&lt;=N148)))</f>
        <v/>
      </c>
      <c r="T148" s="10">
        <f>IF(C148=0,0,IF(OR(R148=1,S148=0),1,0))</f>
        <v/>
      </c>
      <c r="U148" s="10">
        <f>IF(AND(T148=1,R148=0,M148&gt;0),1,0)</f>
        <v/>
      </c>
      <c r="V148" s="30">
        <f>IF(U148=1,MAX(N148/M148,SUMPRODUCT(MAX(((N148-$N$12:$N$267)*($U$12:$U$267*($M$12:$M$267&lt;M148)))/((M148-$M$12:$M$267)*($U$12:$U$267*($M$12:$M$267&lt;M148))+1-($U$12:$U$267*($M$12:$M$267&lt;M148)))-(1-($U$12:$U$267*($M$12:$M$267&lt;M148)))*1E+300))),0)</f>
        <v/>
      </c>
      <c r="W148" s="30">
        <f>IF(U148=1,SUMPRODUCT(MIN(((($N$12:$N$267-N148)*($U$12:$U$267*($M$12:$M$267&gt;M148)))/(($M$12:$M$267-M148)*($U$12:$U$267*($M$12:$M$267&gt;M148))+1-($U$12:$U$267*($M$12:$M$267&gt;M148)))+(1-($U$12:$U$267*($M$12:$M$267&gt;M148)))*1E+300))),0)</f>
        <v/>
      </c>
      <c r="X148" s="10">
        <f>IF(C148=0,0,IF(R148=1,1,IF(AND(U148=1,V148&lt;=W148),1,0)))</f>
        <v/>
      </c>
      <c r="Y148" s="10">
        <f>IF(X148=1,1+SUMPRODUCT($X$12:$X$267*(($M$12:$M$267&lt;M148)+($M$12:$M$267=M148)*($A$12:$A$267&lt;A148))),0)</f>
        <v/>
      </c>
      <c r="Z148" s="10">
        <f>IF(Y148&lt;=1,0,SUMPRODUCT(($Y$12:$Y$267=Y148-1)*$M$12:$M$267))</f>
        <v/>
      </c>
      <c r="AA148" s="10">
        <f>IF(Y148&lt;=1,0,SUMPRODUCT(($Y$12:$Y$267=Y148-1)*$N$12:$N$267))</f>
        <v/>
      </c>
      <c r="AB148" s="21">
        <f>IF(Y148=0,"",(M148-Z148)/10^in_out_dp)</f>
        <v/>
      </c>
      <c r="AC148" s="26">
        <f>IF(Y148=0,"",(N148-AA148)/10^in_cost_dp)</f>
        <v/>
      </c>
      <c r="AD148" s="26">
        <f>IF(Y148=0,"",IF(M148=Z148,0,AC148/AB148))</f>
        <v/>
      </c>
      <c r="AE148" s="26">
        <f>IF(AND(C148=1,M148&gt;0),Q148/P148,"n/a")</f>
        <v/>
      </c>
      <c r="AF148" s="15" t="n">
        <v>0</v>
      </c>
      <c r="AG148" s="6">
        <f>IF(AND(C148=1,AF148=1),1+SUMPRODUCT($C$12:$C$267*$AF$12:$AF$267*(($M$12:$M$267&lt;M148)+($M$12:$M$267=M148)*($N$12:$N$267&lt;N148)+($M$12:$M$267=M148)*($N$12:$N$267=N148)*($A$12:$A$267&lt;A148))),0)</f>
        <v/>
      </c>
    </row>
    <row r="149">
      <c r="A149" s="4" t="n">
        <v>138</v>
      </c>
      <c r="B149" s="4" t="inlineStr">
        <is>
          <t>17F2M + 2B + 19A</t>
        </is>
      </c>
      <c r="C149" s="10">
        <f>IF(SUMPRODUCT(D149:K149,1-$D$5:$K$5)=0,1,0)</f>
        <v/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1</v>
      </c>
      <c r="L149" s="6">
        <f>IF(C149=1,1+SUMPRODUCT(D149:K149,$D$9:$K$9),"")</f>
        <v/>
      </c>
      <c r="M149" s="6">
        <f>SUMPRODUCT(D149:K149,$D$6:$K$6)</f>
        <v/>
      </c>
      <c r="N149" s="6">
        <f>SUMPRODUCT(D149:K149,$D$7:$K$7)</f>
        <v/>
      </c>
      <c r="O149" s="25">
        <f>SUMPRODUCT(D149:K149,$D$8:$K$8)</f>
        <v/>
      </c>
      <c r="P149" s="21">
        <f>M149/10^in_out_dp</f>
        <v/>
      </c>
      <c r="Q149" s="26">
        <f>N149/10^in_cost_dp</f>
        <v/>
      </c>
      <c r="R149" s="10">
        <f>IF(SUM(D149:K149)=0,1,0)</f>
        <v/>
      </c>
      <c r="S149" s="10">
        <f>SUMPRODUCT($C$12:$C$267*(($M$12:$M$267=M149)*($N$12:$N$267&lt;N149)+($M$12:$M$267&gt;M149)*($N$12:$N$267&lt;=N149)))</f>
        <v/>
      </c>
      <c r="T149" s="10">
        <f>IF(C149=0,0,IF(OR(R149=1,S149=0),1,0))</f>
        <v/>
      </c>
      <c r="U149" s="10">
        <f>IF(AND(T149=1,R149=0,M149&gt;0),1,0)</f>
        <v/>
      </c>
      <c r="V149" s="30">
        <f>IF(U149=1,MAX(N149/M149,SUMPRODUCT(MAX(((N149-$N$12:$N$267)*($U$12:$U$267*($M$12:$M$267&lt;M149)))/((M149-$M$12:$M$267)*($U$12:$U$267*($M$12:$M$267&lt;M149))+1-($U$12:$U$267*($M$12:$M$267&lt;M149)))-(1-($U$12:$U$267*($M$12:$M$267&lt;M149)))*1E+300))),0)</f>
        <v/>
      </c>
      <c r="W149" s="30">
        <f>IF(U149=1,SUMPRODUCT(MIN(((($N$12:$N$267-N149)*($U$12:$U$267*($M$12:$M$267&gt;M149)))/(($M$12:$M$267-M149)*($U$12:$U$267*($M$12:$M$267&gt;M149))+1-($U$12:$U$267*($M$12:$M$267&gt;M149)))+(1-($U$12:$U$267*($M$12:$M$267&gt;M149)))*1E+300))),0)</f>
        <v/>
      </c>
      <c r="X149" s="10">
        <f>IF(C149=0,0,IF(R149=1,1,IF(AND(U149=1,V149&lt;=W149),1,0)))</f>
        <v/>
      </c>
      <c r="Y149" s="10">
        <f>IF(X149=1,1+SUMPRODUCT($X$12:$X$267*(($M$12:$M$267&lt;M149)+($M$12:$M$267=M149)*($A$12:$A$267&lt;A149))),0)</f>
        <v/>
      </c>
      <c r="Z149" s="10">
        <f>IF(Y149&lt;=1,0,SUMPRODUCT(($Y$12:$Y$267=Y149-1)*$M$12:$M$267))</f>
        <v/>
      </c>
      <c r="AA149" s="10">
        <f>IF(Y149&lt;=1,0,SUMPRODUCT(($Y$12:$Y$267=Y149-1)*$N$12:$N$267))</f>
        <v/>
      </c>
      <c r="AB149" s="21">
        <f>IF(Y149=0,"",(M149-Z149)/10^in_out_dp)</f>
        <v/>
      </c>
      <c r="AC149" s="26">
        <f>IF(Y149=0,"",(N149-AA149)/10^in_cost_dp)</f>
        <v/>
      </c>
      <c r="AD149" s="26">
        <f>IF(Y149=0,"",IF(M149=Z149,0,AC149/AB149))</f>
        <v/>
      </c>
      <c r="AE149" s="26">
        <f>IF(AND(C149=1,M149&gt;0),Q149/P149,"n/a")</f>
        <v/>
      </c>
      <c r="AF149" s="15" t="n">
        <v>0</v>
      </c>
      <c r="AG149" s="6">
        <f>IF(AND(C149=1,AF149=1),1+SUMPRODUCT($C$12:$C$267*$AF$12:$AF$267*(($M$12:$M$267&lt;M149)+($M$12:$M$267=M149)*($N$12:$N$267&lt;N149)+($M$12:$M$267=M149)*($N$12:$N$267=N149)*($A$12:$A$267&lt;A149))),0)</f>
        <v/>
      </c>
    </row>
    <row r="150">
      <c r="A150" s="4" t="n">
        <v>139</v>
      </c>
      <c r="B150" s="4" t="inlineStr">
        <is>
          <t>17F2M + 2B + 3F</t>
        </is>
      </c>
      <c r="C150" s="10">
        <f>IF(SUMPRODUCT(D150:K150,1-$D$5:$K$5)=0,1,0)</f>
        <v/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1</v>
      </c>
      <c r="K150" s="4" t="n">
        <v>0</v>
      </c>
      <c r="L150" s="6">
        <f>IF(C150=1,1+SUMPRODUCT(D150:K150,$D$9:$K$9),"")</f>
        <v/>
      </c>
      <c r="M150" s="6">
        <f>SUMPRODUCT(D150:K150,$D$6:$K$6)</f>
        <v/>
      </c>
      <c r="N150" s="6">
        <f>SUMPRODUCT(D150:K150,$D$7:$K$7)</f>
        <v/>
      </c>
      <c r="O150" s="25">
        <f>SUMPRODUCT(D150:K150,$D$8:$K$8)</f>
        <v/>
      </c>
      <c r="P150" s="21">
        <f>M150/10^in_out_dp</f>
        <v/>
      </c>
      <c r="Q150" s="26">
        <f>N150/10^in_cost_dp</f>
        <v/>
      </c>
      <c r="R150" s="10">
        <f>IF(SUM(D150:K150)=0,1,0)</f>
        <v/>
      </c>
      <c r="S150" s="10">
        <f>SUMPRODUCT($C$12:$C$267*(($M$12:$M$267=M150)*($N$12:$N$267&lt;N150)+($M$12:$M$267&gt;M150)*($N$12:$N$267&lt;=N150)))</f>
        <v/>
      </c>
      <c r="T150" s="10">
        <f>IF(C150=0,0,IF(OR(R150=1,S150=0),1,0))</f>
        <v/>
      </c>
      <c r="U150" s="10">
        <f>IF(AND(T150=1,R150=0,M150&gt;0),1,0)</f>
        <v/>
      </c>
      <c r="V150" s="30">
        <f>IF(U150=1,MAX(N150/M150,SUMPRODUCT(MAX(((N150-$N$12:$N$267)*($U$12:$U$267*($M$12:$M$267&lt;M150)))/((M150-$M$12:$M$267)*($U$12:$U$267*($M$12:$M$267&lt;M150))+1-($U$12:$U$267*($M$12:$M$267&lt;M150)))-(1-($U$12:$U$267*($M$12:$M$267&lt;M150)))*1E+300))),0)</f>
        <v/>
      </c>
      <c r="W150" s="30">
        <f>IF(U150=1,SUMPRODUCT(MIN(((($N$12:$N$267-N150)*($U$12:$U$267*($M$12:$M$267&gt;M150)))/(($M$12:$M$267-M150)*($U$12:$U$267*($M$12:$M$267&gt;M150))+1-($U$12:$U$267*($M$12:$M$267&gt;M150)))+(1-($U$12:$U$267*($M$12:$M$267&gt;M150)))*1E+300))),0)</f>
        <v/>
      </c>
      <c r="X150" s="10">
        <f>IF(C150=0,0,IF(R150=1,1,IF(AND(U150=1,V150&lt;=W150),1,0)))</f>
        <v/>
      </c>
      <c r="Y150" s="10">
        <f>IF(X150=1,1+SUMPRODUCT($X$12:$X$267*(($M$12:$M$267&lt;M150)+($M$12:$M$267=M150)*($A$12:$A$267&lt;A150))),0)</f>
        <v/>
      </c>
      <c r="Z150" s="10">
        <f>IF(Y150&lt;=1,0,SUMPRODUCT(($Y$12:$Y$267=Y150-1)*$M$12:$M$267))</f>
        <v/>
      </c>
      <c r="AA150" s="10">
        <f>IF(Y150&lt;=1,0,SUMPRODUCT(($Y$12:$Y$267=Y150-1)*$N$12:$N$267))</f>
        <v/>
      </c>
      <c r="AB150" s="21">
        <f>IF(Y150=0,"",(M150-Z150)/10^in_out_dp)</f>
        <v/>
      </c>
      <c r="AC150" s="26">
        <f>IF(Y150=0,"",(N150-AA150)/10^in_cost_dp)</f>
        <v/>
      </c>
      <c r="AD150" s="26">
        <f>IF(Y150=0,"",IF(M150=Z150,0,AC150/AB150))</f>
        <v/>
      </c>
      <c r="AE150" s="26">
        <f>IF(AND(C150=1,M150&gt;0),Q150/P150,"n/a")</f>
        <v/>
      </c>
      <c r="AF150" s="15" t="n">
        <v>0</v>
      </c>
      <c r="AG150" s="6">
        <f>IF(AND(C150=1,AF150=1),1+SUMPRODUCT($C$12:$C$267*$AF$12:$AF$267*(($M$12:$M$267&lt;M150)+($M$12:$M$267=M150)*($N$12:$N$267&lt;N150)+($M$12:$M$267=M150)*($N$12:$N$267=N150)*($A$12:$A$267&lt;A150))),0)</f>
        <v/>
      </c>
    </row>
    <row r="151">
      <c r="A151" s="4" t="n">
        <v>140</v>
      </c>
      <c r="B151" s="4" t="inlineStr">
        <is>
          <t>17F2M + 2B + 3F + 19A</t>
        </is>
      </c>
      <c r="C151" s="10">
        <f>IF(SUMPRODUCT(D151:K151,1-$D$5:$K$5)=0,1,0)</f>
        <v/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1</v>
      </c>
      <c r="K151" s="4" t="n">
        <v>1</v>
      </c>
      <c r="L151" s="6">
        <f>IF(C151=1,1+SUMPRODUCT(D151:K151,$D$9:$K$9),"")</f>
        <v/>
      </c>
      <c r="M151" s="6">
        <f>SUMPRODUCT(D151:K151,$D$6:$K$6)</f>
        <v/>
      </c>
      <c r="N151" s="6">
        <f>SUMPRODUCT(D151:K151,$D$7:$K$7)</f>
        <v/>
      </c>
      <c r="O151" s="25">
        <f>SUMPRODUCT(D151:K151,$D$8:$K$8)</f>
        <v/>
      </c>
      <c r="P151" s="21">
        <f>M151/10^in_out_dp</f>
        <v/>
      </c>
      <c r="Q151" s="26">
        <f>N151/10^in_cost_dp</f>
        <v/>
      </c>
      <c r="R151" s="10">
        <f>IF(SUM(D151:K151)=0,1,0)</f>
        <v/>
      </c>
      <c r="S151" s="10">
        <f>SUMPRODUCT($C$12:$C$267*(($M$12:$M$267=M151)*($N$12:$N$267&lt;N151)+($M$12:$M$267&gt;M151)*($N$12:$N$267&lt;=N151)))</f>
        <v/>
      </c>
      <c r="T151" s="10">
        <f>IF(C151=0,0,IF(OR(R151=1,S151=0),1,0))</f>
        <v/>
      </c>
      <c r="U151" s="10">
        <f>IF(AND(T151=1,R151=0,M151&gt;0),1,0)</f>
        <v/>
      </c>
      <c r="V151" s="30">
        <f>IF(U151=1,MAX(N151/M151,SUMPRODUCT(MAX(((N151-$N$12:$N$267)*($U$12:$U$267*($M$12:$M$267&lt;M151)))/((M151-$M$12:$M$267)*($U$12:$U$267*($M$12:$M$267&lt;M151))+1-($U$12:$U$267*($M$12:$M$267&lt;M151)))-(1-($U$12:$U$267*($M$12:$M$267&lt;M151)))*1E+300))),0)</f>
        <v/>
      </c>
      <c r="W151" s="30">
        <f>IF(U151=1,SUMPRODUCT(MIN(((($N$12:$N$267-N151)*($U$12:$U$267*($M$12:$M$267&gt;M151)))/(($M$12:$M$267-M151)*($U$12:$U$267*($M$12:$M$267&gt;M151))+1-($U$12:$U$267*($M$12:$M$267&gt;M151)))+(1-($U$12:$U$267*($M$12:$M$267&gt;M151)))*1E+300))),0)</f>
        <v/>
      </c>
      <c r="X151" s="10">
        <f>IF(C151=0,0,IF(R151=1,1,IF(AND(U151=1,V151&lt;=W151),1,0)))</f>
        <v/>
      </c>
      <c r="Y151" s="10">
        <f>IF(X151=1,1+SUMPRODUCT($X$12:$X$267*(($M$12:$M$267&lt;M151)+($M$12:$M$267=M151)*($A$12:$A$267&lt;A151))),0)</f>
        <v/>
      </c>
      <c r="Z151" s="10">
        <f>IF(Y151&lt;=1,0,SUMPRODUCT(($Y$12:$Y$267=Y151-1)*$M$12:$M$267))</f>
        <v/>
      </c>
      <c r="AA151" s="10">
        <f>IF(Y151&lt;=1,0,SUMPRODUCT(($Y$12:$Y$267=Y151-1)*$N$12:$N$267))</f>
        <v/>
      </c>
      <c r="AB151" s="21">
        <f>IF(Y151=0,"",(M151-Z151)/10^in_out_dp)</f>
        <v/>
      </c>
      <c r="AC151" s="26">
        <f>IF(Y151=0,"",(N151-AA151)/10^in_cost_dp)</f>
        <v/>
      </c>
      <c r="AD151" s="26">
        <f>IF(Y151=0,"",IF(M151=Z151,0,AC151/AB151))</f>
        <v/>
      </c>
      <c r="AE151" s="26">
        <f>IF(AND(C151=1,M151&gt;0),Q151/P151,"n/a")</f>
        <v/>
      </c>
      <c r="AF151" s="15" t="n">
        <v>0</v>
      </c>
      <c r="AG151" s="6">
        <f>IF(AND(C151=1,AF151=1),1+SUMPRODUCT($C$12:$C$267*$AF$12:$AF$267*(($M$12:$M$267&lt;M151)+($M$12:$M$267=M151)*($N$12:$N$267&lt;N151)+($M$12:$M$267=M151)*($N$12:$N$267=N151)*($A$12:$A$267&lt;A151))),0)</f>
        <v/>
      </c>
    </row>
    <row r="152">
      <c r="A152" s="4" t="n">
        <v>141</v>
      </c>
      <c r="B152" s="4" t="inlineStr">
        <is>
          <t>17F2M + 2B + 3E</t>
        </is>
      </c>
      <c r="C152" s="10">
        <f>IF(SUMPRODUCT(D152:K152,1-$D$5:$K$5)=0,1,0)</f>
        <v/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1</v>
      </c>
      <c r="I152" s="4" t="n">
        <v>1</v>
      </c>
      <c r="J152" s="4" t="n">
        <v>0</v>
      </c>
      <c r="K152" s="4" t="n">
        <v>0</v>
      </c>
      <c r="L152" s="6">
        <f>IF(C152=1,1+SUMPRODUCT(D152:K152,$D$9:$K$9),"")</f>
        <v/>
      </c>
      <c r="M152" s="6">
        <f>SUMPRODUCT(D152:K152,$D$6:$K$6)</f>
        <v/>
      </c>
      <c r="N152" s="6">
        <f>SUMPRODUCT(D152:K152,$D$7:$K$7)</f>
        <v/>
      </c>
      <c r="O152" s="25">
        <f>SUMPRODUCT(D152:K152,$D$8:$K$8)</f>
        <v/>
      </c>
      <c r="P152" s="21">
        <f>M152/10^in_out_dp</f>
        <v/>
      </c>
      <c r="Q152" s="26">
        <f>N152/10^in_cost_dp</f>
        <v/>
      </c>
      <c r="R152" s="10">
        <f>IF(SUM(D152:K152)=0,1,0)</f>
        <v/>
      </c>
      <c r="S152" s="10">
        <f>SUMPRODUCT($C$12:$C$267*(($M$12:$M$267=M152)*($N$12:$N$267&lt;N152)+($M$12:$M$267&gt;M152)*($N$12:$N$267&lt;=N152)))</f>
        <v/>
      </c>
      <c r="T152" s="10">
        <f>IF(C152=0,0,IF(OR(R152=1,S152=0),1,0))</f>
        <v/>
      </c>
      <c r="U152" s="10">
        <f>IF(AND(T152=1,R152=0,M152&gt;0),1,0)</f>
        <v/>
      </c>
      <c r="V152" s="30">
        <f>IF(U152=1,MAX(N152/M152,SUMPRODUCT(MAX(((N152-$N$12:$N$267)*($U$12:$U$267*($M$12:$M$267&lt;M152)))/((M152-$M$12:$M$267)*($U$12:$U$267*($M$12:$M$267&lt;M152))+1-($U$12:$U$267*($M$12:$M$267&lt;M152)))-(1-($U$12:$U$267*($M$12:$M$267&lt;M152)))*1E+300))),0)</f>
        <v/>
      </c>
      <c r="W152" s="30">
        <f>IF(U152=1,SUMPRODUCT(MIN(((($N$12:$N$267-N152)*($U$12:$U$267*($M$12:$M$267&gt;M152)))/(($M$12:$M$267-M152)*($U$12:$U$267*($M$12:$M$267&gt;M152))+1-($U$12:$U$267*($M$12:$M$267&gt;M152)))+(1-($U$12:$U$267*($M$12:$M$267&gt;M152)))*1E+300))),0)</f>
        <v/>
      </c>
      <c r="X152" s="10">
        <f>IF(C152=0,0,IF(R152=1,1,IF(AND(U152=1,V152&lt;=W152),1,0)))</f>
        <v/>
      </c>
      <c r="Y152" s="10">
        <f>IF(X152=1,1+SUMPRODUCT($X$12:$X$267*(($M$12:$M$267&lt;M152)+($M$12:$M$267=M152)*($A$12:$A$267&lt;A152))),0)</f>
        <v/>
      </c>
      <c r="Z152" s="10">
        <f>IF(Y152&lt;=1,0,SUMPRODUCT(($Y$12:$Y$267=Y152-1)*$M$12:$M$267))</f>
        <v/>
      </c>
      <c r="AA152" s="10">
        <f>IF(Y152&lt;=1,0,SUMPRODUCT(($Y$12:$Y$267=Y152-1)*$N$12:$N$267))</f>
        <v/>
      </c>
      <c r="AB152" s="21">
        <f>IF(Y152=0,"",(M152-Z152)/10^in_out_dp)</f>
        <v/>
      </c>
      <c r="AC152" s="26">
        <f>IF(Y152=0,"",(N152-AA152)/10^in_cost_dp)</f>
        <v/>
      </c>
      <c r="AD152" s="26">
        <f>IF(Y152=0,"",IF(M152=Z152,0,AC152/AB152))</f>
        <v/>
      </c>
      <c r="AE152" s="26">
        <f>IF(AND(C152=1,M152&gt;0),Q152/P152,"n/a")</f>
        <v/>
      </c>
      <c r="AF152" s="15" t="n">
        <v>0</v>
      </c>
      <c r="AG152" s="6">
        <f>IF(AND(C152=1,AF152=1),1+SUMPRODUCT($C$12:$C$267*$AF$12:$AF$267*(($M$12:$M$267&lt;M152)+($M$12:$M$267=M152)*($N$12:$N$267&lt;N152)+($M$12:$M$267=M152)*($N$12:$N$267=N152)*($A$12:$A$267&lt;A152))),0)</f>
        <v/>
      </c>
    </row>
    <row r="153">
      <c r="A153" s="4" t="n">
        <v>142</v>
      </c>
      <c r="B153" s="4" t="inlineStr">
        <is>
          <t>17F2M + 2B + 3E + 19A</t>
        </is>
      </c>
      <c r="C153" s="10">
        <f>IF(SUMPRODUCT(D153:K153,1-$D$5:$K$5)=0,1,0)</f>
        <v/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1</v>
      </c>
      <c r="I153" s="4" t="n">
        <v>1</v>
      </c>
      <c r="J153" s="4" t="n">
        <v>0</v>
      </c>
      <c r="K153" s="4" t="n">
        <v>1</v>
      </c>
      <c r="L153" s="6">
        <f>IF(C153=1,1+SUMPRODUCT(D153:K153,$D$9:$K$9),"")</f>
        <v/>
      </c>
      <c r="M153" s="6">
        <f>SUMPRODUCT(D153:K153,$D$6:$K$6)</f>
        <v/>
      </c>
      <c r="N153" s="6">
        <f>SUMPRODUCT(D153:K153,$D$7:$K$7)</f>
        <v/>
      </c>
      <c r="O153" s="25">
        <f>SUMPRODUCT(D153:K153,$D$8:$K$8)</f>
        <v/>
      </c>
      <c r="P153" s="21">
        <f>M153/10^in_out_dp</f>
        <v/>
      </c>
      <c r="Q153" s="26">
        <f>N153/10^in_cost_dp</f>
        <v/>
      </c>
      <c r="R153" s="10">
        <f>IF(SUM(D153:K153)=0,1,0)</f>
        <v/>
      </c>
      <c r="S153" s="10">
        <f>SUMPRODUCT($C$12:$C$267*(($M$12:$M$267=M153)*($N$12:$N$267&lt;N153)+($M$12:$M$267&gt;M153)*($N$12:$N$267&lt;=N153)))</f>
        <v/>
      </c>
      <c r="T153" s="10">
        <f>IF(C153=0,0,IF(OR(R153=1,S153=0),1,0))</f>
        <v/>
      </c>
      <c r="U153" s="10">
        <f>IF(AND(T153=1,R153=0,M153&gt;0),1,0)</f>
        <v/>
      </c>
      <c r="V153" s="30">
        <f>IF(U153=1,MAX(N153/M153,SUMPRODUCT(MAX(((N153-$N$12:$N$267)*($U$12:$U$267*($M$12:$M$267&lt;M153)))/((M153-$M$12:$M$267)*($U$12:$U$267*($M$12:$M$267&lt;M153))+1-($U$12:$U$267*($M$12:$M$267&lt;M153)))-(1-($U$12:$U$267*($M$12:$M$267&lt;M153)))*1E+300))),0)</f>
        <v/>
      </c>
      <c r="W153" s="30">
        <f>IF(U153=1,SUMPRODUCT(MIN(((($N$12:$N$267-N153)*($U$12:$U$267*($M$12:$M$267&gt;M153)))/(($M$12:$M$267-M153)*($U$12:$U$267*($M$12:$M$267&gt;M153))+1-($U$12:$U$267*($M$12:$M$267&gt;M153)))+(1-($U$12:$U$267*($M$12:$M$267&gt;M153)))*1E+300))),0)</f>
        <v/>
      </c>
      <c r="X153" s="10">
        <f>IF(C153=0,0,IF(R153=1,1,IF(AND(U153=1,V153&lt;=W153),1,0)))</f>
        <v/>
      </c>
      <c r="Y153" s="10">
        <f>IF(X153=1,1+SUMPRODUCT($X$12:$X$267*(($M$12:$M$267&lt;M153)+($M$12:$M$267=M153)*($A$12:$A$267&lt;A153))),0)</f>
        <v/>
      </c>
      <c r="Z153" s="10">
        <f>IF(Y153&lt;=1,0,SUMPRODUCT(($Y$12:$Y$267=Y153-1)*$M$12:$M$267))</f>
        <v/>
      </c>
      <c r="AA153" s="10">
        <f>IF(Y153&lt;=1,0,SUMPRODUCT(($Y$12:$Y$267=Y153-1)*$N$12:$N$267))</f>
        <v/>
      </c>
      <c r="AB153" s="21">
        <f>IF(Y153=0,"",(M153-Z153)/10^in_out_dp)</f>
        <v/>
      </c>
      <c r="AC153" s="26">
        <f>IF(Y153=0,"",(N153-AA153)/10^in_cost_dp)</f>
        <v/>
      </c>
      <c r="AD153" s="26">
        <f>IF(Y153=0,"",IF(M153=Z153,0,AC153/AB153))</f>
        <v/>
      </c>
      <c r="AE153" s="26">
        <f>IF(AND(C153=1,M153&gt;0),Q153/P153,"n/a")</f>
        <v/>
      </c>
      <c r="AF153" s="15" t="n">
        <v>0</v>
      </c>
      <c r="AG153" s="6">
        <f>IF(AND(C153=1,AF153=1),1+SUMPRODUCT($C$12:$C$267*$AF$12:$AF$267*(($M$12:$M$267&lt;M153)+($M$12:$M$267=M153)*($N$12:$N$267&lt;N153)+($M$12:$M$267=M153)*($N$12:$N$267=N153)*($A$12:$A$267&lt;A153))),0)</f>
        <v/>
      </c>
    </row>
    <row r="154">
      <c r="A154" s="4" t="n">
        <v>143</v>
      </c>
      <c r="B154" s="4" t="inlineStr">
        <is>
          <t>17F2M + 2B + 3E + 3F</t>
        </is>
      </c>
      <c r="C154" s="10">
        <f>IF(SUMPRODUCT(D154:K154,1-$D$5:$K$5)=0,1,0)</f>
        <v/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1</v>
      </c>
      <c r="I154" s="4" t="n">
        <v>1</v>
      </c>
      <c r="J154" s="4" t="n">
        <v>1</v>
      </c>
      <c r="K154" s="4" t="n">
        <v>0</v>
      </c>
      <c r="L154" s="6">
        <f>IF(C154=1,1+SUMPRODUCT(D154:K154,$D$9:$K$9),"")</f>
        <v/>
      </c>
      <c r="M154" s="6">
        <f>SUMPRODUCT(D154:K154,$D$6:$K$6)</f>
        <v/>
      </c>
      <c r="N154" s="6">
        <f>SUMPRODUCT(D154:K154,$D$7:$K$7)</f>
        <v/>
      </c>
      <c r="O154" s="25">
        <f>SUMPRODUCT(D154:K154,$D$8:$K$8)</f>
        <v/>
      </c>
      <c r="P154" s="21">
        <f>M154/10^in_out_dp</f>
        <v/>
      </c>
      <c r="Q154" s="26">
        <f>N154/10^in_cost_dp</f>
        <v/>
      </c>
      <c r="R154" s="10">
        <f>IF(SUM(D154:K154)=0,1,0)</f>
        <v/>
      </c>
      <c r="S154" s="10">
        <f>SUMPRODUCT($C$12:$C$267*(($M$12:$M$267=M154)*($N$12:$N$267&lt;N154)+($M$12:$M$267&gt;M154)*($N$12:$N$267&lt;=N154)))</f>
        <v/>
      </c>
      <c r="T154" s="10">
        <f>IF(C154=0,0,IF(OR(R154=1,S154=0),1,0))</f>
        <v/>
      </c>
      <c r="U154" s="10">
        <f>IF(AND(T154=1,R154=0,M154&gt;0),1,0)</f>
        <v/>
      </c>
      <c r="V154" s="30">
        <f>IF(U154=1,MAX(N154/M154,SUMPRODUCT(MAX(((N154-$N$12:$N$267)*($U$12:$U$267*($M$12:$M$267&lt;M154)))/((M154-$M$12:$M$267)*($U$12:$U$267*($M$12:$M$267&lt;M154))+1-($U$12:$U$267*($M$12:$M$267&lt;M154)))-(1-($U$12:$U$267*($M$12:$M$267&lt;M154)))*1E+300))),0)</f>
        <v/>
      </c>
      <c r="W154" s="30">
        <f>IF(U154=1,SUMPRODUCT(MIN(((($N$12:$N$267-N154)*($U$12:$U$267*($M$12:$M$267&gt;M154)))/(($M$12:$M$267-M154)*($U$12:$U$267*($M$12:$M$267&gt;M154))+1-($U$12:$U$267*($M$12:$M$267&gt;M154)))+(1-($U$12:$U$267*($M$12:$M$267&gt;M154)))*1E+300))),0)</f>
        <v/>
      </c>
      <c r="X154" s="10">
        <f>IF(C154=0,0,IF(R154=1,1,IF(AND(U154=1,V154&lt;=W154),1,0)))</f>
        <v/>
      </c>
      <c r="Y154" s="10">
        <f>IF(X154=1,1+SUMPRODUCT($X$12:$X$267*(($M$12:$M$267&lt;M154)+($M$12:$M$267=M154)*($A$12:$A$267&lt;A154))),0)</f>
        <v/>
      </c>
      <c r="Z154" s="10">
        <f>IF(Y154&lt;=1,0,SUMPRODUCT(($Y$12:$Y$267=Y154-1)*$M$12:$M$267))</f>
        <v/>
      </c>
      <c r="AA154" s="10">
        <f>IF(Y154&lt;=1,0,SUMPRODUCT(($Y$12:$Y$267=Y154-1)*$N$12:$N$267))</f>
        <v/>
      </c>
      <c r="AB154" s="21">
        <f>IF(Y154=0,"",(M154-Z154)/10^in_out_dp)</f>
        <v/>
      </c>
      <c r="AC154" s="26">
        <f>IF(Y154=0,"",(N154-AA154)/10^in_cost_dp)</f>
        <v/>
      </c>
      <c r="AD154" s="26">
        <f>IF(Y154=0,"",IF(M154=Z154,0,AC154/AB154))</f>
        <v/>
      </c>
      <c r="AE154" s="26">
        <f>IF(AND(C154=1,M154&gt;0),Q154/P154,"n/a")</f>
        <v/>
      </c>
      <c r="AF154" s="15" t="n">
        <v>0</v>
      </c>
      <c r="AG154" s="6">
        <f>IF(AND(C154=1,AF154=1),1+SUMPRODUCT($C$12:$C$267*$AF$12:$AF$267*(($M$12:$M$267&lt;M154)+($M$12:$M$267=M154)*($N$12:$N$267&lt;N154)+($M$12:$M$267=M154)*($N$12:$N$267=N154)*($A$12:$A$267&lt;A154))),0)</f>
        <v/>
      </c>
    </row>
    <row r="155">
      <c r="A155" s="4" t="n">
        <v>144</v>
      </c>
      <c r="B155" s="4" t="inlineStr">
        <is>
          <t>17F2M + 2B + 3E + 3F + 19A</t>
        </is>
      </c>
      <c r="C155" s="10">
        <f>IF(SUMPRODUCT(D155:K155,1-$D$5:$K$5)=0,1,0)</f>
        <v/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1</v>
      </c>
      <c r="I155" s="4" t="n">
        <v>1</v>
      </c>
      <c r="J155" s="4" t="n">
        <v>1</v>
      </c>
      <c r="K155" s="4" t="n">
        <v>1</v>
      </c>
      <c r="L155" s="6">
        <f>IF(C155=1,1+SUMPRODUCT(D155:K155,$D$9:$K$9),"")</f>
        <v/>
      </c>
      <c r="M155" s="6">
        <f>SUMPRODUCT(D155:K155,$D$6:$K$6)</f>
        <v/>
      </c>
      <c r="N155" s="6">
        <f>SUMPRODUCT(D155:K155,$D$7:$K$7)</f>
        <v/>
      </c>
      <c r="O155" s="25">
        <f>SUMPRODUCT(D155:K155,$D$8:$K$8)</f>
        <v/>
      </c>
      <c r="P155" s="21">
        <f>M155/10^in_out_dp</f>
        <v/>
      </c>
      <c r="Q155" s="26">
        <f>N155/10^in_cost_dp</f>
        <v/>
      </c>
      <c r="R155" s="10">
        <f>IF(SUM(D155:K155)=0,1,0)</f>
        <v/>
      </c>
      <c r="S155" s="10">
        <f>SUMPRODUCT($C$12:$C$267*(($M$12:$M$267=M155)*($N$12:$N$267&lt;N155)+($M$12:$M$267&gt;M155)*($N$12:$N$267&lt;=N155)))</f>
        <v/>
      </c>
      <c r="T155" s="10">
        <f>IF(C155=0,0,IF(OR(R155=1,S155=0),1,0))</f>
        <v/>
      </c>
      <c r="U155" s="10">
        <f>IF(AND(T155=1,R155=0,M155&gt;0),1,0)</f>
        <v/>
      </c>
      <c r="V155" s="30">
        <f>IF(U155=1,MAX(N155/M155,SUMPRODUCT(MAX(((N155-$N$12:$N$267)*($U$12:$U$267*($M$12:$M$267&lt;M155)))/((M155-$M$12:$M$267)*($U$12:$U$267*($M$12:$M$267&lt;M155))+1-($U$12:$U$267*($M$12:$M$267&lt;M155)))-(1-($U$12:$U$267*($M$12:$M$267&lt;M155)))*1E+300))),0)</f>
        <v/>
      </c>
      <c r="W155" s="30">
        <f>IF(U155=1,SUMPRODUCT(MIN(((($N$12:$N$267-N155)*($U$12:$U$267*($M$12:$M$267&gt;M155)))/(($M$12:$M$267-M155)*($U$12:$U$267*($M$12:$M$267&gt;M155))+1-($U$12:$U$267*($M$12:$M$267&gt;M155)))+(1-($U$12:$U$267*($M$12:$M$267&gt;M155)))*1E+300))),0)</f>
        <v/>
      </c>
      <c r="X155" s="10">
        <f>IF(C155=0,0,IF(R155=1,1,IF(AND(U155=1,V155&lt;=W155),1,0)))</f>
        <v/>
      </c>
      <c r="Y155" s="10">
        <f>IF(X155=1,1+SUMPRODUCT($X$12:$X$267*(($M$12:$M$267&lt;M155)+($M$12:$M$267=M155)*($A$12:$A$267&lt;A155))),0)</f>
        <v/>
      </c>
      <c r="Z155" s="10">
        <f>IF(Y155&lt;=1,0,SUMPRODUCT(($Y$12:$Y$267=Y155-1)*$M$12:$M$267))</f>
        <v/>
      </c>
      <c r="AA155" s="10">
        <f>IF(Y155&lt;=1,0,SUMPRODUCT(($Y$12:$Y$267=Y155-1)*$N$12:$N$267))</f>
        <v/>
      </c>
      <c r="AB155" s="21">
        <f>IF(Y155=0,"",(M155-Z155)/10^in_out_dp)</f>
        <v/>
      </c>
      <c r="AC155" s="26">
        <f>IF(Y155=0,"",(N155-AA155)/10^in_cost_dp)</f>
        <v/>
      </c>
      <c r="AD155" s="26">
        <f>IF(Y155=0,"",IF(M155=Z155,0,AC155/AB155))</f>
        <v/>
      </c>
      <c r="AE155" s="26">
        <f>IF(AND(C155=1,M155&gt;0),Q155/P155,"n/a")</f>
        <v/>
      </c>
      <c r="AF155" s="15" t="n">
        <v>0</v>
      </c>
      <c r="AG155" s="6">
        <f>IF(AND(C155=1,AF155=1),1+SUMPRODUCT($C$12:$C$267*$AF$12:$AF$267*(($M$12:$M$267&lt;M155)+($M$12:$M$267=M155)*($N$12:$N$267&lt;N155)+($M$12:$M$267=M155)*($N$12:$N$267=N155)*($A$12:$A$267&lt;A155))),0)</f>
        <v/>
      </c>
    </row>
    <row r="156">
      <c r="A156" s="4" t="n">
        <v>145</v>
      </c>
      <c r="B156" s="4" t="inlineStr">
        <is>
          <t>17F2M + 2A</t>
        </is>
      </c>
      <c r="C156" s="10">
        <f>IF(SUMPRODUCT(D156:K156,1-$D$5:$K$5)=0,1,0)</f>
        <v/>
      </c>
      <c r="D156" s="4" t="n">
        <v>1</v>
      </c>
      <c r="E156" s="4" t="n">
        <v>0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6">
        <f>IF(C156=1,1+SUMPRODUCT(D156:K156,$D$9:$K$9),"")</f>
        <v/>
      </c>
      <c r="M156" s="6">
        <f>SUMPRODUCT(D156:K156,$D$6:$K$6)</f>
        <v/>
      </c>
      <c r="N156" s="6">
        <f>SUMPRODUCT(D156:K156,$D$7:$K$7)</f>
        <v/>
      </c>
      <c r="O156" s="25">
        <f>SUMPRODUCT(D156:K156,$D$8:$K$8)</f>
        <v/>
      </c>
      <c r="P156" s="21">
        <f>M156/10^in_out_dp</f>
        <v/>
      </c>
      <c r="Q156" s="26">
        <f>N156/10^in_cost_dp</f>
        <v/>
      </c>
      <c r="R156" s="10">
        <f>IF(SUM(D156:K156)=0,1,0)</f>
        <v/>
      </c>
      <c r="S156" s="10">
        <f>SUMPRODUCT($C$12:$C$267*(($M$12:$M$267=M156)*($N$12:$N$267&lt;N156)+($M$12:$M$267&gt;M156)*($N$12:$N$267&lt;=N156)))</f>
        <v/>
      </c>
      <c r="T156" s="10">
        <f>IF(C156=0,0,IF(OR(R156=1,S156=0),1,0))</f>
        <v/>
      </c>
      <c r="U156" s="10">
        <f>IF(AND(T156=1,R156=0,M156&gt;0),1,0)</f>
        <v/>
      </c>
      <c r="V156" s="30">
        <f>IF(U156=1,MAX(N156/M156,SUMPRODUCT(MAX(((N156-$N$12:$N$267)*($U$12:$U$267*($M$12:$M$267&lt;M156)))/((M156-$M$12:$M$267)*($U$12:$U$267*($M$12:$M$267&lt;M156))+1-($U$12:$U$267*($M$12:$M$267&lt;M156)))-(1-($U$12:$U$267*($M$12:$M$267&lt;M156)))*1E+300))),0)</f>
        <v/>
      </c>
      <c r="W156" s="30">
        <f>IF(U156=1,SUMPRODUCT(MIN(((($N$12:$N$267-N156)*($U$12:$U$267*($M$12:$M$267&gt;M156)))/(($M$12:$M$267-M156)*($U$12:$U$267*($M$12:$M$267&gt;M156))+1-($U$12:$U$267*($M$12:$M$267&gt;M156)))+(1-($U$12:$U$267*($M$12:$M$267&gt;M156)))*1E+300))),0)</f>
        <v/>
      </c>
      <c r="X156" s="10">
        <f>IF(C156=0,0,IF(R156=1,1,IF(AND(U156=1,V156&lt;=W156),1,0)))</f>
        <v/>
      </c>
      <c r="Y156" s="10">
        <f>IF(X156=1,1+SUMPRODUCT($X$12:$X$267*(($M$12:$M$267&lt;M156)+($M$12:$M$267=M156)*($A$12:$A$267&lt;A156))),0)</f>
        <v/>
      </c>
      <c r="Z156" s="10">
        <f>IF(Y156&lt;=1,0,SUMPRODUCT(($Y$12:$Y$267=Y156-1)*$M$12:$M$267))</f>
        <v/>
      </c>
      <c r="AA156" s="10">
        <f>IF(Y156&lt;=1,0,SUMPRODUCT(($Y$12:$Y$267=Y156-1)*$N$12:$N$267))</f>
        <v/>
      </c>
      <c r="AB156" s="21">
        <f>IF(Y156=0,"",(M156-Z156)/10^in_out_dp)</f>
        <v/>
      </c>
      <c r="AC156" s="26">
        <f>IF(Y156=0,"",(N156-AA156)/10^in_cost_dp)</f>
        <v/>
      </c>
      <c r="AD156" s="26">
        <f>IF(Y156=0,"",IF(M156=Z156,0,AC156/AB156))</f>
        <v/>
      </c>
      <c r="AE156" s="26">
        <f>IF(AND(C156=1,M156&gt;0),Q156/P156,"n/a")</f>
        <v/>
      </c>
      <c r="AF156" s="15" t="n">
        <v>0</v>
      </c>
      <c r="AG156" s="6">
        <f>IF(AND(C156=1,AF156=1),1+SUMPRODUCT($C$12:$C$267*$AF$12:$AF$267*(($M$12:$M$267&lt;M156)+($M$12:$M$267=M156)*($N$12:$N$267&lt;N156)+($M$12:$M$267=M156)*($N$12:$N$267=N156)*($A$12:$A$267&lt;A156))),0)</f>
        <v/>
      </c>
    </row>
    <row r="157">
      <c r="A157" s="4" t="n">
        <v>146</v>
      </c>
      <c r="B157" s="4" t="inlineStr">
        <is>
          <t>17F2M + 2A + 19A</t>
        </is>
      </c>
      <c r="C157" s="10">
        <f>IF(SUMPRODUCT(D157:K157,1-$D$5:$K$5)=0,1,0)</f>
        <v/>
      </c>
      <c r="D157" s="4" t="n">
        <v>1</v>
      </c>
      <c r="E157" s="4" t="n">
        <v>0</v>
      </c>
      <c r="F157" s="4" t="n">
        <v>0</v>
      </c>
      <c r="G157" s="4" t="n">
        <v>1</v>
      </c>
      <c r="H157" s="4" t="n">
        <v>0</v>
      </c>
      <c r="I157" s="4" t="n">
        <v>0</v>
      </c>
      <c r="J157" s="4" t="n">
        <v>0</v>
      </c>
      <c r="K157" s="4" t="n">
        <v>1</v>
      </c>
      <c r="L157" s="6">
        <f>IF(C157=1,1+SUMPRODUCT(D157:K157,$D$9:$K$9),"")</f>
        <v/>
      </c>
      <c r="M157" s="6">
        <f>SUMPRODUCT(D157:K157,$D$6:$K$6)</f>
        <v/>
      </c>
      <c r="N157" s="6">
        <f>SUMPRODUCT(D157:K157,$D$7:$K$7)</f>
        <v/>
      </c>
      <c r="O157" s="25">
        <f>SUMPRODUCT(D157:K157,$D$8:$K$8)</f>
        <v/>
      </c>
      <c r="P157" s="21">
        <f>M157/10^in_out_dp</f>
        <v/>
      </c>
      <c r="Q157" s="26">
        <f>N157/10^in_cost_dp</f>
        <v/>
      </c>
      <c r="R157" s="10">
        <f>IF(SUM(D157:K157)=0,1,0)</f>
        <v/>
      </c>
      <c r="S157" s="10">
        <f>SUMPRODUCT($C$12:$C$267*(($M$12:$M$267=M157)*($N$12:$N$267&lt;N157)+($M$12:$M$267&gt;M157)*($N$12:$N$267&lt;=N157)))</f>
        <v/>
      </c>
      <c r="T157" s="10">
        <f>IF(C157=0,0,IF(OR(R157=1,S157=0),1,0))</f>
        <v/>
      </c>
      <c r="U157" s="10">
        <f>IF(AND(T157=1,R157=0,M157&gt;0),1,0)</f>
        <v/>
      </c>
      <c r="V157" s="30">
        <f>IF(U157=1,MAX(N157/M157,SUMPRODUCT(MAX(((N157-$N$12:$N$267)*($U$12:$U$267*($M$12:$M$267&lt;M157)))/((M157-$M$12:$M$267)*($U$12:$U$267*($M$12:$M$267&lt;M157))+1-($U$12:$U$267*($M$12:$M$267&lt;M157)))-(1-($U$12:$U$267*($M$12:$M$267&lt;M157)))*1E+300))),0)</f>
        <v/>
      </c>
      <c r="W157" s="30">
        <f>IF(U157=1,SUMPRODUCT(MIN(((($N$12:$N$267-N157)*($U$12:$U$267*($M$12:$M$267&gt;M157)))/(($M$12:$M$267-M157)*($U$12:$U$267*($M$12:$M$267&gt;M157))+1-($U$12:$U$267*($M$12:$M$267&gt;M157)))+(1-($U$12:$U$267*($M$12:$M$267&gt;M157)))*1E+300))),0)</f>
        <v/>
      </c>
      <c r="X157" s="10">
        <f>IF(C157=0,0,IF(R157=1,1,IF(AND(U157=1,V157&lt;=W157),1,0)))</f>
        <v/>
      </c>
      <c r="Y157" s="10">
        <f>IF(X157=1,1+SUMPRODUCT($X$12:$X$267*(($M$12:$M$267&lt;M157)+($M$12:$M$267=M157)*($A$12:$A$267&lt;A157))),0)</f>
        <v/>
      </c>
      <c r="Z157" s="10">
        <f>IF(Y157&lt;=1,0,SUMPRODUCT(($Y$12:$Y$267=Y157-1)*$M$12:$M$267))</f>
        <v/>
      </c>
      <c r="AA157" s="10">
        <f>IF(Y157&lt;=1,0,SUMPRODUCT(($Y$12:$Y$267=Y157-1)*$N$12:$N$267))</f>
        <v/>
      </c>
      <c r="AB157" s="21">
        <f>IF(Y157=0,"",(M157-Z157)/10^in_out_dp)</f>
        <v/>
      </c>
      <c r="AC157" s="26">
        <f>IF(Y157=0,"",(N157-AA157)/10^in_cost_dp)</f>
        <v/>
      </c>
      <c r="AD157" s="26">
        <f>IF(Y157=0,"",IF(M157=Z157,0,AC157/AB157))</f>
        <v/>
      </c>
      <c r="AE157" s="26">
        <f>IF(AND(C157=1,M157&gt;0),Q157/P157,"n/a")</f>
        <v/>
      </c>
      <c r="AF157" s="15" t="n">
        <v>0</v>
      </c>
      <c r="AG157" s="6">
        <f>IF(AND(C157=1,AF157=1),1+SUMPRODUCT($C$12:$C$267*$AF$12:$AF$267*(($M$12:$M$267&lt;M157)+($M$12:$M$267=M157)*($N$12:$N$267&lt;N157)+($M$12:$M$267=M157)*($N$12:$N$267=N157)*($A$12:$A$267&lt;A157))),0)</f>
        <v/>
      </c>
    </row>
    <row r="158">
      <c r="A158" s="4" t="n">
        <v>147</v>
      </c>
      <c r="B158" s="4" t="inlineStr">
        <is>
          <t>17F2M + 2A + 3F</t>
        </is>
      </c>
      <c r="C158" s="10">
        <f>IF(SUMPRODUCT(D158:K158,1-$D$5:$K$5)=0,1,0)</f>
        <v/>
      </c>
      <c r="D158" s="4" t="n">
        <v>1</v>
      </c>
      <c r="E158" s="4" t="n">
        <v>0</v>
      </c>
      <c r="F158" s="4" t="n">
        <v>0</v>
      </c>
      <c r="G158" s="4" t="n">
        <v>1</v>
      </c>
      <c r="H158" s="4" t="n">
        <v>0</v>
      </c>
      <c r="I158" s="4" t="n">
        <v>0</v>
      </c>
      <c r="J158" s="4" t="n">
        <v>1</v>
      </c>
      <c r="K158" s="4" t="n">
        <v>0</v>
      </c>
      <c r="L158" s="6">
        <f>IF(C158=1,1+SUMPRODUCT(D158:K158,$D$9:$K$9),"")</f>
        <v/>
      </c>
      <c r="M158" s="6">
        <f>SUMPRODUCT(D158:K158,$D$6:$K$6)</f>
        <v/>
      </c>
      <c r="N158" s="6">
        <f>SUMPRODUCT(D158:K158,$D$7:$K$7)</f>
        <v/>
      </c>
      <c r="O158" s="25">
        <f>SUMPRODUCT(D158:K158,$D$8:$K$8)</f>
        <v/>
      </c>
      <c r="P158" s="21">
        <f>M158/10^in_out_dp</f>
        <v/>
      </c>
      <c r="Q158" s="26">
        <f>N158/10^in_cost_dp</f>
        <v/>
      </c>
      <c r="R158" s="10">
        <f>IF(SUM(D158:K158)=0,1,0)</f>
        <v/>
      </c>
      <c r="S158" s="10">
        <f>SUMPRODUCT($C$12:$C$267*(($M$12:$M$267=M158)*($N$12:$N$267&lt;N158)+($M$12:$M$267&gt;M158)*($N$12:$N$267&lt;=N158)))</f>
        <v/>
      </c>
      <c r="T158" s="10">
        <f>IF(C158=0,0,IF(OR(R158=1,S158=0),1,0))</f>
        <v/>
      </c>
      <c r="U158" s="10">
        <f>IF(AND(T158=1,R158=0,M158&gt;0),1,0)</f>
        <v/>
      </c>
      <c r="V158" s="30">
        <f>IF(U158=1,MAX(N158/M158,SUMPRODUCT(MAX(((N158-$N$12:$N$267)*($U$12:$U$267*($M$12:$M$267&lt;M158)))/((M158-$M$12:$M$267)*($U$12:$U$267*($M$12:$M$267&lt;M158))+1-($U$12:$U$267*($M$12:$M$267&lt;M158)))-(1-($U$12:$U$267*($M$12:$M$267&lt;M158)))*1E+300))),0)</f>
        <v/>
      </c>
      <c r="W158" s="30">
        <f>IF(U158=1,SUMPRODUCT(MIN(((($N$12:$N$267-N158)*($U$12:$U$267*($M$12:$M$267&gt;M158)))/(($M$12:$M$267-M158)*($U$12:$U$267*($M$12:$M$267&gt;M158))+1-($U$12:$U$267*($M$12:$M$267&gt;M158)))+(1-($U$12:$U$267*($M$12:$M$267&gt;M158)))*1E+300))),0)</f>
        <v/>
      </c>
      <c r="X158" s="10">
        <f>IF(C158=0,0,IF(R158=1,1,IF(AND(U158=1,V158&lt;=W158),1,0)))</f>
        <v/>
      </c>
      <c r="Y158" s="10">
        <f>IF(X158=1,1+SUMPRODUCT($X$12:$X$267*(($M$12:$M$267&lt;M158)+($M$12:$M$267=M158)*($A$12:$A$267&lt;A158))),0)</f>
        <v/>
      </c>
      <c r="Z158" s="10">
        <f>IF(Y158&lt;=1,0,SUMPRODUCT(($Y$12:$Y$267=Y158-1)*$M$12:$M$267))</f>
        <v/>
      </c>
      <c r="AA158" s="10">
        <f>IF(Y158&lt;=1,0,SUMPRODUCT(($Y$12:$Y$267=Y158-1)*$N$12:$N$267))</f>
        <v/>
      </c>
      <c r="AB158" s="21">
        <f>IF(Y158=0,"",(M158-Z158)/10^in_out_dp)</f>
        <v/>
      </c>
      <c r="AC158" s="26">
        <f>IF(Y158=0,"",(N158-AA158)/10^in_cost_dp)</f>
        <v/>
      </c>
      <c r="AD158" s="26">
        <f>IF(Y158=0,"",IF(M158=Z158,0,AC158/AB158))</f>
        <v/>
      </c>
      <c r="AE158" s="26">
        <f>IF(AND(C158=1,M158&gt;0),Q158/P158,"n/a")</f>
        <v/>
      </c>
      <c r="AF158" s="15" t="n">
        <v>0</v>
      </c>
      <c r="AG158" s="6">
        <f>IF(AND(C158=1,AF158=1),1+SUMPRODUCT($C$12:$C$267*$AF$12:$AF$267*(($M$12:$M$267&lt;M158)+($M$12:$M$267=M158)*($N$12:$N$267&lt;N158)+($M$12:$M$267=M158)*($N$12:$N$267=N158)*($A$12:$A$267&lt;A158))),0)</f>
        <v/>
      </c>
    </row>
    <row r="159">
      <c r="A159" s="4" t="n">
        <v>148</v>
      </c>
      <c r="B159" s="4" t="inlineStr">
        <is>
          <t>17F2M + 2A + 3F + 19A</t>
        </is>
      </c>
      <c r="C159" s="10">
        <f>IF(SUMPRODUCT(D159:K159,1-$D$5:$K$5)=0,1,0)</f>
        <v/>
      </c>
      <c r="D159" s="4" t="n">
        <v>1</v>
      </c>
      <c r="E159" s="4" t="n">
        <v>0</v>
      </c>
      <c r="F159" s="4" t="n">
        <v>0</v>
      </c>
      <c r="G159" s="4" t="n">
        <v>1</v>
      </c>
      <c r="H159" s="4" t="n">
        <v>0</v>
      </c>
      <c r="I159" s="4" t="n">
        <v>0</v>
      </c>
      <c r="J159" s="4" t="n">
        <v>1</v>
      </c>
      <c r="K159" s="4" t="n">
        <v>1</v>
      </c>
      <c r="L159" s="6">
        <f>IF(C159=1,1+SUMPRODUCT(D159:K159,$D$9:$K$9),"")</f>
        <v/>
      </c>
      <c r="M159" s="6">
        <f>SUMPRODUCT(D159:K159,$D$6:$K$6)</f>
        <v/>
      </c>
      <c r="N159" s="6">
        <f>SUMPRODUCT(D159:K159,$D$7:$K$7)</f>
        <v/>
      </c>
      <c r="O159" s="25">
        <f>SUMPRODUCT(D159:K159,$D$8:$K$8)</f>
        <v/>
      </c>
      <c r="P159" s="21">
        <f>M159/10^in_out_dp</f>
        <v/>
      </c>
      <c r="Q159" s="26">
        <f>N159/10^in_cost_dp</f>
        <v/>
      </c>
      <c r="R159" s="10">
        <f>IF(SUM(D159:K159)=0,1,0)</f>
        <v/>
      </c>
      <c r="S159" s="10">
        <f>SUMPRODUCT($C$12:$C$267*(($M$12:$M$267=M159)*($N$12:$N$267&lt;N159)+($M$12:$M$267&gt;M159)*($N$12:$N$267&lt;=N159)))</f>
        <v/>
      </c>
      <c r="T159" s="10">
        <f>IF(C159=0,0,IF(OR(R159=1,S159=0),1,0))</f>
        <v/>
      </c>
      <c r="U159" s="10">
        <f>IF(AND(T159=1,R159=0,M159&gt;0),1,0)</f>
        <v/>
      </c>
      <c r="V159" s="30">
        <f>IF(U159=1,MAX(N159/M159,SUMPRODUCT(MAX(((N159-$N$12:$N$267)*($U$12:$U$267*($M$12:$M$267&lt;M159)))/((M159-$M$12:$M$267)*($U$12:$U$267*($M$12:$M$267&lt;M159))+1-($U$12:$U$267*($M$12:$M$267&lt;M159)))-(1-($U$12:$U$267*($M$12:$M$267&lt;M159)))*1E+300))),0)</f>
        <v/>
      </c>
      <c r="W159" s="30">
        <f>IF(U159=1,SUMPRODUCT(MIN(((($N$12:$N$267-N159)*($U$12:$U$267*($M$12:$M$267&gt;M159)))/(($M$12:$M$267-M159)*($U$12:$U$267*($M$12:$M$267&gt;M159))+1-($U$12:$U$267*($M$12:$M$267&gt;M159)))+(1-($U$12:$U$267*($M$12:$M$267&gt;M159)))*1E+300))),0)</f>
        <v/>
      </c>
      <c r="X159" s="10">
        <f>IF(C159=0,0,IF(R159=1,1,IF(AND(U159=1,V159&lt;=W159),1,0)))</f>
        <v/>
      </c>
      <c r="Y159" s="10">
        <f>IF(X159=1,1+SUMPRODUCT($X$12:$X$267*(($M$12:$M$267&lt;M159)+($M$12:$M$267=M159)*($A$12:$A$267&lt;A159))),0)</f>
        <v/>
      </c>
      <c r="Z159" s="10">
        <f>IF(Y159&lt;=1,0,SUMPRODUCT(($Y$12:$Y$267=Y159-1)*$M$12:$M$267))</f>
        <v/>
      </c>
      <c r="AA159" s="10">
        <f>IF(Y159&lt;=1,0,SUMPRODUCT(($Y$12:$Y$267=Y159-1)*$N$12:$N$267))</f>
        <v/>
      </c>
      <c r="AB159" s="21">
        <f>IF(Y159=0,"",(M159-Z159)/10^in_out_dp)</f>
        <v/>
      </c>
      <c r="AC159" s="26">
        <f>IF(Y159=0,"",(N159-AA159)/10^in_cost_dp)</f>
        <v/>
      </c>
      <c r="AD159" s="26">
        <f>IF(Y159=0,"",IF(M159=Z159,0,AC159/AB159))</f>
        <v/>
      </c>
      <c r="AE159" s="26">
        <f>IF(AND(C159=1,M159&gt;0),Q159/P159,"n/a")</f>
        <v/>
      </c>
      <c r="AF159" s="15" t="n">
        <v>0</v>
      </c>
      <c r="AG159" s="6">
        <f>IF(AND(C159=1,AF159=1),1+SUMPRODUCT($C$12:$C$267*$AF$12:$AF$267*(($M$12:$M$267&lt;M159)+($M$12:$M$267=M159)*($N$12:$N$267&lt;N159)+($M$12:$M$267=M159)*($N$12:$N$267=N159)*($A$12:$A$267&lt;A159))),0)</f>
        <v/>
      </c>
    </row>
    <row r="160">
      <c r="A160" s="4" t="n">
        <v>149</v>
      </c>
      <c r="B160" s="4" t="inlineStr">
        <is>
          <t>17F2M + 2A + 3E</t>
        </is>
      </c>
      <c r="C160" s="10">
        <f>IF(SUMPRODUCT(D160:K160,1-$D$5:$K$5)=0,1,0)</f>
        <v/>
      </c>
      <c r="D160" s="4" t="n">
        <v>1</v>
      </c>
      <c r="E160" s="4" t="n">
        <v>0</v>
      </c>
      <c r="F160" s="4" t="n">
        <v>0</v>
      </c>
      <c r="G160" s="4" t="n">
        <v>1</v>
      </c>
      <c r="H160" s="4" t="n">
        <v>0</v>
      </c>
      <c r="I160" s="4" t="n">
        <v>1</v>
      </c>
      <c r="J160" s="4" t="n">
        <v>0</v>
      </c>
      <c r="K160" s="4" t="n">
        <v>0</v>
      </c>
      <c r="L160" s="6">
        <f>IF(C160=1,1+SUMPRODUCT(D160:K160,$D$9:$K$9),"")</f>
        <v/>
      </c>
      <c r="M160" s="6">
        <f>SUMPRODUCT(D160:K160,$D$6:$K$6)</f>
        <v/>
      </c>
      <c r="N160" s="6">
        <f>SUMPRODUCT(D160:K160,$D$7:$K$7)</f>
        <v/>
      </c>
      <c r="O160" s="25">
        <f>SUMPRODUCT(D160:K160,$D$8:$K$8)</f>
        <v/>
      </c>
      <c r="P160" s="21">
        <f>M160/10^in_out_dp</f>
        <v/>
      </c>
      <c r="Q160" s="26">
        <f>N160/10^in_cost_dp</f>
        <v/>
      </c>
      <c r="R160" s="10">
        <f>IF(SUM(D160:K160)=0,1,0)</f>
        <v/>
      </c>
      <c r="S160" s="10">
        <f>SUMPRODUCT($C$12:$C$267*(($M$12:$M$267=M160)*($N$12:$N$267&lt;N160)+($M$12:$M$267&gt;M160)*($N$12:$N$267&lt;=N160)))</f>
        <v/>
      </c>
      <c r="T160" s="10">
        <f>IF(C160=0,0,IF(OR(R160=1,S160=0),1,0))</f>
        <v/>
      </c>
      <c r="U160" s="10">
        <f>IF(AND(T160=1,R160=0,M160&gt;0),1,0)</f>
        <v/>
      </c>
      <c r="V160" s="30">
        <f>IF(U160=1,MAX(N160/M160,SUMPRODUCT(MAX(((N160-$N$12:$N$267)*($U$12:$U$267*($M$12:$M$267&lt;M160)))/((M160-$M$12:$M$267)*($U$12:$U$267*($M$12:$M$267&lt;M160))+1-($U$12:$U$267*($M$12:$M$267&lt;M160)))-(1-($U$12:$U$267*($M$12:$M$267&lt;M160)))*1E+300))),0)</f>
        <v/>
      </c>
      <c r="W160" s="30">
        <f>IF(U160=1,SUMPRODUCT(MIN(((($N$12:$N$267-N160)*($U$12:$U$267*($M$12:$M$267&gt;M160)))/(($M$12:$M$267-M160)*($U$12:$U$267*($M$12:$M$267&gt;M160))+1-($U$12:$U$267*($M$12:$M$267&gt;M160)))+(1-($U$12:$U$267*($M$12:$M$267&gt;M160)))*1E+300))),0)</f>
        <v/>
      </c>
      <c r="X160" s="10">
        <f>IF(C160=0,0,IF(R160=1,1,IF(AND(U160=1,V160&lt;=W160),1,0)))</f>
        <v/>
      </c>
      <c r="Y160" s="10">
        <f>IF(X160=1,1+SUMPRODUCT($X$12:$X$267*(($M$12:$M$267&lt;M160)+($M$12:$M$267=M160)*($A$12:$A$267&lt;A160))),0)</f>
        <v/>
      </c>
      <c r="Z160" s="10">
        <f>IF(Y160&lt;=1,0,SUMPRODUCT(($Y$12:$Y$267=Y160-1)*$M$12:$M$267))</f>
        <v/>
      </c>
      <c r="AA160" s="10">
        <f>IF(Y160&lt;=1,0,SUMPRODUCT(($Y$12:$Y$267=Y160-1)*$N$12:$N$267))</f>
        <v/>
      </c>
      <c r="AB160" s="21">
        <f>IF(Y160=0,"",(M160-Z160)/10^in_out_dp)</f>
        <v/>
      </c>
      <c r="AC160" s="26">
        <f>IF(Y160=0,"",(N160-AA160)/10^in_cost_dp)</f>
        <v/>
      </c>
      <c r="AD160" s="26">
        <f>IF(Y160=0,"",IF(M160=Z160,0,AC160/AB160))</f>
        <v/>
      </c>
      <c r="AE160" s="26">
        <f>IF(AND(C160=1,M160&gt;0),Q160/P160,"n/a")</f>
        <v/>
      </c>
      <c r="AF160" s="15" t="n">
        <v>0</v>
      </c>
      <c r="AG160" s="6">
        <f>IF(AND(C160=1,AF160=1),1+SUMPRODUCT($C$12:$C$267*$AF$12:$AF$267*(($M$12:$M$267&lt;M160)+($M$12:$M$267=M160)*($N$12:$N$267&lt;N160)+($M$12:$M$267=M160)*($N$12:$N$267=N160)*($A$12:$A$267&lt;A160))),0)</f>
        <v/>
      </c>
    </row>
    <row r="161">
      <c r="A161" s="4" t="n">
        <v>150</v>
      </c>
      <c r="B161" s="4" t="inlineStr">
        <is>
          <t>17F2M + 2A + 3E + 19A</t>
        </is>
      </c>
      <c r="C161" s="10">
        <f>IF(SUMPRODUCT(D161:K161,1-$D$5:$K$5)=0,1,0)</f>
        <v/>
      </c>
      <c r="D161" s="4" t="n">
        <v>1</v>
      </c>
      <c r="E161" s="4" t="n">
        <v>0</v>
      </c>
      <c r="F161" s="4" t="n">
        <v>0</v>
      </c>
      <c r="G161" s="4" t="n">
        <v>1</v>
      </c>
      <c r="H161" s="4" t="n">
        <v>0</v>
      </c>
      <c r="I161" s="4" t="n">
        <v>1</v>
      </c>
      <c r="J161" s="4" t="n">
        <v>0</v>
      </c>
      <c r="K161" s="4" t="n">
        <v>1</v>
      </c>
      <c r="L161" s="6">
        <f>IF(C161=1,1+SUMPRODUCT(D161:K161,$D$9:$K$9),"")</f>
        <v/>
      </c>
      <c r="M161" s="6">
        <f>SUMPRODUCT(D161:K161,$D$6:$K$6)</f>
        <v/>
      </c>
      <c r="N161" s="6">
        <f>SUMPRODUCT(D161:K161,$D$7:$K$7)</f>
        <v/>
      </c>
      <c r="O161" s="25">
        <f>SUMPRODUCT(D161:K161,$D$8:$K$8)</f>
        <v/>
      </c>
      <c r="P161" s="21">
        <f>M161/10^in_out_dp</f>
        <v/>
      </c>
      <c r="Q161" s="26">
        <f>N161/10^in_cost_dp</f>
        <v/>
      </c>
      <c r="R161" s="10">
        <f>IF(SUM(D161:K161)=0,1,0)</f>
        <v/>
      </c>
      <c r="S161" s="10">
        <f>SUMPRODUCT($C$12:$C$267*(($M$12:$M$267=M161)*($N$12:$N$267&lt;N161)+($M$12:$M$267&gt;M161)*($N$12:$N$267&lt;=N161)))</f>
        <v/>
      </c>
      <c r="T161" s="10">
        <f>IF(C161=0,0,IF(OR(R161=1,S161=0),1,0))</f>
        <v/>
      </c>
      <c r="U161" s="10">
        <f>IF(AND(T161=1,R161=0,M161&gt;0),1,0)</f>
        <v/>
      </c>
      <c r="V161" s="30">
        <f>IF(U161=1,MAX(N161/M161,SUMPRODUCT(MAX(((N161-$N$12:$N$267)*($U$12:$U$267*($M$12:$M$267&lt;M161)))/((M161-$M$12:$M$267)*($U$12:$U$267*($M$12:$M$267&lt;M161))+1-($U$12:$U$267*($M$12:$M$267&lt;M161)))-(1-($U$12:$U$267*($M$12:$M$267&lt;M161)))*1E+300))),0)</f>
        <v/>
      </c>
      <c r="W161" s="30">
        <f>IF(U161=1,SUMPRODUCT(MIN(((($N$12:$N$267-N161)*($U$12:$U$267*($M$12:$M$267&gt;M161)))/(($M$12:$M$267-M161)*($U$12:$U$267*($M$12:$M$267&gt;M161))+1-($U$12:$U$267*($M$12:$M$267&gt;M161)))+(1-($U$12:$U$267*($M$12:$M$267&gt;M161)))*1E+300))),0)</f>
        <v/>
      </c>
      <c r="X161" s="10">
        <f>IF(C161=0,0,IF(R161=1,1,IF(AND(U161=1,V161&lt;=W161),1,0)))</f>
        <v/>
      </c>
      <c r="Y161" s="10">
        <f>IF(X161=1,1+SUMPRODUCT($X$12:$X$267*(($M$12:$M$267&lt;M161)+($M$12:$M$267=M161)*($A$12:$A$267&lt;A161))),0)</f>
        <v/>
      </c>
      <c r="Z161" s="10">
        <f>IF(Y161&lt;=1,0,SUMPRODUCT(($Y$12:$Y$267=Y161-1)*$M$12:$M$267))</f>
        <v/>
      </c>
      <c r="AA161" s="10">
        <f>IF(Y161&lt;=1,0,SUMPRODUCT(($Y$12:$Y$267=Y161-1)*$N$12:$N$267))</f>
        <v/>
      </c>
      <c r="AB161" s="21">
        <f>IF(Y161=0,"",(M161-Z161)/10^in_out_dp)</f>
        <v/>
      </c>
      <c r="AC161" s="26">
        <f>IF(Y161=0,"",(N161-AA161)/10^in_cost_dp)</f>
        <v/>
      </c>
      <c r="AD161" s="26">
        <f>IF(Y161=0,"",IF(M161=Z161,0,AC161/AB161))</f>
        <v/>
      </c>
      <c r="AE161" s="26">
        <f>IF(AND(C161=1,M161&gt;0),Q161/P161,"n/a")</f>
        <v/>
      </c>
      <c r="AF161" s="15" t="n">
        <v>0</v>
      </c>
      <c r="AG161" s="6">
        <f>IF(AND(C161=1,AF161=1),1+SUMPRODUCT($C$12:$C$267*$AF$12:$AF$267*(($M$12:$M$267&lt;M161)+($M$12:$M$267=M161)*($N$12:$N$267&lt;N161)+($M$12:$M$267=M161)*($N$12:$N$267=N161)*($A$12:$A$267&lt;A161))),0)</f>
        <v/>
      </c>
    </row>
    <row r="162">
      <c r="A162" s="4" t="n">
        <v>151</v>
      </c>
      <c r="B162" s="4" t="inlineStr">
        <is>
          <t>17F2M + 2A + 3E + 3F</t>
        </is>
      </c>
      <c r="C162" s="10">
        <f>IF(SUMPRODUCT(D162:K162,1-$D$5:$K$5)=0,1,0)</f>
        <v/>
      </c>
      <c r="D162" s="4" t="n">
        <v>1</v>
      </c>
      <c r="E162" s="4" t="n">
        <v>0</v>
      </c>
      <c r="F162" s="4" t="n">
        <v>0</v>
      </c>
      <c r="G162" s="4" t="n">
        <v>1</v>
      </c>
      <c r="H162" s="4" t="n">
        <v>0</v>
      </c>
      <c r="I162" s="4" t="n">
        <v>1</v>
      </c>
      <c r="J162" s="4" t="n">
        <v>1</v>
      </c>
      <c r="K162" s="4" t="n">
        <v>0</v>
      </c>
      <c r="L162" s="6">
        <f>IF(C162=1,1+SUMPRODUCT(D162:K162,$D$9:$K$9),"")</f>
        <v/>
      </c>
      <c r="M162" s="6">
        <f>SUMPRODUCT(D162:K162,$D$6:$K$6)</f>
        <v/>
      </c>
      <c r="N162" s="6">
        <f>SUMPRODUCT(D162:K162,$D$7:$K$7)</f>
        <v/>
      </c>
      <c r="O162" s="25">
        <f>SUMPRODUCT(D162:K162,$D$8:$K$8)</f>
        <v/>
      </c>
      <c r="P162" s="21">
        <f>M162/10^in_out_dp</f>
        <v/>
      </c>
      <c r="Q162" s="26">
        <f>N162/10^in_cost_dp</f>
        <v/>
      </c>
      <c r="R162" s="10">
        <f>IF(SUM(D162:K162)=0,1,0)</f>
        <v/>
      </c>
      <c r="S162" s="10">
        <f>SUMPRODUCT($C$12:$C$267*(($M$12:$M$267=M162)*($N$12:$N$267&lt;N162)+($M$12:$M$267&gt;M162)*($N$12:$N$267&lt;=N162)))</f>
        <v/>
      </c>
      <c r="T162" s="10">
        <f>IF(C162=0,0,IF(OR(R162=1,S162=0),1,0))</f>
        <v/>
      </c>
      <c r="U162" s="10">
        <f>IF(AND(T162=1,R162=0,M162&gt;0),1,0)</f>
        <v/>
      </c>
      <c r="V162" s="30">
        <f>IF(U162=1,MAX(N162/M162,SUMPRODUCT(MAX(((N162-$N$12:$N$267)*($U$12:$U$267*($M$12:$M$267&lt;M162)))/((M162-$M$12:$M$267)*($U$12:$U$267*($M$12:$M$267&lt;M162))+1-($U$12:$U$267*($M$12:$M$267&lt;M162)))-(1-($U$12:$U$267*($M$12:$M$267&lt;M162)))*1E+300))),0)</f>
        <v/>
      </c>
      <c r="W162" s="30">
        <f>IF(U162=1,SUMPRODUCT(MIN(((($N$12:$N$267-N162)*($U$12:$U$267*($M$12:$M$267&gt;M162)))/(($M$12:$M$267-M162)*($U$12:$U$267*($M$12:$M$267&gt;M162))+1-($U$12:$U$267*($M$12:$M$267&gt;M162)))+(1-($U$12:$U$267*($M$12:$M$267&gt;M162)))*1E+300))),0)</f>
        <v/>
      </c>
      <c r="X162" s="10">
        <f>IF(C162=0,0,IF(R162=1,1,IF(AND(U162=1,V162&lt;=W162),1,0)))</f>
        <v/>
      </c>
      <c r="Y162" s="10">
        <f>IF(X162=1,1+SUMPRODUCT($X$12:$X$267*(($M$12:$M$267&lt;M162)+($M$12:$M$267=M162)*($A$12:$A$267&lt;A162))),0)</f>
        <v/>
      </c>
      <c r="Z162" s="10">
        <f>IF(Y162&lt;=1,0,SUMPRODUCT(($Y$12:$Y$267=Y162-1)*$M$12:$M$267))</f>
        <v/>
      </c>
      <c r="AA162" s="10">
        <f>IF(Y162&lt;=1,0,SUMPRODUCT(($Y$12:$Y$267=Y162-1)*$N$12:$N$267))</f>
        <v/>
      </c>
      <c r="AB162" s="21">
        <f>IF(Y162=0,"",(M162-Z162)/10^in_out_dp)</f>
        <v/>
      </c>
      <c r="AC162" s="26">
        <f>IF(Y162=0,"",(N162-AA162)/10^in_cost_dp)</f>
        <v/>
      </c>
      <c r="AD162" s="26">
        <f>IF(Y162=0,"",IF(M162=Z162,0,AC162/AB162))</f>
        <v/>
      </c>
      <c r="AE162" s="26">
        <f>IF(AND(C162=1,M162&gt;0),Q162/P162,"n/a")</f>
        <v/>
      </c>
      <c r="AF162" s="15" t="n">
        <v>0</v>
      </c>
      <c r="AG162" s="6">
        <f>IF(AND(C162=1,AF162=1),1+SUMPRODUCT($C$12:$C$267*$AF$12:$AF$267*(($M$12:$M$267&lt;M162)+($M$12:$M$267=M162)*($N$12:$N$267&lt;N162)+($M$12:$M$267=M162)*($N$12:$N$267=N162)*($A$12:$A$267&lt;A162))),0)</f>
        <v/>
      </c>
    </row>
    <row r="163">
      <c r="A163" s="4" t="n">
        <v>152</v>
      </c>
      <c r="B163" s="4" t="inlineStr">
        <is>
          <t>17F2M + 2A + 3E + 3F + 19A</t>
        </is>
      </c>
      <c r="C163" s="10">
        <f>IF(SUMPRODUCT(D163:K163,1-$D$5:$K$5)=0,1,0)</f>
        <v/>
      </c>
      <c r="D163" s="4" t="n">
        <v>1</v>
      </c>
      <c r="E163" s="4" t="n">
        <v>0</v>
      </c>
      <c r="F163" s="4" t="n">
        <v>0</v>
      </c>
      <c r="G163" s="4" t="n">
        <v>1</v>
      </c>
      <c r="H163" s="4" t="n">
        <v>0</v>
      </c>
      <c r="I163" s="4" t="n">
        <v>1</v>
      </c>
      <c r="J163" s="4" t="n">
        <v>1</v>
      </c>
      <c r="K163" s="4" t="n">
        <v>1</v>
      </c>
      <c r="L163" s="6">
        <f>IF(C163=1,1+SUMPRODUCT(D163:K163,$D$9:$K$9),"")</f>
        <v/>
      </c>
      <c r="M163" s="6">
        <f>SUMPRODUCT(D163:K163,$D$6:$K$6)</f>
        <v/>
      </c>
      <c r="N163" s="6">
        <f>SUMPRODUCT(D163:K163,$D$7:$K$7)</f>
        <v/>
      </c>
      <c r="O163" s="25">
        <f>SUMPRODUCT(D163:K163,$D$8:$K$8)</f>
        <v/>
      </c>
      <c r="P163" s="21">
        <f>M163/10^in_out_dp</f>
        <v/>
      </c>
      <c r="Q163" s="26">
        <f>N163/10^in_cost_dp</f>
        <v/>
      </c>
      <c r="R163" s="10">
        <f>IF(SUM(D163:K163)=0,1,0)</f>
        <v/>
      </c>
      <c r="S163" s="10">
        <f>SUMPRODUCT($C$12:$C$267*(($M$12:$M$267=M163)*($N$12:$N$267&lt;N163)+($M$12:$M$267&gt;M163)*($N$12:$N$267&lt;=N163)))</f>
        <v/>
      </c>
      <c r="T163" s="10">
        <f>IF(C163=0,0,IF(OR(R163=1,S163=0),1,0))</f>
        <v/>
      </c>
      <c r="U163" s="10">
        <f>IF(AND(T163=1,R163=0,M163&gt;0),1,0)</f>
        <v/>
      </c>
      <c r="V163" s="30">
        <f>IF(U163=1,MAX(N163/M163,SUMPRODUCT(MAX(((N163-$N$12:$N$267)*($U$12:$U$267*($M$12:$M$267&lt;M163)))/((M163-$M$12:$M$267)*($U$12:$U$267*($M$12:$M$267&lt;M163))+1-($U$12:$U$267*($M$12:$M$267&lt;M163)))-(1-($U$12:$U$267*($M$12:$M$267&lt;M163)))*1E+300))),0)</f>
        <v/>
      </c>
      <c r="W163" s="30">
        <f>IF(U163=1,SUMPRODUCT(MIN(((($N$12:$N$267-N163)*($U$12:$U$267*($M$12:$M$267&gt;M163)))/(($M$12:$M$267-M163)*($U$12:$U$267*($M$12:$M$267&gt;M163))+1-($U$12:$U$267*($M$12:$M$267&gt;M163)))+(1-($U$12:$U$267*($M$12:$M$267&gt;M163)))*1E+300))),0)</f>
        <v/>
      </c>
      <c r="X163" s="10">
        <f>IF(C163=0,0,IF(R163=1,1,IF(AND(U163=1,V163&lt;=W163),1,0)))</f>
        <v/>
      </c>
      <c r="Y163" s="10">
        <f>IF(X163=1,1+SUMPRODUCT($X$12:$X$267*(($M$12:$M$267&lt;M163)+($M$12:$M$267=M163)*($A$12:$A$267&lt;A163))),0)</f>
        <v/>
      </c>
      <c r="Z163" s="10">
        <f>IF(Y163&lt;=1,0,SUMPRODUCT(($Y$12:$Y$267=Y163-1)*$M$12:$M$267))</f>
        <v/>
      </c>
      <c r="AA163" s="10">
        <f>IF(Y163&lt;=1,0,SUMPRODUCT(($Y$12:$Y$267=Y163-1)*$N$12:$N$267))</f>
        <v/>
      </c>
      <c r="AB163" s="21">
        <f>IF(Y163=0,"",(M163-Z163)/10^in_out_dp)</f>
        <v/>
      </c>
      <c r="AC163" s="26">
        <f>IF(Y163=0,"",(N163-AA163)/10^in_cost_dp)</f>
        <v/>
      </c>
      <c r="AD163" s="26">
        <f>IF(Y163=0,"",IF(M163=Z163,0,AC163/AB163))</f>
        <v/>
      </c>
      <c r="AE163" s="26">
        <f>IF(AND(C163=1,M163&gt;0),Q163/P163,"n/a")</f>
        <v/>
      </c>
      <c r="AF163" s="15" t="n">
        <v>0</v>
      </c>
      <c r="AG163" s="6">
        <f>IF(AND(C163=1,AF163=1),1+SUMPRODUCT($C$12:$C$267*$AF$12:$AF$267*(($M$12:$M$267&lt;M163)+($M$12:$M$267=M163)*($N$12:$N$267&lt;N163)+($M$12:$M$267=M163)*($N$12:$N$267=N163)*($A$12:$A$267&lt;A163))),0)</f>
        <v/>
      </c>
    </row>
    <row r="164">
      <c r="A164" s="4" t="n">
        <v>153</v>
      </c>
      <c r="B164" s="4" t="inlineStr">
        <is>
          <t>17F2M + 2A + 2B</t>
        </is>
      </c>
      <c r="C164" s="10">
        <f>IF(SUMPRODUCT(D164:K164,1-$D$5:$K$5)=0,1,0)</f>
        <v/>
      </c>
      <c r="D164" s="4" t="n">
        <v>1</v>
      </c>
      <c r="E164" s="4" t="n">
        <v>0</v>
      </c>
      <c r="F164" s="4" t="n">
        <v>0</v>
      </c>
      <c r="G164" s="4" t="n">
        <v>1</v>
      </c>
      <c r="H164" s="4" t="n">
        <v>1</v>
      </c>
      <c r="I164" s="4" t="n">
        <v>0</v>
      </c>
      <c r="J164" s="4" t="n">
        <v>0</v>
      </c>
      <c r="K164" s="4" t="n">
        <v>0</v>
      </c>
      <c r="L164" s="6">
        <f>IF(C164=1,1+SUMPRODUCT(D164:K164,$D$9:$K$9),"")</f>
        <v/>
      </c>
      <c r="M164" s="6">
        <f>SUMPRODUCT(D164:K164,$D$6:$K$6)</f>
        <v/>
      </c>
      <c r="N164" s="6">
        <f>SUMPRODUCT(D164:K164,$D$7:$K$7)</f>
        <v/>
      </c>
      <c r="O164" s="25">
        <f>SUMPRODUCT(D164:K164,$D$8:$K$8)</f>
        <v/>
      </c>
      <c r="P164" s="21">
        <f>M164/10^in_out_dp</f>
        <v/>
      </c>
      <c r="Q164" s="26">
        <f>N164/10^in_cost_dp</f>
        <v/>
      </c>
      <c r="R164" s="10">
        <f>IF(SUM(D164:K164)=0,1,0)</f>
        <v/>
      </c>
      <c r="S164" s="10">
        <f>SUMPRODUCT($C$12:$C$267*(($M$12:$M$267=M164)*($N$12:$N$267&lt;N164)+($M$12:$M$267&gt;M164)*($N$12:$N$267&lt;=N164)))</f>
        <v/>
      </c>
      <c r="T164" s="10">
        <f>IF(C164=0,0,IF(OR(R164=1,S164=0),1,0))</f>
        <v/>
      </c>
      <c r="U164" s="10">
        <f>IF(AND(T164=1,R164=0,M164&gt;0),1,0)</f>
        <v/>
      </c>
      <c r="V164" s="30">
        <f>IF(U164=1,MAX(N164/M164,SUMPRODUCT(MAX(((N164-$N$12:$N$267)*($U$12:$U$267*($M$12:$M$267&lt;M164)))/((M164-$M$12:$M$267)*($U$12:$U$267*($M$12:$M$267&lt;M164))+1-($U$12:$U$267*($M$12:$M$267&lt;M164)))-(1-($U$12:$U$267*($M$12:$M$267&lt;M164)))*1E+300))),0)</f>
        <v/>
      </c>
      <c r="W164" s="30">
        <f>IF(U164=1,SUMPRODUCT(MIN(((($N$12:$N$267-N164)*($U$12:$U$267*($M$12:$M$267&gt;M164)))/(($M$12:$M$267-M164)*($U$12:$U$267*($M$12:$M$267&gt;M164))+1-($U$12:$U$267*($M$12:$M$267&gt;M164)))+(1-($U$12:$U$267*($M$12:$M$267&gt;M164)))*1E+300))),0)</f>
        <v/>
      </c>
      <c r="X164" s="10">
        <f>IF(C164=0,0,IF(R164=1,1,IF(AND(U164=1,V164&lt;=W164),1,0)))</f>
        <v/>
      </c>
      <c r="Y164" s="10">
        <f>IF(X164=1,1+SUMPRODUCT($X$12:$X$267*(($M$12:$M$267&lt;M164)+($M$12:$M$267=M164)*($A$12:$A$267&lt;A164))),0)</f>
        <v/>
      </c>
      <c r="Z164" s="10">
        <f>IF(Y164&lt;=1,0,SUMPRODUCT(($Y$12:$Y$267=Y164-1)*$M$12:$M$267))</f>
        <v/>
      </c>
      <c r="AA164" s="10">
        <f>IF(Y164&lt;=1,0,SUMPRODUCT(($Y$12:$Y$267=Y164-1)*$N$12:$N$267))</f>
        <v/>
      </c>
      <c r="AB164" s="21">
        <f>IF(Y164=0,"",(M164-Z164)/10^in_out_dp)</f>
        <v/>
      </c>
      <c r="AC164" s="26">
        <f>IF(Y164=0,"",(N164-AA164)/10^in_cost_dp)</f>
        <v/>
      </c>
      <c r="AD164" s="26">
        <f>IF(Y164=0,"",IF(M164=Z164,0,AC164/AB164))</f>
        <v/>
      </c>
      <c r="AE164" s="26">
        <f>IF(AND(C164=1,M164&gt;0),Q164/P164,"n/a")</f>
        <v/>
      </c>
      <c r="AF164" s="15" t="n">
        <v>0</v>
      </c>
      <c r="AG164" s="6">
        <f>IF(AND(C164=1,AF164=1),1+SUMPRODUCT($C$12:$C$267*$AF$12:$AF$267*(($M$12:$M$267&lt;M164)+($M$12:$M$267=M164)*($N$12:$N$267&lt;N164)+($M$12:$M$267=M164)*($N$12:$N$267=N164)*($A$12:$A$267&lt;A164))),0)</f>
        <v/>
      </c>
    </row>
    <row r="165">
      <c r="A165" s="4" t="n">
        <v>154</v>
      </c>
      <c r="B165" s="4" t="inlineStr">
        <is>
          <t>17F2M + 2A + 2B + 19A</t>
        </is>
      </c>
      <c r="C165" s="10">
        <f>IF(SUMPRODUCT(D165:K165,1-$D$5:$K$5)=0,1,0)</f>
        <v/>
      </c>
      <c r="D165" s="4" t="n">
        <v>1</v>
      </c>
      <c r="E165" s="4" t="n">
        <v>0</v>
      </c>
      <c r="F165" s="4" t="n">
        <v>0</v>
      </c>
      <c r="G165" s="4" t="n">
        <v>1</v>
      </c>
      <c r="H165" s="4" t="n">
        <v>1</v>
      </c>
      <c r="I165" s="4" t="n">
        <v>0</v>
      </c>
      <c r="J165" s="4" t="n">
        <v>0</v>
      </c>
      <c r="K165" s="4" t="n">
        <v>1</v>
      </c>
      <c r="L165" s="6">
        <f>IF(C165=1,1+SUMPRODUCT(D165:K165,$D$9:$K$9),"")</f>
        <v/>
      </c>
      <c r="M165" s="6">
        <f>SUMPRODUCT(D165:K165,$D$6:$K$6)</f>
        <v/>
      </c>
      <c r="N165" s="6">
        <f>SUMPRODUCT(D165:K165,$D$7:$K$7)</f>
        <v/>
      </c>
      <c r="O165" s="25">
        <f>SUMPRODUCT(D165:K165,$D$8:$K$8)</f>
        <v/>
      </c>
      <c r="P165" s="21">
        <f>M165/10^in_out_dp</f>
        <v/>
      </c>
      <c r="Q165" s="26">
        <f>N165/10^in_cost_dp</f>
        <v/>
      </c>
      <c r="R165" s="10">
        <f>IF(SUM(D165:K165)=0,1,0)</f>
        <v/>
      </c>
      <c r="S165" s="10">
        <f>SUMPRODUCT($C$12:$C$267*(($M$12:$M$267=M165)*($N$12:$N$267&lt;N165)+($M$12:$M$267&gt;M165)*($N$12:$N$267&lt;=N165)))</f>
        <v/>
      </c>
      <c r="T165" s="10">
        <f>IF(C165=0,0,IF(OR(R165=1,S165=0),1,0))</f>
        <v/>
      </c>
      <c r="U165" s="10">
        <f>IF(AND(T165=1,R165=0,M165&gt;0),1,0)</f>
        <v/>
      </c>
      <c r="V165" s="30">
        <f>IF(U165=1,MAX(N165/M165,SUMPRODUCT(MAX(((N165-$N$12:$N$267)*($U$12:$U$267*($M$12:$M$267&lt;M165)))/((M165-$M$12:$M$267)*($U$12:$U$267*($M$12:$M$267&lt;M165))+1-($U$12:$U$267*($M$12:$M$267&lt;M165)))-(1-($U$12:$U$267*($M$12:$M$267&lt;M165)))*1E+300))),0)</f>
        <v/>
      </c>
      <c r="W165" s="30">
        <f>IF(U165=1,SUMPRODUCT(MIN(((($N$12:$N$267-N165)*($U$12:$U$267*($M$12:$M$267&gt;M165)))/(($M$12:$M$267-M165)*($U$12:$U$267*($M$12:$M$267&gt;M165))+1-($U$12:$U$267*($M$12:$M$267&gt;M165)))+(1-($U$12:$U$267*($M$12:$M$267&gt;M165)))*1E+300))),0)</f>
        <v/>
      </c>
      <c r="X165" s="10">
        <f>IF(C165=0,0,IF(R165=1,1,IF(AND(U165=1,V165&lt;=W165),1,0)))</f>
        <v/>
      </c>
      <c r="Y165" s="10">
        <f>IF(X165=1,1+SUMPRODUCT($X$12:$X$267*(($M$12:$M$267&lt;M165)+($M$12:$M$267=M165)*($A$12:$A$267&lt;A165))),0)</f>
        <v/>
      </c>
      <c r="Z165" s="10">
        <f>IF(Y165&lt;=1,0,SUMPRODUCT(($Y$12:$Y$267=Y165-1)*$M$12:$M$267))</f>
        <v/>
      </c>
      <c r="AA165" s="10">
        <f>IF(Y165&lt;=1,0,SUMPRODUCT(($Y$12:$Y$267=Y165-1)*$N$12:$N$267))</f>
        <v/>
      </c>
      <c r="AB165" s="21">
        <f>IF(Y165=0,"",(M165-Z165)/10^in_out_dp)</f>
        <v/>
      </c>
      <c r="AC165" s="26">
        <f>IF(Y165=0,"",(N165-AA165)/10^in_cost_dp)</f>
        <v/>
      </c>
      <c r="AD165" s="26">
        <f>IF(Y165=0,"",IF(M165=Z165,0,AC165/AB165))</f>
        <v/>
      </c>
      <c r="AE165" s="26">
        <f>IF(AND(C165=1,M165&gt;0),Q165/P165,"n/a")</f>
        <v/>
      </c>
      <c r="AF165" s="15" t="n">
        <v>0</v>
      </c>
      <c r="AG165" s="6">
        <f>IF(AND(C165=1,AF165=1),1+SUMPRODUCT($C$12:$C$267*$AF$12:$AF$267*(($M$12:$M$267&lt;M165)+($M$12:$M$267=M165)*($N$12:$N$267&lt;N165)+($M$12:$M$267=M165)*($N$12:$N$267=N165)*($A$12:$A$267&lt;A165))),0)</f>
        <v/>
      </c>
    </row>
    <row r="166">
      <c r="A166" s="4" t="n">
        <v>155</v>
      </c>
      <c r="B166" s="4" t="inlineStr">
        <is>
          <t>17F2M + 2A + 2B + 3F</t>
        </is>
      </c>
      <c r="C166" s="10">
        <f>IF(SUMPRODUCT(D166:K166,1-$D$5:$K$5)=0,1,0)</f>
        <v/>
      </c>
      <c r="D166" s="4" t="n">
        <v>1</v>
      </c>
      <c r="E166" s="4" t="n">
        <v>0</v>
      </c>
      <c r="F166" s="4" t="n">
        <v>0</v>
      </c>
      <c r="G166" s="4" t="n">
        <v>1</v>
      </c>
      <c r="H166" s="4" t="n">
        <v>1</v>
      </c>
      <c r="I166" s="4" t="n">
        <v>0</v>
      </c>
      <c r="J166" s="4" t="n">
        <v>1</v>
      </c>
      <c r="K166" s="4" t="n">
        <v>0</v>
      </c>
      <c r="L166" s="6">
        <f>IF(C166=1,1+SUMPRODUCT(D166:K166,$D$9:$K$9),"")</f>
        <v/>
      </c>
      <c r="M166" s="6">
        <f>SUMPRODUCT(D166:K166,$D$6:$K$6)</f>
        <v/>
      </c>
      <c r="N166" s="6">
        <f>SUMPRODUCT(D166:K166,$D$7:$K$7)</f>
        <v/>
      </c>
      <c r="O166" s="25">
        <f>SUMPRODUCT(D166:K166,$D$8:$K$8)</f>
        <v/>
      </c>
      <c r="P166" s="21">
        <f>M166/10^in_out_dp</f>
        <v/>
      </c>
      <c r="Q166" s="26">
        <f>N166/10^in_cost_dp</f>
        <v/>
      </c>
      <c r="R166" s="10">
        <f>IF(SUM(D166:K166)=0,1,0)</f>
        <v/>
      </c>
      <c r="S166" s="10">
        <f>SUMPRODUCT($C$12:$C$267*(($M$12:$M$267=M166)*($N$12:$N$267&lt;N166)+($M$12:$M$267&gt;M166)*($N$12:$N$267&lt;=N166)))</f>
        <v/>
      </c>
      <c r="T166" s="10">
        <f>IF(C166=0,0,IF(OR(R166=1,S166=0),1,0))</f>
        <v/>
      </c>
      <c r="U166" s="10">
        <f>IF(AND(T166=1,R166=0,M166&gt;0),1,0)</f>
        <v/>
      </c>
      <c r="V166" s="30">
        <f>IF(U166=1,MAX(N166/M166,SUMPRODUCT(MAX(((N166-$N$12:$N$267)*($U$12:$U$267*($M$12:$M$267&lt;M166)))/((M166-$M$12:$M$267)*($U$12:$U$267*($M$12:$M$267&lt;M166))+1-($U$12:$U$267*($M$12:$M$267&lt;M166)))-(1-($U$12:$U$267*($M$12:$M$267&lt;M166)))*1E+300))),0)</f>
        <v/>
      </c>
      <c r="W166" s="30">
        <f>IF(U166=1,SUMPRODUCT(MIN(((($N$12:$N$267-N166)*($U$12:$U$267*($M$12:$M$267&gt;M166)))/(($M$12:$M$267-M166)*($U$12:$U$267*($M$12:$M$267&gt;M166))+1-($U$12:$U$267*($M$12:$M$267&gt;M166)))+(1-($U$12:$U$267*($M$12:$M$267&gt;M166)))*1E+300))),0)</f>
        <v/>
      </c>
      <c r="X166" s="10">
        <f>IF(C166=0,0,IF(R166=1,1,IF(AND(U166=1,V166&lt;=W166),1,0)))</f>
        <v/>
      </c>
      <c r="Y166" s="10">
        <f>IF(X166=1,1+SUMPRODUCT($X$12:$X$267*(($M$12:$M$267&lt;M166)+($M$12:$M$267=M166)*($A$12:$A$267&lt;A166))),0)</f>
        <v/>
      </c>
      <c r="Z166" s="10">
        <f>IF(Y166&lt;=1,0,SUMPRODUCT(($Y$12:$Y$267=Y166-1)*$M$12:$M$267))</f>
        <v/>
      </c>
      <c r="AA166" s="10">
        <f>IF(Y166&lt;=1,0,SUMPRODUCT(($Y$12:$Y$267=Y166-1)*$N$12:$N$267))</f>
        <v/>
      </c>
      <c r="AB166" s="21">
        <f>IF(Y166=0,"",(M166-Z166)/10^in_out_dp)</f>
        <v/>
      </c>
      <c r="AC166" s="26">
        <f>IF(Y166=0,"",(N166-AA166)/10^in_cost_dp)</f>
        <v/>
      </c>
      <c r="AD166" s="26">
        <f>IF(Y166=0,"",IF(M166=Z166,0,AC166/AB166))</f>
        <v/>
      </c>
      <c r="AE166" s="26">
        <f>IF(AND(C166=1,M166&gt;0),Q166/P166,"n/a")</f>
        <v/>
      </c>
      <c r="AF166" s="15" t="n">
        <v>0</v>
      </c>
      <c r="AG166" s="6">
        <f>IF(AND(C166=1,AF166=1),1+SUMPRODUCT($C$12:$C$267*$AF$12:$AF$267*(($M$12:$M$267&lt;M166)+($M$12:$M$267=M166)*($N$12:$N$267&lt;N166)+($M$12:$M$267=M166)*($N$12:$N$267=N166)*($A$12:$A$267&lt;A166))),0)</f>
        <v/>
      </c>
    </row>
    <row r="167">
      <c r="A167" s="4" t="n">
        <v>156</v>
      </c>
      <c r="B167" s="4" t="inlineStr">
        <is>
          <t>17F2M + 2A + 2B + 3F + 19A</t>
        </is>
      </c>
      <c r="C167" s="10">
        <f>IF(SUMPRODUCT(D167:K167,1-$D$5:$K$5)=0,1,0)</f>
        <v/>
      </c>
      <c r="D167" s="4" t="n">
        <v>1</v>
      </c>
      <c r="E167" s="4" t="n">
        <v>0</v>
      </c>
      <c r="F167" s="4" t="n">
        <v>0</v>
      </c>
      <c r="G167" s="4" t="n">
        <v>1</v>
      </c>
      <c r="H167" s="4" t="n">
        <v>1</v>
      </c>
      <c r="I167" s="4" t="n">
        <v>0</v>
      </c>
      <c r="J167" s="4" t="n">
        <v>1</v>
      </c>
      <c r="K167" s="4" t="n">
        <v>1</v>
      </c>
      <c r="L167" s="6">
        <f>IF(C167=1,1+SUMPRODUCT(D167:K167,$D$9:$K$9),"")</f>
        <v/>
      </c>
      <c r="M167" s="6">
        <f>SUMPRODUCT(D167:K167,$D$6:$K$6)</f>
        <v/>
      </c>
      <c r="N167" s="6">
        <f>SUMPRODUCT(D167:K167,$D$7:$K$7)</f>
        <v/>
      </c>
      <c r="O167" s="25">
        <f>SUMPRODUCT(D167:K167,$D$8:$K$8)</f>
        <v/>
      </c>
      <c r="P167" s="21">
        <f>M167/10^in_out_dp</f>
        <v/>
      </c>
      <c r="Q167" s="26">
        <f>N167/10^in_cost_dp</f>
        <v/>
      </c>
      <c r="R167" s="10">
        <f>IF(SUM(D167:K167)=0,1,0)</f>
        <v/>
      </c>
      <c r="S167" s="10">
        <f>SUMPRODUCT($C$12:$C$267*(($M$12:$M$267=M167)*($N$12:$N$267&lt;N167)+($M$12:$M$267&gt;M167)*($N$12:$N$267&lt;=N167)))</f>
        <v/>
      </c>
      <c r="T167" s="10">
        <f>IF(C167=0,0,IF(OR(R167=1,S167=0),1,0))</f>
        <v/>
      </c>
      <c r="U167" s="10">
        <f>IF(AND(T167=1,R167=0,M167&gt;0),1,0)</f>
        <v/>
      </c>
      <c r="V167" s="30">
        <f>IF(U167=1,MAX(N167/M167,SUMPRODUCT(MAX(((N167-$N$12:$N$267)*($U$12:$U$267*($M$12:$M$267&lt;M167)))/((M167-$M$12:$M$267)*($U$12:$U$267*($M$12:$M$267&lt;M167))+1-($U$12:$U$267*($M$12:$M$267&lt;M167)))-(1-($U$12:$U$267*($M$12:$M$267&lt;M167)))*1E+300))),0)</f>
        <v/>
      </c>
      <c r="W167" s="30">
        <f>IF(U167=1,SUMPRODUCT(MIN(((($N$12:$N$267-N167)*($U$12:$U$267*($M$12:$M$267&gt;M167)))/(($M$12:$M$267-M167)*($U$12:$U$267*($M$12:$M$267&gt;M167))+1-($U$12:$U$267*($M$12:$M$267&gt;M167)))+(1-($U$12:$U$267*($M$12:$M$267&gt;M167)))*1E+300))),0)</f>
        <v/>
      </c>
      <c r="X167" s="10">
        <f>IF(C167=0,0,IF(R167=1,1,IF(AND(U167=1,V167&lt;=W167),1,0)))</f>
        <v/>
      </c>
      <c r="Y167" s="10">
        <f>IF(X167=1,1+SUMPRODUCT($X$12:$X$267*(($M$12:$M$267&lt;M167)+($M$12:$M$267=M167)*($A$12:$A$267&lt;A167))),0)</f>
        <v/>
      </c>
      <c r="Z167" s="10">
        <f>IF(Y167&lt;=1,0,SUMPRODUCT(($Y$12:$Y$267=Y167-1)*$M$12:$M$267))</f>
        <v/>
      </c>
      <c r="AA167" s="10">
        <f>IF(Y167&lt;=1,0,SUMPRODUCT(($Y$12:$Y$267=Y167-1)*$N$12:$N$267))</f>
        <v/>
      </c>
      <c r="AB167" s="21">
        <f>IF(Y167=0,"",(M167-Z167)/10^in_out_dp)</f>
        <v/>
      </c>
      <c r="AC167" s="26">
        <f>IF(Y167=0,"",(N167-AA167)/10^in_cost_dp)</f>
        <v/>
      </c>
      <c r="AD167" s="26">
        <f>IF(Y167=0,"",IF(M167=Z167,0,AC167/AB167))</f>
        <v/>
      </c>
      <c r="AE167" s="26">
        <f>IF(AND(C167=1,M167&gt;0),Q167/P167,"n/a")</f>
        <v/>
      </c>
      <c r="AF167" s="15" t="n">
        <v>0</v>
      </c>
      <c r="AG167" s="6">
        <f>IF(AND(C167=1,AF167=1),1+SUMPRODUCT($C$12:$C$267*$AF$12:$AF$267*(($M$12:$M$267&lt;M167)+($M$12:$M$267=M167)*($N$12:$N$267&lt;N167)+($M$12:$M$267=M167)*($N$12:$N$267=N167)*($A$12:$A$267&lt;A167))),0)</f>
        <v/>
      </c>
    </row>
    <row r="168">
      <c r="A168" s="4" t="n">
        <v>157</v>
      </c>
      <c r="B168" s="4" t="inlineStr">
        <is>
          <t>17F2M + 2A + 2B + 3E</t>
        </is>
      </c>
      <c r="C168" s="10">
        <f>IF(SUMPRODUCT(D168:K168,1-$D$5:$K$5)=0,1,0)</f>
        <v/>
      </c>
      <c r="D168" s="4" t="n">
        <v>1</v>
      </c>
      <c r="E168" s="4" t="n">
        <v>0</v>
      </c>
      <c r="F168" s="4" t="n">
        <v>0</v>
      </c>
      <c r="G168" s="4" t="n">
        <v>1</v>
      </c>
      <c r="H168" s="4" t="n">
        <v>1</v>
      </c>
      <c r="I168" s="4" t="n">
        <v>1</v>
      </c>
      <c r="J168" s="4" t="n">
        <v>0</v>
      </c>
      <c r="K168" s="4" t="n">
        <v>0</v>
      </c>
      <c r="L168" s="6">
        <f>IF(C168=1,1+SUMPRODUCT(D168:K168,$D$9:$K$9),"")</f>
        <v/>
      </c>
      <c r="M168" s="6">
        <f>SUMPRODUCT(D168:K168,$D$6:$K$6)</f>
        <v/>
      </c>
      <c r="N168" s="6">
        <f>SUMPRODUCT(D168:K168,$D$7:$K$7)</f>
        <v/>
      </c>
      <c r="O168" s="25">
        <f>SUMPRODUCT(D168:K168,$D$8:$K$8)</f>
        <v/>
      </c>
      <c r="P168" s="21">
        <f>M168/10^in_out_dp</f>
        <v/>
      </c>
      <c r="Q168" s="26">
        <f>N168/10^in_cost_dp</f>
        <v/>
      </c>
      <c r="R168" s="10">
        <f>IF(SUM(D168:K168)=0,1,0)</f>
        <v/>
      </c>
      <c r="S168" s="10">
        <f>SUMPRODUCT($C$12:$C$267*(($M$12:$M$267=M168)*($N$12:$N$267&lt;N168)+($M$12:$M$267&gt;M168)*($N$12:$N$267&lt;=N168)))</f>
        <v/>
      </c>
      <c r="T168" s="10">
        <f>IF(C168=0,0,IF(OR(R168=1,S168=0),1,0))</f>
        <v/>
      </c>
      <c r="U168" s="10">
        <f>IF(AND(T168=1,R168=0,M168&gt;0),1,0)</f>
        <v/>
      </c>
      <c r="V168" s="30">
        <f>IF(U168=1,MAX(N168/M168,SUMPRODUCT(MAX(((N168-$N$12:$N$267)*($U$12:$U$267*($M$12:$M$267&lt;M168)))/((M168-$M$12:$M$267)*($U$12:$U$267*($M$12:$M$267&lt;M168))+1-($U$12:$U$267*($M$12:$M$267&lt;M168)))-(1-($U$12:$U$267*($M$12:$M$267&lt;M168)))*1E+300))),0)</f>
        <v/>
      </c>
      <c r="W168" s="30">
        <f>IF(U168=1,SUMPRODUCT(MIN(((($N$12:$N$267-N168)*($U$12:$U$267*($M$12:$M$267&gt;M168)))/(($M$12:$M$267-M168)*($U$12:$U$267*($M$12:$M$267&gt;M168))+1-($U$12:$U$267*($M$12:$M$267&gt;M168)))+(1-($U$12:$U$267*($M$12:$M$267&gt;M168)))*1E+300))),0)</f>
        <v/>
      </c>
      <c r="X168" s="10">
        <f>IF(C168=0,0,IF(R168=1,1,IF(AND(U168=1,V168&lt;=W168),1,0)))</f>
        <v/>
      </c>
      <c r="Y168" s="10">
        <f>IF(X168=1,1+SUMPRODUCT($X$12:$X$267*(($M$12:$M$267&lt;M168)+($M$12:$M$267=M168)*($A$12:$A$267&lt;A168))),0)</f>
        <v/>
      </c>
      <c r="Z168" s="10">
        <f>IF(Y168&lt;=1,0,SUMPRODUCT(($Y$12:$Y$267=Y168-1)*$M$12:$M$267))</f>
        <v/>
      </c>
      <c r="AA168" s="10">
        <f>IF(Y168&lt;=1,0,SUMPRODUCT(($Y$12:$Y$267=Y168-1)*$N$12:$N$267))</f>
        <v/>
      </c>
      <c r="AB168" s="21">
        <f>IF(Y168=0,"",(M168-Z168)/10^in_out_dp)</f>
        <v/>
      </c>
      <c r="AC168" s="26">
        <f>IF(Y168=0,"",(N168-AA168)/10^in_cost_dp)</f>
        <v/>
      </c>
      <c r="AD168" s="26">
        <f>IF(Y168=0,"",IF(M168=Z168,0,AC168/AB168))</f>
        <v/>
      </c>
      <c r="AE168" s="26">
        <f>IF(AND(C168=1,M168&gt;0),Q168/P168,"n/a")</f>
        <v/>
      </c>
      <c r="AF168" s="15" t="n">
        <v>0</v>
      </c>
      <c r="AG168" s="6">
        <f>IF(AND(C168=1,AF168=1),1+SUMPRODUCT($C$12:$C$267*$AF$12:$AF$267*(($M$12:$M$267&lt;M168)+($M$12:$M$267=M168)*($N$12:$N$267&lt;N168)+($M$12:$M$267=M168)*($N$12:$N$267=N168)*($A$12:$A$267&lt;A168))),0)</f>
        <v/>
      </c>
    </row>
    <row r="169">
      <c r="A169" s="4" t="n">
        <v>158</v>
      </c>
      <c r="B169" s="4" t="inlineStr">
        <is>
          <t>17F2M + 2A + 2B + 3E + 19A</t>
        </is>
      </c>
      <c r="C169" s="10">
        <f>IF(SUMPRODUCT(D169:K169,1-$D$5:$K$5)=0,1,0)</f>
        <v/>
      </c>
      <c r="D169" s="4" t="n">
        <v>1</v>
      </c>
      <c r="E169" s="4" t="n">
        <v>0</v>
      </c>
      <c r="F169" s="4" t="n">
        <v>0</v>
      </c>
      <c r="G169" s="4" t="n">
        <v>1</v>
      </c>
      <c r="H169" s="4" t="n">
        <v>1</v>
      </c>
      <c r="I169" s="4" t="n">
        <v>1</v>
      </c>
      <c r="J169" s="4" t="n">
        <v>0</v>
      </c>
      <c r="K169" s="4" t="n">
        <v>1</v>
      </c>
      <c r="L169" s="6">
        <f>IF(C169=1,1+SUMPRODUCT(D169:K169,$D$9:$K$9),"")</f>
        <v/>
      </c>
      <c r="M169" s="6">
        <f>SUMPRODUCT(D169:K169,$D$6:$K$6)</f>
        <v/>
      </c>
      <c r="N169" s="6">
        <f>SUMPRODUCT(D169:K169,$D$7:$K$7)</f>
        <v/>
      </c>
      <c r="O169" s="25">
        <f>SUMPRODUCT(D169:K169,$D$8:$K$8)</f>
        <v/>
      </c>
      <c r="P169" s="21">
        <f>M169/10^in_out_dp</f>
        <v/>
      </c>
      <c r="Q169" s="26">
        <f>N169/10^in_cost_dp</f>
        <v/>
      </c>
      <c r="R169" s="10">
        <f>IF(SUM(D169:K169)=0,1,0)</f>
        <v/>
      </c>
      <c r="S169" s="10">
        <f>SUMPRODUCT($C$12:$C$267*(($M$12:$M$267=M169)*($N$12:$N$267&lt;N169)+($M$12:$M$267&gt;M169)*($N$12:$N$267&lt;=N169)))</f>
        <v/>
      </c>
      <c r="T169" s="10">
        <f>IF(C169=0,0,IF(OR(R169=1,S169=0),1,0))</f>
        <v/>
      </c>
      <c r="U169" s="10">
        <f>IF(AND(T169=1,R169=0,M169&gt;0),1,0)</f>
        <v/>
      </c>
      <c r="V169" s="30">
        <f>IF(U169=1,MAX(N169/M169,SUMPRODUCT(MAX(((N169-$N$12:$N$267)*($U$12:$U$267*($M$12:$M$267&lt;M169)))/((M169-$M$12:$M$267)*($U$12:$U$267*($M$12:$M$267&lt;M169))+1-($U$12:$U$267*($M$12:$M$267&lt;M169)))-(1-($U$12:$U$267*($M$12:$M$267&lt;M169)))*1E+300))),0)</f>
        <v/>
      </c>
      <c r="W169" s="30">
        <f>IF(U169=1,SUMPRODUCT(MIN(((($N$12:$N$267-N169)*($U$12:$U$267*($M$12:$M$267&gt;M169)))/(($M$12:$M$267-M169)*($U$12:$U$267*($M$12:$M$267&gt;M169))+1-($U$12:$U$267*($M$12:$M$267&gt;M169)))+(1-($U$12:$U$267*($M$12:$M$267&gt;M169)))*1E+300))),0)</f>
        <v/>
      </c>
      <c r="X169" s="10">
        <f>IF(C169=0,0,IF(R169=1,1,IF(AND(U169=1,V169&lt;=W169),1,0)))</f>
        <v/>
      </c>
      <c r="Y169" s="10">
        <f>IF(X169=1,1+SUMPRODUCT($X$12:$X$267*(($M$12:$M$267&lt;M169)+($M$12:$M$267=M169)*($A$12:$A$267&lt;A169))),0)</f>
        <v/>
      </c>
      <c r="Z169" s="10">
        <f>IF(Y169&lt;=1,0,SUMPRODUCT(($Y$12:$Y$267=Y169-1)*$M$12:$M$267))</f>
        <v/>
      </c>
      <c r="AA169" s="10">
        <f>IF(Y169&lt;=1,0,SUMPRODUCT(($Y$12:$Y$267=Y169-1)*$N$12:$N$267))</f>
        <v/>
      </c>
      <c r="AB169" s="21">
        <f>IF(Y169=0,"",(M169-Z169)/10^in_out_dp)</f>
        <v/>
      </c>
      <c r="AC169" s="26">
        <f>IF(Y169=0,"",(N169-AA169)/10^in_cost_dp)</f>
        <v/>
      </c>
      <c r="AD169" s="26">
        <f>IF(Y169=0,"",IF(M169=Z169,0,AC169/AB169))</f>
        <v/>
      </c>
      <c r="AE169" s="26">
        <f>IF(AND(C169=1,M169&gt;0),Q169/P169,"n/a")</f>
        <v/>
      </c>
      <c r="AF169" s="15" t="n">
        <v>0</v>
      </c>
      <c r="AG169" s="6">
        <f>IF(AND(C169=1,AF169=1),1+SUMPRODUCT($C$12:$C$267*$AF$12:$AF$267*(($M$12:$M$267&lt;M169)+($M$12:$M$267=M169)*($N$12:$N$267&lt;N169)+($M$12:$M$267=M169)*($N$12:$N$267=N169)*($A$12:$A$267&lt;A169))),0)</f>
        <v/>
      </c>
    </row>
    <row r="170">
      <c r="A170" s="4" t="n">
        <v>159</v>
      </c>
      <c r="B170" s="4" t="inlineStr">
        <is>
          <t>17F2M + 2A + 2B + 3E + 3F</t>
        </is>
      </c>
      <c r="C170" s="10">
        <f>IF(SUMPRODUCT(D170:K170,1-$D$5:$K$5)=0,1,0)</f>
        <v/>
      </c>
      <c r="D170" s="4" t="n">
        <v>1</v>
      </c>
      <c r="E170" s="4" t="n">
        <v>0</v>
      </c>
      <c r="F170" s="4" t="n">
        <v>0</v>
      </c>
      <c r="G170" s="4" t="n">
        <v>1</v>
      </c>
      <c r="H170" s="4" t="n">
        <v>1</v>
      </c>
      <c r="I170" s="4" t="n">
        <v>1</v>
      </c>
      <c r="J170" s="4" t="n">
        <v>1</v>
      </c>
      <c r="K170" s="4" t="n">
        <v>0</v>
      </c>
      <c r="L170" s="6">
        <f>IF(C170=1,1+SUMPRODUCT(D170:K170,$D$9:$K$9),"")</f>
        <v/>
      </c>
      <c r="M170" s="6">
        <f>SUMPRODUCT(D170:K170,$D$6:$K$6)</f>
        <v/>
      </c>
      <c r="N170" s="6">
        <f>SUMPRODUCT(D170:K170,$D$7:$K$7)</f>
        <v/>
      </c>
      <c r="O170" s="25">
        <f>SUMPRODUCT(D170:K170,$D$8:$K$8)</f>
        <v/>
      </c>
      <c r="P170" s="21">
        <f>M170/10^in_out_dp</f>
        <v/>
      </c>
      <c r="Q170" s="26">
        <f>N170/10^in_cost_dp</f>
        <v/>
      </c>
      <c r="R170" s="10">
        <f>IF(SUM(D170:K170)=0,1,0)</f>
        <v/>
      </c>
      <c r="S170" s="10">
        <f>SUMPRODUCT($C$12:$C$267*(($M$12:$M$267=M170)*($N$12:$N$267&lt;N170)+($M$12:$M$267&gt;M170)*($N$12:$N$267&lt;=N170)))</f>
        <v/>
      </c>
      <c r="T170" s="10">
        <f>IF(C170=0,0,IF(OR(R170=1,S170=0),1,0))</f>
        <v/>
      </c>
      <c r="U170" s="10">
        <f>IF(AND(T170=1,R170=0,M170&gt;0),1,0)</f>
        <v/>
      </c>
      <c r="V170" s="30">
        <f>IF(U170=1,MAX(N170/M170,SUMPRODUCT(MAX(((N170-$N$12:$N$267)*($U$12:$U$267*($M$12:$M$267&lt;M170)))/((M170-$M$12:$M$267)*($U$12:$U$267*($M$12:$M$267&lt;M170))+1-($U$12:$U$267*($M$12:$M$267&lt;M170)))-(1-($U$12:$U$267*($M$12:$M$267&lt;M170)))*1E+300))),0)</f>
        <v/>
      </c>
      <c r="W170" s="30">
        <f>IF(U170=1,SUMPRODUCT(MIN(((($N$12:$N$267-N170)*($U$12:$U$267*($M$12:$M$267&gt;M170)))/(($M$12:$M$267-M170)*($U$12:$U$267*($M$12:$M$267&gt;M170))+1-($U$12:$U$267*($M$12:$M$267&gt;M170)))+(1-($U$12:$U$267*($M$12:$M$267&gt;M170)))*1E+300))),0)</f>
        <v/>
      </c>
      <c r="X170" s="10">
        <f>IF(C170=0,0,IF(R170=1,1,IF(AND(U170=1,V170&lt;=W170),1,0)))</f>
        <v/>
      </c>
      <c r="Y170" s="10">
        <f>IF(X170=1,1+SUMPRODUCT($X$12:$X$267*(($M$12:$M$267&lt;M170)+($M$12:$M$267=M170)*($A$12:$A$267&lt;A170))),0)</f>
        <v/>
      </c>
      <c r="Z170" s="10">
        <f>IF(Y170&lt;=1,0,SUMPRODUCT(($Y$12:$Y$267=Y170-1)*$M$12:$M$267))</f>
        <v/>
      </c>
      <c r="AA170" s="10">
        <f>IF(Y170&lt;=1,0,SUMPRODUCT(($Y$12:$Y$267=Y170-1)*$N$12:$N$267))</f>
        <v/>
      </c>
      <c r="AB170" s="21">
        <f>IF(Y170=0,"",(M170-Z170)/10^in_out_dp)</f>
        <v/>
      </c>
      <c r="AC170" s="26">
        <f>IF(Y170=0,"",(N170-AA170)/10^in_cost_dp)</f>
        <v/>
      </c>
      <c r="AD170" s="26">
        <f>IF(Y170=0,"",IF(M170=Z170,0,AC170/AB170))</f>
        <v/>
      </c>
      <c r="AE170" s="26">
        <f>IF(AND(C170=1,M170&gt;0),Q170/P170,"n/a")</f>
        <v/>
      </c>
      <c r="AF170" s="15" t="n">
        <v>0</v>
      </c>
      <c r="AG170" s="6">
        <f>IF(AND(C170=1,AF170=1),1+SUMPRODUCT($C$12:$C$267*$AF$12:$AF$267*(($M$12:$M$267&lt;M170)+($M$12:$M$267=M170)*($N$12:$N$267&lt;N170)+($M$12:$M$267=M170)*($N$12:$N$267=N170)*($A$12:$A$267&lt;A170))),0)</f>
        <v/>
      </c>
    </row>
    <row r="171">
      <c r="A171" s="4" t="n">
        <v>160</v>
      </c>
      <c r="B171" s="4" t="inlineStr">
        <is>
          <t>17F2M + 2A + 2B + 3E + 3F + 19A</t>
        </is>
      </c>
      <c r="C171" s="10">
        <f>IF(SUMPRODUCT(D171:K171,1-$D$5:$K$5)=0,1,0)</f>
        <v/>
      </c>
      <c r="D171" s="4" t="n">
        <v>1</v>
      </c>
      <c r="E171" s="4" t="n">
        <v>0</v>
      </c>
      <c r="F171" s="4" t="n">
        <v>0</v>
      </c>
      <c r="G171" s="4" t="n">
        <v>1</v>
      </c>
      <c r="H171" s="4" t="n">
        <v>1</v>
      </c>
      <c r="I171" s="4" t="n">
        <v>1</v>
      </c>
      <c r="J171" s="4" t="n">
        <v>1</v>
      </c>
      <c r="K171" s="4" t="n">
        <v>1</v>
      </c>
      <c r="L171" s="6">
        <f>IF(C171=1,1+SUMPRODUCT(D171:K171,$D$9:$K$9),"")</f>
        <v/>
      </c>
      <c r="M171" s="6">
        <f>SUMPRODUCT(D171:K171,$D$6:$K$6)</f>
        <v/>
      </c>
      <c r="N171" s="6">
        <f>SUMPRODUCT(D171:K171,$D$7:$K$7)</f>
        <v/>
      </c>
      <c r="O171" s="25">
        <f>SUMPRODUCT(D171:K171,$D$8:$K$8)</f>
        <v/>
      </c>
      <c r="P171" s="21">
        <f>M171/10^in_out_dp</f>
        <v/>
      </c>
      <c r="Q171" s="26">
        <f>N171/10^in_cost_dp</f>
        <v/>
      </c>
      <c r="R171" s="10">
        <f>IF(SUM(D171:K171)=0,1,0)</f>
        <v/>
      </c>
      <c r="S171" s="10">
        <f>SUMPRODUCT($C$12:$C$267*(($M$12:$M$267=M171)*($N$12:$N$267&lt;N171)+($M$12:$M$267&gt;M171)*($N$12:$N$267&lt;=N171)))</f>
        <v/>
      </c>
      <c r="T171" s="10">
        <f>IF(C171=0,0,IF(OR(R171=1,S171=0),1,0))</f>
        <v/>
      </c>
      <c r="U171" s="10">
        <f>IF(AND(T171=1,R171=0,M171&gt;0),1,0)</f>
        <v/>
      </c>
      <c r="V171" s="30">
        <f>IF(U171=1,MAX(N171/M171,SUMPRODUCT(MAX(((N171-$N$12:$N$267)*($U$12:$U$267*($M$12:$M$267&lt;M171)))/((M171-$M$12:$M$267)*($U$12:$U$267*($M$12:$M$267&lt;M171))+1-($U$12:$U$267*($M$12:$M$267&lt;M171)))-(1-($U$12:$U$267*($M$12:$M$267&lt;M171)))*1E+300))),0)</f>
        <v/>
      </c>
      <c r="W171" s="30">
        <f>IF(U171=1,SUMPRODUCT(MIN(((($N$12:$N$267-N171)*($U$12:$U$267*($M$12:$M$267&gt;M171)))/(($M$12:$M$267-M171)*($U$12:$U$267*($M$12:$M$267&gt;M171))+1-($U$12:$U$267*($M$12:$M$267&gt;M171)))+(1-($U$12:$U$267*($M$12:$M$267&gt;M171)))*1E+300))),0)</f>
        <v/>
      </c>
      <c r="X171" s="10">
        <f>IF(C171=0,0,IF(R171=1,1,IF(AND(U171=1,V171&lt;=W171),1,0)))</f>
        <v/>
      </c>
      <c r="Y171" s="10">
        <f>IF(X171=1,1+SUMPRODUCT($X$12:$X$267*(($M$12:$M$267&lt;M171)+($M$12:$M$267=M171)*($A$12:$A$267&lt;A171))),0)</f>
        <v/>
      </c>
      <c r="Z171" s="10">
        <f>IF(Y171&lt;=1,0,SUMPRODUCT(($Y$12:$Y$267=Y171-1)*$M$12:$M$267))</f>
        <v/>
      </c>
      <c r="AA171" s="10">
        <f>IF(Y171&lt;=1,0,SUMPRODUCT(($Y$12:$Y$267=Y171-1)*$N$12:$N$267))</f>
        <v/>
      </c>
      <c r="AB171" s="21">
        <f>IF(Y171=0,"",(M171-Z171)/10^in_out_dp)</f>
        <v/>
      </c>
      <c r="AC171" s="26">
        <f>IF(Y171=0,"",(N171-AA171)/10^in_cost_dp)</f>
        <v/>
      </c>
      <c r="AD171" s="26">
        <f>IF(Y171=0,"",IF(M171=Z171,0,AC171/AB171))</f>
        <v/>
      </c>
      <c r="AE171" s="26">
        <f>IF(AND(C171=1,M171&gt;0),Q171/P171,"n/a")</f>
        <v/>
      </c>
      <c r="AF171" s="15" t="n">
        <v>0</v>
      </c>
      <c r="AG171" s="6">
        <f>IF(AND(C171=1,AF171=1),1+SUMPRODUCT($C$12:$C$267*$AF$12:$AF$267*(($M$12:$M$267&lt;M171)+($M$12:$M$267=M171)*($N$12:$N$267&lt;N171)+($M$12:$M$267=M171)*($N$12:$N$267=N171)*($A$12:$A$267&lt;A171))),0)</f>
        <v/>
      </c>
    </row>
    <row r="172">
      <c r="A172" s="4" t="n">
        <v>161</v>
      </c>
      <c r="B172" s="4" t="inlineStr">
        <is>
          <t>17F2M + 17B</t>
        </is>
      </c>
      <c r="C172" s="10">
        <f>IF(SUMPRODUCT(D172:K172,1-$D$5:$K$5)=0,1,0)</f>
        <v/>
      </c>
      <c r="D172" s="4" t="n">
        <v>1</v>
      </c>
      <c r="E172" s="4" t="n">
        <v>0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6">
        <f>IF(C172=1,1+SUMPRODUCT(D172:K172,$D$9:$K$9),"")</f>
        <v/>
      </c>
      <c r="M172" s="6">
        <f>SUMPRODUCT(D172:K172,$D$6:$K$6)</f>
        <v/>
      </c>
      <c r="N172" s="6">
        <f>SUMPRODUCT(D172:K172,$D$7:$K$7)</f>
        <v/>
      </c>
      <c r="O172" s="25">
        <f>SUMPRODUCT(D172:K172,$D$8:$K$8)</f>
        <v/>
      </c>
      <c r="P172" s="21">
        <f>M172/10^in_out_dp</f>
        <v/>
      </c>
      <c r="Q172" s="26">
        <f>N172/10^in_cost_dp</f>
        <v/>
      </c>
      <c r="R172" s="10">
        <f>IF(SUM(D172:K172)=0,1,0)</f>
        <v/>
      </c>
      <c r="S172" s="10">
        <f>SUMPRODUCT($C$12:$C$267*(($M$12:$M$267=M172)*($N$12:$N$267&lt;N172)+($M$12:$M$267&gt;M172)*($N$12:$N$267&lt;=N172)))</f>
        <v/>
      </c>
      <c r="T172" s="10">
        <f>IF(C172=0,0,IF(OR(R172=1,S172=0),1,0))</f>
        <v/>
      </c>
      <c r="U172" s="10">
        <f>IF(AND(T172=1,R172=0,M172&gt;0),1,0)</f>
        <v/>
      </c>
      <c r="V172" s="30">
        <f>IF(U172=1,MAX(N172/M172,SUMPRODUCT(MAX(((N172-$N$12:$N$267)*($U$12:$U$267*($M$12:$M$267&lt;M172)))/((M172-$M$12:$M$267)*($U$12:$U$267*($M$12:$M$267&lt;M172))+1-($U$12:$U$267*($M$12:$M$267&lt;M172)))-(1-($U$12:$U$267*($M$12:$M$267&lt;M172)))*1E+300))),0)</f>
        <v/>
      </c>
      <c r="W172" s="30">
        <f>IF(U172=1,SUMPRODUCT(MIN(((($N$12:$N$267-N172)*($U$12:$U$267*($M$12:$M$267&gt;M172)))/(($M$12:$M$267-M172)*($U$12:$U$267*($M$12:$M$267&gt;M172))+1-($U$12:$U$267*($M$12:$M$267&gt;M172)))+(1-($U$12:$U$267*($M$12:$M$267&gt;M172)))*1E+300))),0)</f>
        <v/>
      </c>
      <c r="X172" s="10">
        <f>IF(C172=0,0,IF(R172=1,1,IF(AND(U172=1,V172&lt;=W172),1,0)))</f>
        <v/>
      </c>
      <c r="Y172" s="10">
        <f>IF(X172=1,1+SUMPRODUCT($X$12:$X$267*(($M$12:$M$267&lt;M172)+($M$12:$M$267=M172)*($A$12:$A$267&lt;A172))),0)</f>
        <v/>
      </c>
      <c r="Z172" s="10">
        <f>IF(Y172&lt;=1,0,SUMPRODUCT(($Y$12:$Y$267=Y172-1)*$M$12:$M$267))</f>
        <v/>
      </c>
      <c r="AA172" s="10">
        <f>IF(Y172&lt;=1,0,SUMPRODUCT(($Y$12:$Y$267=Y172-1)*$N$12:$N$267))</f>
        <v/>
      </c>
      <c r="AB172" s="21">
        <f>IF(Y172=0,"",(M172-Z172)/10^in_out_dp)</f>
        <v/>
      </c>
      <c r="AC172" s="26">
        <f>IF(Y172=0,"",(N172-AA172)/10^in_cost_dp)</f>
        <v/>
      </c>
      <c r="AD172" s="26">
        <f>IF(Y172=0,"",IF(M172=Z172,0,AC172/AB172))</f>
        <v/>
      </c>
      <c r="AE172" s="26">
        <f>IF(AND(C172=1,M172&gt;0),Q172/P172,"n/a")</f>
        <v/>
      </c>
      <c r="AF172" s="15" t="n">
        <v>0</v>
      </c>
      <c r="AG172" s="6">
        <f>IF(AND(C172=1,AF172=1),1+SUMPRODUCT($C$12:$C$267*$AF$12:$AF$267*(($M$12:$M$267&lt;M172)+($M$12:$M$267=M172)*($N$12:$N$267&lt;N172)+($M$12:$M$267=M172)*($N$12:$N$267=N172)*($A$12:$A$267&lt;A172))),0)</f>
        <v/>
      </c>
    </row>
    <row r="173">
      <c r="A173" s="4" t="n">
        <v>162</v>
      </c>
      <c r="B173" s="4" t="inlineStr">
        <is>
          <t>17F2M + 17B + 19A</t>
        </is>
      </c>
      <c r="C173" s="10">
        <f>IF(SUMPRODUCT(D173:K173,1-$D$5:$K$5)=0,1,0)</f>
        <v/>
      </c>
      <c r="D173" s="4" t="n">
        <v>1</v>
      </c>
      <c r="E173" s="4" t="n">
        <v>0</v>
      </c>
      <c r="F173" s="4" t="n">
        <v>1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1</v>
      </c>
      <c r="L173" s="6">
        <f>IF(C173=1,1+SUMPRODUCT(D173:K173,$D$9:$K$9),"")</f>
        <v/>
      </c>
      <c r="M173" s="6">
        <f>SUMPRODUCT(D173:K173,$D$6:$K$6)</f>
        <v/>
      </c>
      <c r="N173" s="6">
        <f>SUMPRODUCT(D173:K173,$D$7:$K$7)</f>
        <v/>
      </c>
      <c r="O173" s="25">
        <f>SUMPRODUCT(D173:K173,$D$8:$K$8)</f>
        <v/>
      </c>
      <c r="P173" s="21">
        <f>M173/10^in_out_dp</f>
        <v/>
      </c>
      <c r="Q173" s="26">
        <f>N173/10^in_cost_dp</f>
        <v/>
      </c>
      <c r="R173" s="10">
        <f>IF(SUM(D173:K173)=0,1,0)</f>
        <v/>
      </c>
      <c r="S173" s="10">
        <f>SUMPRODUCT($C$12:$C$267*(($M$12:$M$267=M173)*($N$12:$N$267&lt;N173)+($M$12:$M$267&gt;M173)*($N$12:$N$267&lt;=N173)))</f>
        <v/>
      </c>
      <c r="T173" s="10">
        <f>IF(C173=0,0,IF(OR(R173=1,S173=0),1,0))</f>
        <v/>
      </c>
      <c r="U173" s="10">
        <f>IF(AND(T173=1,R173=0,M173&gt;0),1,0)</f>
        <v/>
      </c>
      <c r="V173" s="30">
        <f>IF(U173=1,MAX(N173/M173,SUMPRODUCT(MAX(((N173-$N$12:$N$267)*($U$12:$U$267*($M$12:$M$267&lt;M173)))/((M173-$M$12:$M$267)*($U$12:$U$267*($M$12:$M$267&lt;M173))+1-($U$12:$U$267*($M$12:$M$267&lt;M173)))-(1-($U$12:$U$267*($M$12:$M$267&lt;M173)))*1E+300))),0)</f>
        <v/>
      </c>
      <c r="W173" s="30">
        <f>IF(U173=1,SUMPRODUCT(MIN(((($N$12:$N$267-N173)*($U$12:$U$267*($M$12:$M$267&gt;M173)))/(($M$12:$M$267-M173)*($U$12:$U$267*($M$12:$M$267&gt;M173))+1-($U$12:$U$267*($M$12:$M$267&gt;M173)))+(1-($U$12:$U$267*($M$12:$M$267&gt;M173)))*1E+300))),0)</f>
        <v/>
      </c>
      <c r="X173" s="10">
        <f>IF(C173=0,0,IF(R173=1,1,IF(AND(U173=1,V173&lt;=W173),1,0)))</f>
        <v/>
      </c>
      <c r="Y173" s="10">
        <f>IF(X173=1,1+SUMPRODUCT($X$12:$X$267*(($M$12:$M$267&lt;M173)+($M$12:$M$267=M173)*($A$12:$A$267&lt;A173))),0)</f>
        <v/>
      </c>
      <c r="Z173" s="10">
        <f>IF(Y173&lt;=1,0,SUMPRODUCT(($Y$12:$Y$267=Y173-1)*$M$12:$M$267))</f>
        <v/>
      </c>
      <c r="AA173" s="10">
        <f>IF(Y173&lt;=1,0,SUMPRODUCT(($Y$12:$Y$267=Y173-1)*$N$12:$N$267))</f>
        <v/>
      </c>
      <c r="AB173" s="21">
        <f>IF(Y173=0,"",(M173-Z173)/10^in_out_dp)</f>
        <v/>
      </c>
      <c r="AC173" s="26">
        <f>IF(Y173=0,"",(N173-AA173)/10^in_cost_dp)</f>
        <v/>
      </c>
      <c r="AD173" s="26">
        <f>IF(Y173=0,"",IF(M173=Z173,0,AC173/AB173))</f>
        <v/>
      </c>
      <c r="AE173" s="26">
        <f>IF(AND(C173=1,M173&gt;0),Q173/P173,"n/a")</f>
        <v/>
      </c>
      <c r="AF173" s="15" t="n">
        <v>0</v>
      </c>
      <c r="AG173" s="6">
        <f>IF(AND(C173=1,AF173=1),1+SUMPRODUCT($C$12:$C$267*$AF$12:$AF$267*(($M$12:$M$267&lt;M173)+($M$12:$M$267=M173)*($N$12:$N$267&lt;N173)+($M$12:$M$267=M173)*($N$12:$N$267=N173)*($A$12:$A$267&lt;A173))),0)</f>
        <v/>
      </c>
    </row>
    <row r="174">
      <c r="A174" s="4" t="n">
        <v>163</v>
      </c>
      <c r="B174" s="4" t="inlineStr">
        <is>
          <t>17F2M + 17B + 3F</t>
        </is>
      </c>
      <c r="C174" s="10">
        <f>IF(SUMPRODUCT(D174:K174,1-$D$5:$K$5)=0,1,0)</f>
        <v/>
      </c>
      <c r="D174" s="4" t="n">
        <v>1</v>
      </c>
      <c r="E174" s="4" t="n">
        <v>0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1</v>
      </c>
      <c r="K174" s="4" t="n">
        <v>0</v>
      </c>
      <c r="L174" s="6">
        <f>IF(C174=1,1+SUMPRODUCT(D174:K174,$D$9:$K$9),"")</f>
        <v/>
      </c>
      <c r="M174" s="6">
        <f>SUMPRODUCT(D174:K174,$D$6:$K$6)</f>
        <v/>
      </c>
      <c r="N174" s="6">
        <f>SUMPRODUCT(D174:K174,$D$7:$K$7)</f>
        <v/>
      </c>
      <c r="O174" s="25">
        <f>SUMPRODUCT(D174:K174,$D$8:$K$8)</f>
        <v/>
      </c>
      <c r="P174" s="21">
        <f>M174/10^in_out_dp</f>
        <v/>
      </c>
      <c r="Q174" s="26">
        <f>N174/10^in_cost_dp</f>
        <v/>
      </c>
      <c r="R174" s="10">
        <f>IF(SUM(D174:K174)=0,1,0)</f>
        <v/>
      </c>
      <c r="S174" s="10">
        <f>SUMPRODUCT($C$12:$C$267*(($M$12:$M$267=M174)*($N$12:$N$267&lt;N174)+($M$12:$M$267&gt;M174)*($N$12:$N$267&lt;=N174)))</f>
        <v/>
      </c>
      <c r="T174" s="10">
        <f>IF(C174=0,0,IF(OR(R174=1,S174=0),1,0))</f>
        <v/>
      </c>
      <c r="U174" s="10">
        <f>IF(AND(T174=1,R174=0,M174&gt;0),1,0)</f>
        <v/>
      </c>
      <c r="V174" s="30">
        <f>IF(U174=1,MAX(N174/M174,SUMPRODUCT(MAX(((N174-$N$12:$N$267)*($U$12:$U$267*($M$12:$M$267&lt;M174)))/((M174-$M$12:$M$267)*($U$12:$U$267*($M$12:$M$267&lt;M174))+1-($U$12:$U$267*($M$12:$M$267&lt;M174)))-(1-($U$12:$U$267*($M$12:$M$267&lt;M174)))*1E+300))),0)</f>
        <v/>
      </c>
      <c r="W174" s="30">
        <f>IF(U174=1,SUMPRODUCT(MIN(((($N$12:$N$267-N174)*($U$12:$U$267*($M$12:$M$267&gt;M174)))/(($M$12:$M$267-M174)*($U$12:$U$267*($M$12:$M$267&gt;M174))+1-($U$12:$U$267*($M$12:$M$267&gt;M174)))+(1-($U$12:$U$267*($M$12:$M$267&gt;M174)))*1E+300))),0)</f>
        <v/>
      </c>
      <c r="X174" s="10">
        <f>IF(C174=0,0,IF(R174=1,1,IF(AND(U174=1,V174&lt;=W174),1,0)))</f>
        <v/>
      </c>
      <c r="Y174" s="10">
        <f>IF(X174=1,1+SUMPRODUCT($X$12:$X$267*(($M$12:$M$267&lt;M174)+($M$12:$M$267=M174)*($A$12:$A$267&lt;A174))),0)</f>
        <v/>
      </c>
      <c r="Z174" s="10">
        <f>IF(Y174&lt;=1,0,SUMPRODUCT(($Y$12:$Y$267=Y174-1)*$M$12:$M$267))</f>
        <v/>
      </c>
      <c r="AA174" s="10">
        <f>IF(Y174&lt;=1,0,SUMPRODUCT(($Y$12:$Y$267=Y174-1)*$N$12:$N$267))</f>
        <v/>
      </c>
      <c r="AB174" s="21">
        <f>IF(Y174=0,"",(M174-Z174)/10^in_out_dp)</f>
        <v/>
      </c>
      <c r="AC174" s="26">
        <f>IF(Y174=0,"",(N174-AA174)/10^in_cost_dp)</f>
        <v/>
      </c>
      <c r="AD174" s="26">
        <f>IF(Y174=0,"",IF(M174=Z174,0,AC174/AB174))</f>
        <v/>
      </c>
      <c r="AE174" s="26">
        <f>IF(AND(C174=1,M174&gt;0),Q174/P174,"n/a")</f>
        <v/>
      </c>
      <c r="AF174" s="15" t="n">
        <v>0</v>
      </c>
      <c r="AG174" s="6">
        <f>IF(AND(C174=1,AF174=1),1+SUMPRODUCT($C$12:$C$267*$AF$12:$AF$267*(($M$12:$M$267&lt;M174)+($M$12:$M$267=M174)*($N$12:$N$267&lt;N174)+($M$12:$M$267=M174)*($N$12:$N$267=N174)*($A$12:$A$267&lt;A174))),0)</f>
        <v/>
      </c>
    </row>
    <row r="175">
      <c r="A175" s="4" t="n">
        <v>164</v>
      </c>
      <c r="B175" s="4" t="inlineStr">
        <is>
          <t>17F2M + 17B + 3F + 19A</t>
        </is>
      </c>
      <c r="C175" s="10">
        <f>IF(SUMPRODUCT(D175:K175,1-$D$5:$K$5)=0,1,0)</f>
        <v/>
      </c>
      <c r="D175" s="4" t="n">
        <v>1</v>
      </c>
      <c r="E175" s="4" t="n">
        <v>0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1</v>
      </c>
      <c r="K175" s="4" t="n">
        <v>1</v>
      </c>
      <c r="L175" s="6">
        <f>IF(C175=1,1+SUMPRODUCT(D175:K175,$D$9:$K$9),"")</f>
        <v/>
      </c>
      <c r="M175" s="6">
        <f>SUMPRODUCT(D175:K175,$D$6:$K$6)</f>
        <v/>
      </c>
      <c r="N175" s="6">
        <f>SUMPRODUCT(D175:K175,$D$7:$K$7)</f>
        <v/>
      </c>
      <c r="O175" s="25">
        <f>SUMPRODUCT(D175:K175,$D$8:$K$8)</f>
        <v/>
      </c>
      <c r="P175" s="21">
        <f>M175/10^in_out_dp</f>
        <v/>
      </c>
      <c r="Q175" s="26">
        <f>N175/10^in_cost_dp</f>
        <v/>
      </c>
      <c r="R175" s="10">
        <f>IF(SUM(D175:K175)=0,1,0)</f>
        <v/>
      </c>
      <c r="S175" s="10">
        <f>SUMPRODUCT($C$12:$C$267*(($M$12:$M$267=M175)*($N$12:$N$267&lt;N175)+($M$12:$M$267&gt;M175)*($N$12:$N$267&lt;=N175)))</f>
        <v/>
      </c>
      <c r="T175" s="10">
        <f>IF(C175=0,0,IF(OR(R175=1,S175=0),1,0))</f>
        <v/>
      </c>
      <c r="U175" s="10">
        <f>IF(AND(T175=1,R175=0,M175&gt;0),1,0)</f>
        <v/>
      </c>
      <c r="V175" s="30">
        <f>IF(U175=1,MAX(N175/M175,SUMPRODUCT(MAX(((N175-$N$12:$N$267)*($U$12:$U$267*($M$12:$M$267&lt;M175)))/((M175-$M$12:$M$267)*($U$12:$U$267*($M$12:$M$267&lt;M175))+1-($U$12:$U$267*($M$12:$M$267&lt;M175)))-(1-($U$12:$U$267*($M$12:$M$267&lt;M175)))*1E+300))),0)</f>
        <v/>
      </c>
      <c r="W175" s="30">
        <f>IF(U175=1,SUMPRODUCT(MIN(((($N$12:$N$267-N175)*($U$12:$U$267*($M$12:$M$267&gt;M175)))/(($M$12:$M$267-M175)*($U$12:$U$267*($M$12:$M$267&gt;M175))+1-($U$12:$U$267*($M$12:$M$267&gt;M175)))+(1-($U$12:$U$267*($M$12:$M$267&gt;M175)))*1E+300))),0)</f>
        <v/>
      </c>
      <c r="X175" s="10">
        <f>IF(C175=0,0,IF(R175=1,1,IF(AND(U175=1,V175&lt;=W175),1,0)))</f>
        <v/>
      </c>
      <c r="Y175" s="10">
        <f>IF(X175=1,1+SUMPRODUCT($X$12:$X$267*(($M$12:$M$267&lt;M175)+($M$12:$M$267=M175)*($A$12:$A$267&lt;A175))),0)</f>
        <v/>
      </c>
      <c r="Z175" s="10">
        <f>IF(Y175&lt;=1,0,SUMPRODUCT(($Y$12:$Y$267=Y175-1)*$M$12:$M$267))</f>
        <v/>
      </c>
      <c r="AA175" s="10">
        <f>IF(Y175&lt;=1,0,SUMPRODUCT(($Y$12:$Y$267=Y175-1)*$N$12:$N$267))</f>
        <v/>
      </c>
      <c r="AB175" s="21">
        <f>IF(Y175=0,"",(M175-Z175)/10^in_out_dp)</f>
        <v/>
      </c>
      <c r="AC175" s="26">
        <f>IF(Y175=0,"",(N175-AA175)/10^in_cost_dp)</f>
        <v/>
      </c>
      <c r="AD175" s="26">
        <f>IF(Y175=0,"",IF(M175=Z175,0,AC175/AB175))</f>
        <v/>
      </c>
      <c r="AE175" s="26">
        <f>IF(AND(C175=1,M175&gt;0),Q175/P175,"n/a")</f>
        <v/>
      </c>
      <c r="AF175" s="15" t="n">
        <v>0</v>
      </c>
      <c r="AG175" s="6">
        <f>IF(AND(C175=1,AF175=1),1+SUMPRODUCT($C$12:$C$267*$AF$12:$AF$267*(($M$12:$M$267&lt;M175)+($M$12:$M$267=M175)*($N$12:$N$267&lt;N175)+($M$12:$M$267=M175)*($N$12:$N$267=N175)*($A$12:$A$267&lt;A175))),0)</f>
        <v/>
      </c>
    </row>
    <row r="176">
      <c r="A176" s="4" t="n">
        <v>165</v>
      </c>
      <c r="B176" s="4" t="inlineStr">
        <is>
          <t>17F2M + 17B + 3E</t>
        </is>
      </c>
      <c r="C176" s="10">
        <f>IF(SUMPRODUCT(D176:K176,1-$D$5:$K$5)=0,1,0)</f>
        <v/>
      </c>
      <c r="D176" s="4" t="n">
        <v>1</v>
      </c>
      <c r="E176" s="4" t="n">
        <v>0</v>
      </c>
      <c r="F176" s="4" t="n">
        <v>1</v>
      </c>
      <c r="G176" s="4" t="n">
        <v>0</v>
      </c>
      <c r="H176" s="4" t="n">
        <v>0</v>
      </c>
      <c r="I176" s="4" t="n">
        <v>1</v>
      </c>
      <c r="J176" s="4" t="n">
        <v>0</v>
      </c>
      <c r="K176" s="4" t="n">
        <v>0</v>
      </c>
      <c r="L176" s="6">
        <f>IF(C176=1,1+SUMPRODUCT(D176:K176,$D$9:$K$9),"")</f>
        <v/>
      </c>
      <c r="M176" s="6">
        <f>SUMPRODUCT(D176:K176,$D$6:$K$6)</f>
        <v/>
      </c>
      <c r="N176" s="6">
        <f>SUMPRODUCT(D176:K176,$D$7:$K$7)</f>
        <v/>
      </c>
      <c r="O176" s="25">
        <f>SUMPRODUCT(D176:K176,$D$8:$K$8)</f>
        <v/>
      </c>
      <c r="P176" s="21">
        <f>M176/10^in_out_dp</f>
        <v/>
      </c>
      <c r="Q176" s="26">
        <f>N176/10^in_cost_dp</f>
        <v/>
      </c>
      <c r="R176" s="10">
        <f>IF(SUM(D176:K176)=0,1,0)</f>
        <v/>
      </c>
      <c r="S176" s="10">
        <f>SUMPRODUCT($C$12:$C$267*(($M$12:$M$267=M176)*($N$12:$N$267&lt;N176)+($M$12:$M$267&gt;M176)*($N$12:$N$267&lt;=N176)))</f>
        <v/>
      </c>
      <c r="T176" s="10">
        <f>IF(C176=0,0,IF(OR(R176=1,S176=0),1,0))</f>
        <v/>
      </c>
      <c r="U176" s="10">
        <f>IF(AND(T176=1,R176=0,M176&gt;0),1,0)</f>
        <v/>
      </c>
      <c r="V176" s="30">
        <f>IF(U176=1,MAX(N176/M176,SUMPRODUCT(MAX(((N176-$N$12:$N$267)*($U$12:$U$267*($M$12:$M$267&lt;M176)))/((M176-$M$12:$M$267)*($U$12:$U$267*($M$12:$M$267&lt;M176))+1-($U$12:$U$267*($M$12:$M$267&lt;M176)))-(1-($U$12:$U$267*($M$12:$M$267&lt;M176)))*1E+300))),0)</f>
        <v/>
      </c>
      <c r="W176" s="30">
        <f>IF(U176=1,SUMPRODUCT(MIN(((($N$12:$N$267-N176)*($U$12:$U$267*($M$12:$M$267&gt;M176)))/(($M$12:$M$267-M176)*($U$12:$U$267*($M$12:$M$267&gt;M176))+1-($U$12:$U$267*($M$12:$M$267&gt;M176)))+(1-($U$12:$U$267*($M$12:$M$267&gt;M176)))*1E+300))),0)</f>
        <v/>
      </c>
      <c r="X176" s="10">
        <f>IF(C176=0,0,IF(R176=1,1,IF(AND(U176=1,V176&lt;=W176),1,0)))</f>
        <v/>
      </c>
      <c r="Y176" s="10">
        <f>IF(X176=1,1+SUMPRODUCT($X$12:$X$267*(($M$12:$M$267&lt;M176)+($M$12:$M$267=M176)*($A$12:$A$267&lt;A176))),0)</f>
        <v/>
      </c>
      <c r="Z176" s="10">
        <f>IF(Y176&lt;=1,0,SUMPRODUCT(($Y$12:$Y$267=Y176-1)*$M$12:$M$267))</f>
        <v/>
      </c>
      <c r="AA176" s="10">
        <f>IF(Y176&lt;=1,0,SUMPRODUCT(($Y$12:$Y$267=Y176-1)*$N$12:$N$267))</f>
        <v/>
      </c>
      <c r="AB176" s="21">
        <f>IF(Y176=0,"",(M176-Z176)/10^in_out_dp)</f>
        <v/>
      </c>
      <c r="AC176" s="26">
        <f>IF(Y176=0,"",(N176-AA176)/10^in_cost_dp)</f>
        <v/>
      </c>
      <c r="AD176" s="26">
        <f>IF(Y176=0,"",IF(M176=Z176,0,AC176/AB176))</f>
        <v/>
      </c>
      <c r="AE176" s="26">
        <f>IF(AND(C176=1,M176&gt;0),Q176/P176,"n/a")</f>
        <v/>
      </c>
      <c r="AF176" s="15" t="n">
        <v>0</v>
      </c>
      <c r="AG176" s="6">
        <f>IF(AND(C176=1,AF176=1),1+SUMPRODUCT($C$12:$C$267*$AF$12:$AF$267*(($M$12:$M$267&lt;M176)+($M$12:$M$267=M176)*($N$12:$N$267&lt;N176)+($M$12:$M$267=M176)*($N$12:$N$267=N176)*($A$12:$A$267&lt;A176))),0)</f>
        <v/>
      </c>
    </row>
    <row r="177">
      <c r="A177" s="4" t="n">
        <v>166</v>
      </c>
      <c r="B177" s="4" t="inlineStr">
        <is>
          <t>17F2M + 17B + 3E + 19A</t>
        </is>
      </c>
      <c r="C177" s="10">
        <f>IF(SUMPRODUCT(D177:K177,1-$D$5:$K$5)=0,1,0)</f>
        <v/>
      </c>
      <c r="D177" s="4" t="n">
        <v>1</v>
      </c>
      <c r="E177" s="4" t="n">
        <v>0</v>
      </c>
      <c r="F177" s="4" t="n">
        <v>1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1</v>
      </c>
      <c r="L177" s="6">
        <f>IF(C177=1,1+SUMPRODUCT(D177:K177,$D$9:$K$9),"")</f>
        <v/>
      </c>
      <c r="M177" s="6">
        <f>SUMPRODUCT(D177:K177,$D$6:$K$6)</f>
        <v/>
      </c>
      <c r="N177" s="6">
        <f>SUMPRODUCT(D177:K177,$D$7:$K$7)</f>
        <v/>
      </c>
      <c r="O177" s="25">
        <f>SUMPRODUCT(D177:K177,$D$8:$K$8)</f>
        <v/>
      </c>
      <c r="P177" s="21">
        <f>M177/10^in_out_dp</f>
        <v/>
      </c>
      <c r="Q177" s="26">
        <f>N177/10^in_cost_dp</f>
        <v/>
      </c>
      <c r="R177" s="10">
        <f>IF(SUM(D177:K177)=0,1,0)</f>
        <v/>
      </c>
      <c r="S177" s="10">
        <f>SUMPRODUCT($C$12:$C$267*(($M$12:$M$267=M177)*($N$12:$N$267&lt;N177)+($M$12:$M$267&gt;M177)*($N$12:$N$267&lt;=N177)))</f>
        <v/>
      </c>
      <c r="T177" s="10">
        <f>IF(C177=0,0,IF(OR(R177=1,S177=0),1,0))</f>
        <v/>
      </c>
      <c r="U177" s="10">
        <f>IF(AND(T177=1,R177=0,M177&gt;0),1,0)</f>
        <v/>
      </c>
      <c r="V177" s="30">
        <f>IF(U177=1,MAX(N177/M177,SUMPRODUCT(MAX(((N177-$N$12:$N$267)*($U$12:$U$267*($M$12:$M$267&lt;M177)))/((M177-$M$12:$M$267)*($U$12:$U$267*($M$12:$M$267&lt;M177))+1-($U$12:$U$267*($M$12:$M$267&lt;M177)))-(1-($U$12:$U$267*($M$12:$M$267&lt;M177)))*1E+300))),0)</f>
        <v/>
      </c>
      <c r="W177" s="30">
        <f>IF(U177=1,SUMPRODUCT(MIN(((($N$12:$N$267-N177)*($U$12:$U$267*($M$12:$M$267&gt;M177)))/(($M$12:$M$267-M177)*($U$12:$U$267*($M$12:$M$267&gt;M177))+1-($U$12:$U$267*($M$12:$M$267&gt;M177)))+(1-($U$12:$U$267*($M$12:$M$267&gt;M177)))*1E+300))),0)</f>
        <v/>
      </c>
      <c r="X177" s="10">
        <f>IF(C177=0,0,IF(R177=1,1,IF(AND(U177=1,V177&lt;=W177),1,0)))</f>
        <v/>
      </c>
      <c r="Y177" s="10">
        <f>IF(X177=1,1+SUMPRODUCT($X$12:$X$267*(($M$12:$M$267&lt;M177)+($M$12:$M$267=M177)*($A$12:$A$267&lt;A177))),0)</f>
        <v/>
      </c>
      <c r="Z177" s="10">
        <f>IF(Y177&lt;=1,0,SUMPRODUCT(($Y$12:$Y$267=Y177-1)*$M$12:$M$267))</f>
        <v/>
      </c>
      <c r="AA177" s="10">
        <f>IF(Y177&lt;=1,0,SUMPRODUCT(($Y$12:$Y$267=Y177-1)*$N$12:$N$267))</f>
        <v/>
      </c>
      <c r="AB177" s="21">
        <f>IF(Y177=0,"",(M177-Z177)/10^in_out_dp)</f>
        <v/>
      </c>
      <c r="AC177" s="26">
        <f>IF(Y177=0,"",(N177-AA177)/10^in_cost_dp)</f>
        <v/>
      </c>
      <c r="AD177" s="26">
        <f>IF(Y177=0,"",IF(M177=Z177,0,AC177/AB177))</f>
        <v/>
      </c>
      <c r="AE177" s="26">
        <f>IF(AND(C177=1,M177&gt;0),Q177/P177,"n/a")</f>
        <v/>
      </c>
      <c r="AF177" s="15" t="n">
        <v>0</v>
      </c>
      <c r="AG177" s="6">
        <f>IF(AND(C177=1,AF177=1),1+SUMPRODUCT($C$12:$C$267*$AF$12:$AF$267*(($M$12:$M$267&lt;M177)+($M$12:$M$267=M177)*($N$12:$N$267&lt;N177)+($M$12:$M$267=M177)*($N$12:$N$267=N177)*($A$12:$A$267&lt;A177))),0)</f>
        <v/>
      </c>
    </row>
    <row r="178">
      <c r="A178" s="4" t="n">
        <v>167</v>
      </c>
      <c r="B178" s="4" t="inlineStr">
        <is>
          <t>17F2M + 17B + 3E + 3F</t>
        </is>
      </c>
      <c r="C178" s="10">
        <f>IF(SUMPRODUCT(D178:K178,1-$D$5:$K$5)=0,1,0)</f>
        <v/>
      </c>
      <c r="D178" s="4" t="n">
        <v>1</v>
      </c>
      <c r="E178" s="4" t="n">
        <v>0</v>
      </c>
      <c r="F178" s="4" t="n">
        <v>1</v>
      </c>
      <c r="G178" s="4" t="n">
        <v>0</v>
      </c>
      <c r="H178" s="4" t="n">
        <v>0</v>
      </c>
      <c r="I178" s="4" t="n">
        <v>1</v>
      </c>
      <c r="J178" s="4" t="n">
        <v>1</v>
      </c>
      <c r="K178" s="4" t="n">
        <v>0</v>
      </c>
      <c r="L178" s="6">
        <f>IF(C178=1,1+SUMPRODUCT(D178:K178,$D$9:$K$9),"")</f>
        <v/>
      </c>
      <c r="M178" s="6">
        <f>SUMPRODUCT(D178:K178,$D$6:$K$6)</f>
        <v/>
      </c>
      <c r="N178" s="6">
        <f>SUMPRODUCT(D178:K178,$D$7:$K$7)</f>
        <v/>
      </c>
      <c r="O178" s="25">
        <f>SUMPRODUCT(D178:K178,$D$8:$K$8)</f>
        <v/>
      </c>
      <c r="P178" s="21">
        <f>M178/10^in_out_dp</f>
        <v/>
      </c>
      <c r="Q178" s="26">
        <f>N178/10^in_cost_dp</f>
        <v/>
      </c>
      <c r="R178" s="10">
        <f>IF(SUM(D178:K178)=0,1,0)</f>
        <v/>
      </c>
      <c r="S178" s="10">
        <f>SUMPRODUCT($C$12:$C$267*(($M$12:$M$267=M178)*($N$12:$N$267&lt;N178)+($M$12:$M$267&gt;M178)*($N$12:$N$267&lt;=N178)))</f>
        <v/>
      </c>
      <c r="T178" s="10">
        <f>IF(C178=0,0,IF(OR(R178=1,S178=0),1,0))</f>
        <v/>
      </c>
      <c r="U178" s="10">
        <f>IF(AND(T178=1,R178=0,M178&gt;0),1,0)</f>
        <v/>
      </c>
      <c r="V178" s="30">
        <f>IF(U178=1,MAX(N178/M178,SUMPRODUCT(MAX(((N178-$N$12:$N$267)*($U$12:$U$267*($M$12:$M$267&lt;M178)))/((M178-$M$12:$M$267)*($U$12:$U$267*($M$12:$M$267&lt;M178))+1-($U$12:$U$267*($M$12:$M$267&lt;M178)))-(1-($U$12:$U$267*($M$12:$M$267&lt;M178)))*1E+300))),0)</f>
        <v/>
      </c>
      <c r="W178" s="30">
        <f>IF(U178=1,SUMPRODUCT(MIN(((($N$12:$N$267-N178)*($U$12:$U$267*($M$12:$M$267&gt;M178)))/(($M$12:$M$267-M178)*($U$12:$U$267*($M$12:$M$267&gt;M178))+1-($U$12:$U$267*($M$12:$M$267&gt;M178)))+(1-($U$12:$U$267*($M$12:$M$267&gt;M178)))*1E+300))),0)</f>
        <v/>
      </c>
      <c r="X178" s="10">
        <f>IF(C178=0,0,IF(R178=1,1,IF(AND(U178=1,V178&lt;=W178),1,0)))</f>
        <v/>
      </c>
      <c r="Y178" s="10">
        <f>IF(X178=1,1+SUMPRODUCT($X$12:$X$267*(($M$12:$M$267&lt;M178)+($M$12:$M$267=M178)*($A$12:$A$267&lt;A178))),0)</f>
        <v/>
      </c>
      <c r="Z178" s="10">
        <f>IF(Y178&lt;=1,0,SUMPRODUCT(($Y$12:$Y$267=Y178-1)*$M$12:$M$267))</f>
        <v/>
      </c>
      <c r="AA178" s="10">
        <f>IF(Y178&lt;=1,0,SUMPRODUCT(($Y$12:$Y$267=Y178-1)*$N$12:$N$267))</f>
        <v/>
      </c>
      <c r="AB178" s="21">
        <f>IF(Y178=0,"",(M178-Z178)/10^in_out_dp)</f>
        <v/>
      </c>
      <c r="AC178" s="26">
        <f>IF(Y178=0,"",(N178-AA178)/10^in_cost_dp)</f>
        <v/>
      </c>
      <c r="AD178" s="26">
        <f>IF(Y178=0,"",IF(M178=Z178,0,AC178/AB178))</f>
        <v/>
      </c>
      <c r="AE178" s="26">
        <f>IF(AND(C178=1,M178&gt;0),Q178/P178,"n/a")</f>
        <v/>
      </c>
      <c r="AF178" s="15" t="n">
        <v>0</v>
      </c>
      <c r="AG178" s="6">
        <f>IF(AND(C178=1,AF178=1),1+SUMPRODUCT($C$12:$C$267*$AF$12:$AF$267*(($M$12:$M$267&lt;M178)+($M$12:$M$267=M178)*($N$12:$N$267&lt;N178)+($M$12:$M$267=M178)*($N$12:$N$267=N178)*($A$12:$A$267&lt;A178))),0)</f>
        <v/>
      </c>
    </row>
    <row r="179">
      <c r="A179" s="4" t="n">
        <v>168</v>
      </c>
      <c r="B179" s="4" t="inlineStr">
        <is>
          <t>17F2M + 17B + 3E + 3F + 19A</t>
        </is>
      </c>
      <c r="C179" s="10">
        <f>IF(SUMPRODUCT(D179:K179,1-$D$5:$K$5)=0,1,0)</f>
        <v/>
      </c>
      <c r="D179" s="4" t="n">
        <v>1</v>
      </c>
      <c r="E179" s="4" t="n">
        <v>0</v>
      </c>
      <c r="F179" s="4" t="n">
        <v>1</v>
      </c>
      <c r="G179" s="4" t="n">
        <v>0</v>
      </c>
      <c r="H179" s="4" t="n">
        <v>0</v>
      </c>
      <c r="I179" s="4" t="n">
        <v>1</v>
      </c>
      <c r="J179" s="4" t="n">
        <v>1</v>
      </c>
      <c r="K179" s="4" t="n">
        <v>1</v>
      </c>
      <c r="L179" s="6">
        <f>IF(C179=1,1+SUMPRODUCT(D179:K179,$D$9:$K$9),"")</f>
        <v/>
      </c>
      <c r="M179" s="6">
        <f>SUMPRODUCT(D179:K179,$D$6:$K$6)</f>
        <v/>
      </c>
      <c r="N179" s="6">
        <f>SUMPRODUCT(D179:K179,$D$7:$K$7)</f>
        <v/>
      </c>
      <c r="O179" s="25">
        <f>SUMPRODUCT(D179:K179,$D$8:$K$8)</f>
        <v/>
      </c>
      <c r="P179" s="21">
        <f>M179/10^in_out_dp</f>
        <v/>
      </c>
      <c r="Q179" s="26">
        <f>N179/10^in_cost_dp</f>
        <v/>
      </c>
      <c r="R179" s="10">
        <f>IF(SUM(D179:K179)=0,1,0)</f>
        <v/>
      </c>
      <c r="S179" s="10">
        <f>SUMPRODUCT($C$12:$C$267*(($M$12:$M$267=M179)*($N$12:$N$267&lt;N179)+($M$12:$M$267&gt;M179)*($N$12:$N$267&lt;=N179)))</f>
        <v/>
      </c>
      <c r="T179" s="10">
        <f>IF(C179=0,0,IF(OR(R179=1,S179=0),1,0))</f>
        <v/>
      </c>
      <c r="U179" s="10">
        <f>IF(AND(T179=1,R179=0,M179&gt;0),1,0)</f>
        <v/>
      </c>
      <c r="V179" s="30">
        <f>IF(U179=1,MAX(N179/M179,SUMPRODUCT(MAX(((N179-$N$12:$N$267)*($U$12:$U$267*($M$12:$M$267&lt;M179)))/((M179-$M$12:$M$267)*($U$12:$U$267*($M$12:$M$267&lt;M179))+1-($U$12:$U$267*($M$12:$M$267&lt;M179)))-(1-($U$12:$U$267*($M$12:$M$267&lt;M179)))*1E+300))),0)</f>
        <v/>
      </c>
      <c r="W179" s="30">
        <f>IF(U179=1,SUMPRODUCT(MIN(((($N$12:$N$267-N179)*($U$12:$U$267*($M$12:$M$267&gt;M179)))/(($M$12:$M$267-M179)*($U$12:$U$267*($M$12:$M$267&gt;M179))+1-($U$12:$U$267*($M$12:$M$267&gt;M179)))+(1-($U$12:$U$267*($M$12:$M$267&gt;M179)))*1E+300))),0)</f>
        <v/>
      </c>
      <c r="X179" s="10">
        <f>IF(C179=0,0,IF(R179=1,1,IF(AND(U179=1,V179&lt;=W179),1,0)))</f>
        <v/>
      </c>
      <c r="Y179" s="10">
        <f>IF(X179=1,1+SUMPRODUCT($X$12:$X$267*(($M$12:$M$267&lt;M179)+($M$12:$M$267=M179)*($A$12:$A$267&lt;A179))),0)</f>
        <v/>
      </c>
      <c r="Z179" s="10">
        <f>IF(Y179&lt;=1,0,SUMPRODUCT(($Y$12:$Y$267=Y179-1)*$M$12:$M$267))</f>
        <v/>
      </c>
      <c r="AA179" s="10">
        <f>IF(Y179&lt;=1,0,SUMPRODUCT(($Y$12:$Y$267=Y179-1)*$N$12:$N$267))</f>
        <v/>
      </c>
      <c r="AB179" s="21">
        <f>IF(Y179=0,"",(M179-Z179)/10^in_out_dp)</f>
        <v/>
      </c>
      <c r="AC179" s="26">
        <f>IF(Y179=0,"",(N179-AA179)/10^in_cost_dp)</f>
        <v/>
      </c>
      <c r="AD179" s="26">
        <f>IF(Y179=0,"",IF(M179=Z179,0,AC179/AB179))</f>
        <v/>
      </c>
      <c r="AE179" s="26">
        <f>IF(AND(C179=1,M179&gt;0),Q179/P179,"n/a")</f>
        <v/>
      </c>
      <c r="AF179" s="15" t="n">
        <v>0</v>
      </c>
      <c r="AG179" s="6">
        <f>IF(AND(C179=1,AF179=1),1+SUMPRODUCT($C$12:$C$267*$AF$12:$AF$267*(($M$12:$M$267&lt;M179)+($M$12:$M$267=M179)*($N$12:$N$267&lt;N179)+($M$12:$M$267=M179)*($N$12:$N$267=N179)*($A$12:$A$267&lt;A179))),0)</f>
        <v/>
      </c>
    </row>
    <row r="180">
      <c r="A180" s="4" t="n">
        <v>169</v>
      </c>
      <c r="B180" s="4" t="inlineStr">
        <is>
          <t>17F2M + 17B + 2B</t>
        </is>
      </c>
      <c r="C180" s="10">
        <f>IF(SUMPRODUCT(D180:K180,1-$D$5:$K$5)=0,1,0)</f>
        <v/>
      </c>
      <c r="D180" s="4" t="n">
        <v>1</v>
      </c>
      <c r="E180" s="4" t="n">
        <v>0</v>
      </c>
      <c r="F180" s="4" t="n">
        <v>1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6">
        <f>IF(C180=1,1+SUMPRODUCT(D180:K180,$D$9:$K$9),"")</f>
        <v/>
      </c>
      <c r="M180" s="6">
        <f>SUMPRODUCT(D180:K180,$D$6:$K$6)</f>
        <v/>
      </c>
      <c r="N180" s="6">
        <f>SUMPRODUCT(D180:K180,$D$7:$K$7)</f>
        <v/>
      </c>
      <c r="O180" s="25">
        <f>SUMPRODUCT(D180:K180,$D$8:$K$8)</f>
        <v/>
      </c>
      <c r="P180" s="21">
        <f>M180/10^in_out_dp</f>
        <v/>
      </c>
      <c r="Q180" s="26">
        <f>N180/10^in_cost_dp</f>
        <v/>
      </c>
      <c r="R180" s="10">
        <f>IF(SUM(D180:K180)=0,1,0)</f>
        <v/>
      </c>
      <c r="S180" s="10">
        <f>SUMPRODUCT($C$12:$C$267*(($M$12:$M$267=M180)*($N$12:$N$267&lt;N180)+($M$12:$M$267&gt;M180)*($N$12:$N$267&lt;=N180)))</f>
        <v/>
      </c>
      <c r="T180" s="10">
        <f>IF(C180=0,0,IF(OR(R180=1,S180=0),1,0))</f>
        <v/>
      </c>
      <c r="U180" s="10">
        <f>IF(AND(T180=1,R180=0,M180&gt;0),1,0)</f>
        <v/>
      </c>
      <c r="V180" s="30">
        <f>IF(U180=1,MAX(N180/M180,SUMPRODUCT(MAX(((N180-$N$12:$N$267)*($U$12:$U$267*($M$12:$M$267&lt;M180)))/((M180-$M$12:$M$267)*($U$12:$U$267*($M$12:$M$267&lt;M180))+1-($U$12:$U$267*($M$12:$M$267&lt;M180)))-(1-($U$12:$U$267*($M$12:$M$267&lt;M180)))*1E+300))),0)</f>
        <v/>
      </c>
      <c r="W180" s="30">
        <f>IF(U180=1,SUMPRODUCT(MIN(((($N$12:$N$267-N180)*($U$12:$U$267*($M$12:$M$267&gt;M180)))/(($M$12:$M$267-M180)*($U$12:$U$267*($M$12:$M$267&gt;M180))+1-($U$12:$U$267*($M$12:$M$267&gt;M180)))+(1-($U$12:$U$267*($M$12:$M$267&gt;M180)))*1E+300))),0)</f>
        <v/>
      </c>
      <c r="X180" s="10">
        <f>IF(C180=0,0,IF(R180=1,1,IF(AND(U180=1,V180&lt;=W180),1,0)))</f>
        <v/>
      </c>
      <c r="Y180" s="10">
        <f>IF(X180=1,1+SUMPRODUCT($X$12:$X$267*(($M$12:$M$267&lt;M180)+($M$12:$M$267=M180)*($A$12:$A$267&lt;A180))),0)</f>
        <v/>
      </c>
      <c r="Z180" s="10">
        <f>IF(Y180&lt;=1,0,SUMPRODUCT(($Y$12:$Y$267=Y180-1)*$M$12:$M$267))</f>
        <v/>
      </c>
      <c r="AA180" s="10">
        <f>IF(Y180&lt;=1,0,SUMPRODUCT(($Y$12:$Y$267=Y180-1)*$N$12:$N$267))</f>
        <v/>
      </c>
      <c r="AB180" s="21">
        <f>IF(Y180=0,"",(M180-Z180)/10^in_out_dp)</f>
        <v/>
      </c>
      <c r="AC180" s="26">
        <f>IF(Y180=0,"",(N180-AA180)/10^in_cost_dp)</f>
        <v/>
      </c>
      <c r="AD180" s="26">
        <f>IF(Y180=0,"",IF(M180=Z180,0,AC180/AB180))</f>
        <v/>
      </c>
      <c r="AE180" s="26">
        <f>IF(AND(C180=1,M180&gt;0),Q180/P180,"n/a")</f>
        <v/>
      </c>
      <c r="AF180" s="15" t="n">
        <v>0</v>
      </c>
      <c r="AG180" s="6">
        <f>IF(AND(C180=1,AF180=1),1+SUMPRODUCT($C$12:$C$267*$AF$12:$AF$267*(($M$12:$M$267&lt;M180)+($M$12:$M$267=M180)*($N$12:$N$267&lt;N180)+($M$12:$M$267=M180)*($N$12:$N$267=N180)*($A$12:$A$267&lt;A180))),0)</f>
        <v/>
      </c>
    </row>
    <row r="181">
      <c r="A181" s="4" t="n">
        <v>170</v>
      </c>
      <c r="B181" s="4" t="inlineStr">
        <is>
          <t>17F2M + 17B + 2B + 19A</t>
        </is>
      </c>
      <c r="C181" s="10">
        <f>IF(SUMPRODUCT(D181:K181,1-$D$5:$K$5)=0,1,0)</f>
        <v/>
      </c>
      <c r="D181" s="4" t="n">
        <v>1</v>
      </c>
      <c r="E181" s="4" t="n">
        <v>0</v>
      </c>
      <c r="F181" s="4" t="n">
        <v>1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1</v>
      </c>
      <c r="L181" s="6">
        <f>IF(C181=1,1+SUMPRODUCT(D181:K181,$D$9:$K$9),"")</f>
        <v/>
      </c>
      <c r="M181" s="6">
        <f>SUMPRODUCT(D181:K181,$D$6:$K$6)</f>
        <v/>
      </c>
      <c r="N181" s="6">
        <f>SUMPRODUCT(D181:K181,$D$7:$K$7)</f>
        <v/>
      </c>
      <c r="O181" s="25">
        <f>SUMPRODUCT(D181:K181,$D$8:$K$8)</f>
        <v/>
      </c>
      <c r="P181" s="21">
        <f>M181/10^in_out_dp</f>
        <v/>
      </c>
      <c r="Q181" s="26">
        <f>N181/10^in_cost_dp</f>
        <v/>
      </c>
      <c r="R181" s="10">
        <f>IF(SUM(D181:K181)=0,1,0)</f>
        <v/>
      </c>
      <c r="S181" s="10">
        <f>SUMPRODUCT($C$12:$C$267*(($M$12:$M$267=M181)*($N$12:$N$267&lt;N181)+($M$12:$M$267&gt;M181)*($N$12:$N$267&lt;=N181)))</f>
        <v/>
      </c>
      <c r="T181" s="10">
        <f>IF(C181=0,0,IF(OR(R181=1,S181=0),1,0))</f>
        <v/>
      </c>
      <c r="U181" s="10">
        <f>IF(AND(T181=1,R181=0,M181&gt;0),1,0)</f>
        <v/>
      </c>
      <c r="V181" s="30">
        <f>IF(U181=1,MAX(N181/M181,SUMPRODUCT(MAX(((N181-$N$12:$N$267)*($U$12:$U$267*($M$12:$M$267&lt;M181)))/((M181-$M$12:$M$267)*($U$12:$U$267*($M$12:$M$267&lt;M181))+1-($U$12:$U$267*($M$12:$M$267&lt;M181)))-(1-($U$12:$U$267*($M$12:$M$267&lt;M181)))*1E+300))),0)</f>
        <v/>
      </c>
      <c r="W181" s="30">
        <f>IF(U181=1,SUMPRODUCT(MIN(((($N$12:$N$267-N181)*($U$12:$U$267*($M$12:$M$267&gt;M181)))/(($M$12:$M$267-M181)*($U$12:$U$267*($M$12:$M$267&gt;M181))+1-($U$12:$U$267*($M$12:$M$267&gt;M181)))+(1-($U$12:$U$267*($M$12:$M$267&gt;M181)))*1E+300))),0)</f>
        <v/>
      </c>
      <c r="X181" s="10">
        <f>IF(C181=0,0,IF(R181=1,1,IF(AND(U181=1,V181&lt;=W181),1,0)))</f>
        <v/>
      </c>
      <c r="Y181" s="10">
        <f>IF(X181=1,1+SUMPRODUCT($X$12:$X$267*(($M$12:$M$267&lt;M181)+($M$12:$M$267=M181)*($A$12:$A$267&lt;A181))),0)</f>
        <v/>
      </c>
      <c r="Z181" s="10">
        <f>IF(Y181&lt;=1,0,SUMPRODUCT(($Y$12:$Y$267=Y181-1)*$M$12:$M$267))</f>
        <v/>
      </c>
      <c r="AA181" s="10">
        <f>IF(Y181&lt;=1,0,SUMPRODUCT(($Y$12:$Y$267=Y181-1)*$N$12:$N$267))</f>
        <v/>
      </c>
      <c r="AB181" s="21">
        <f>IF(Y181=0,"",(M181-Z181)/10^in_out_dp)</f>
        <v/>
      </c>
      <c r="AC181" s="26">
        <f>IF(Y181=0,"",(N181-AA181)/10^in_cost_dp)</f>
        <v/>
      </c>
      <c r="AD181" s="26">
        <f>IF(Y181=0,"",IF(M181=Z181,0,AC181/AB181))</f>
        <v/>
      </c>
      <c r="AE181" s="26">
        <f>IF(AND(C181=1,M181&gt;0),Q181/P181,"n/a")</f>
        <v/>
      </c>
      <c r="AF181" s="15" t="n">
        <v>0</v>
      </c>
      <c r="AG181" s="6">
        <f>IF(AND(C181=1,AF181=1),1+SUMPRODUCT($C$12:$C$267*$AF$12:$AF$267*(($M$12:$M$267&lt;M181)+($M$12:$M$267=M181)*($N$12:$N$267&lt;N181)+($M$12:$M$267=M181)*($N$12:$N$267=N181)*($A$12:$A$267&lt;A181))),0)</f>
        <v/>
      </c>
    </row>
    <row r="182">
      <c r="A182" s="4" t="n">
        <v>171</v>
      </c>
      <c r="B182" s="4" t="inlineStr">
        <is>
          <t>17F2M + 17B + 2B + 3F</t>
        </is>
      </c>
      <c r="C182" s="10">
        <f>IF(SUMPRODUCT(D182:K182,1-$D$5:$K$5)=0,1,0)</f>
        <v/>
      </c>
      <c r="D182" s="4" t="n">
        <v>1</v>
      </c>
      <c r="E182" s="4" t="n">
        <v>0</v>
      </c>
      <c r="F182" s="4" t="n">
        <v>1</v>
      </c>
      <c r="G182" s="4" t="n">
        <v>0</v>
      </c>
      <c r="H182" s="4" t="n">
        <v>1</v>
      </c>
      <c r="I182" s="4" t="n">
        <v>0</v>
      </c>
      <c r="J182" s="4" t="n">
        <v>1</v>
      </c>
      <c r="K182" s="4" t="n">
        <v>0</v>
      </c>
      <c r="L182" s="6">
        <f>IF(C182=1,1+SUMPRODUCT(D182:K182,$D$9:$K$9),"")</f>
        <v/>
      </c>
      <c r="M182" s="6">
        <f>SUMPRODUCT(D182:K182,$D$6:$K$6)</f>
        <v/>
      </c>
      <c r="N182" s="6">
        <f>SUMPRODUCT(D182:K182,$D$7:$K$7)</f>
        <v/>
      </c>
      <c r="O182" s="25">
        <f>SUMPRODUCT(D182:K182,$D$8:$K$8)</f>
        <v/>
      </c>
      <c r="P182" s="21">
        <f>M182/10^in_out_dp</f>
        <v/>
      </c>
      <c r="Q182" s="26">
        <f>N182/10^in_cost_dp</f>
        <v/>
      </c>
      <c r="R182" s="10">
        <f>IF(SUM(D182:K182)=0,1,0)</f>
        <v/>
      </c>
      <c r="S182" s="10">
        <f>SUMPRODUCT($C$12:$C$267*(($M$12:$M$267=M182)*($N$12:$N$267&lt;N182)+($M$12:$M$267&gt;M182)*($N$12:$N$267&lt;=N182)))</f>
        <v/>
      </c>
      <c r="T182" s="10">
        <f>IF(C182=0,0,IF(OR(R182=1,S182=0),1,0))</f>
        <v/>
      </c>
      <c r="U182" s="10">
        <f>IF(AND(T182=1,R182=0,M182&gt;0),1,0)</f>
        <v/>
      </c>
      <c r="V182" s="30">
        <f>IF(U182=1,MAX(N182/M182,SUMPRODUCT(MAX(((N182-$N$12:$N$267)*($U$12:$U$267*($M$12:$M$267&lt;M182)))/((M182-$M$12:$M$267)*($U$12:$U$267*($M$12:$M$267&lt;M182))+1-($U$12:$U$267*($M$12:$M$267&lt;M182)))-(1-($U$12:$U$267*($M$12:$M$267&lt;M182)))*1E+300))),0)</f>
        <v/>
      </c>
      <c r="W182" s="30">
        <f>IF(U182=1,SUMPRODUCT(MIN(((($N$12:$N$267-N182)*($U$12:$U$267*($M$12:$M$267&gt;M182)))/(($M$12:$M$267-M182)*($U$12:$U$267*($M$12:$M$267&gt;M182))+1-($U$12:$U$267*($M$12:$M$267&gt;M182)))+(1-($U$12:$U$267*($M$12:$M$267&gt;M182)))*1E+300))),0)</f>
        <v/>
      </c>
      <c r="X182" s="10">
        <f>IF(C182=0,0,IF(R182=1,1,IF(AND(U182=1,V182&lt;=W182),1,0)))</f>
        <v/>
      </c>
      <c r="Y182" s="10">
        <f>IF(X182=1,1+SUMPRODUCT($X$12:$X$267*(($M$12:$M$267&lt;M182)+($M$12:$M$267=M182)*($A$12:$A$267&lt;A182))),0)</f>
        <v/>
      </c>
      <c r="Z182" s="10">
        <f>IF(Y182&lt;=1,0,SUMPRODUCT(($Y$12:$Y$267=Y182-1)*$M$12:$M$267))</f>
        <v/>
      </c>
      <c r="AA182" s="10">
        <f>IF(Y182&lt;=1,0,SUMPRODUCT(($Y$12:$Y$267=Y182-1)*$N$12:$N$267))</f>
        <v/>
      </c>
      <c r="AB182" s="21">
        <f>IF(Y182=0,"",(M182-Z182)/10^in_out_dp)</f>
        <v/>
      </c>
      <c r="AC182" s="26">
        <f>IF(Y182=0,"",(N182-AA182)/10^in_cost_dp)</f>
        <v/>
      </c>
      <c r="AD182" s="26">
        <f>IF(Y182=0,"",IF(M182=Z182,0,AC182/AB182))</f>
        <v/>
      </c>
      <c r="AE182" s="26">
        <f>IF(AND(C182=1,M182&gt;0),Q182/P182,"n/a")</f>
        <v/>
      </c>
      <c r="AF182" s="15" t="n">
        <v>0</v>
      </c>
      <c r="AG182" s="6">
        <f>IF(AND(C182=1,AF182=1),1+SUMPRODUCT($C$12:$C$267*$AF$12:$AF$267*(($M$12:$M$267&lt;M182)+($M$12:$M$267=M182)*($N$12:$N$267&lt;N182)+($M$12:$M$267=M182)*($N$12:$N$267=N182)*($A$12:$A$267&lt;A182))),0)</f>
        <v/>
      </c>
    </row>
    <row r="183">
      <c r="A183" s="4" t="n">
        <v>172</v>
      </c>
      <c r="B183" s="4" t="inlineStr">
        <is>
          <t>17F2M + 17B + 2B + 3F + 19A</t>
        </is>
      </c>
      <c r="C183" s="10">
        <f>IF(SUMPRODUCT(D183:K183,1-$D$5:$K$5)=0,1,0)</f>
        <v/>
      </c>
      <c r="D183" s="4" t="n">
        <v>1</v>
      </c>
      <c r="E183" s="4" t="n">
        <v>0</v>
      </c>
      <c r="F183" s="4" t="n">
        <v>1</v>
      </c>
      <c r="G183" s="4" t="n">
        <v>0</v>
      </c>
      <c r="H183" s="4" t="n">
        <v>1</v>
      </c>
      <c r="I183" s="4" t="n">
        <v>0</v>
      </c>
      <c r="J183" s="4" t="n">
        <v>1</v>
      </c>
      <c r="K183" s="4" t="n">
        <v>1</v>
      </c>
      <c r="L183" s="6">
        <f>IF(C183=1,1+SUMPRODUCT(D183:K183,$D$9:$K$9),"")</f>
        <v/>
      </c>
      <c r="M183" s="6">
        <f>SUMPRODUCT(D183:K183,$D$6:$K$6)</f>
        <v/>
      </c>
      <c r="N183" s="6">
        <f>SUMPRODUCT(D183:K183,$D$7:$K$7)</f>
        <v/>
      </c>
      <c r="O183" s="25">
        <f>SUMPRODUCT(D183:K183,$D$8:$K$8)</f>
        <v/>
      </c>
      <c r="P183" s="21">
        <f>M183/10^in_out_dp</f>
        <v/>
      </c>
      <c r="Q183" s="26">
        <f>N183/10^in_cost_dp</f>
        <v/>
      </c>
      <c r="R183" s="10">
        <f>IF(SUM(D183:K183)=0,1,0)</f>
        <v/>
      </c>
      <c r="S183" s="10">
        <f>SUMPRODUCT($C$12:$C$267*(($M$12:$M$267=M183)*($N$12:$N$267&lt;N183)+($M$12:$M$267&gt;M183)*($N$12:$N$267&lt;=N183)))</f>
        <v/>
      </c>
      <c r="T183" s="10">
        <f>IF(C183=0,0,IF(OR(R183=1,S183=0),1,0))</f>
        <v/>
      </c>
      <c r="U183" s="10">
        <f>IF(AND(T183=1,R183=0,M183&gt;0),1,0)</f>
        <v/>
      </c>
      <c r="V183" s="30">
        <f>IF(U183=1,MAX(N183/M183,SUMPRODUCT(MAX(((N183-$N$12:$N$267)*($U$12:$U$267*($M$12:$M$267&lt;M183)))/((M183-$M$12:$M$267)*($U$12:$U$267*($M$12:$M$267&lt;M183))+1-($U$12:$U$267*($M$12:$M$267&lt;M183)))-(1-($U$12:$U$267*($M$12:$M$267&lt;M183)))*1E+300))),0)</f>
        <v/>
      </c>
      <c r="W183" s="30">
        <f>IF(U183=1,SUMPRODUCT(MIN(((($N$12:$N$267-N183)*($U$12:$U$267*($M$12:$M$267&gt;M183)))/(($M$12:$M$267-M183)*($U$12:$U$267*($M$12:$M$267&gt;M183))+1-($U$12:$U$267*($M$12:$M$267&gt;M183)))+(1-($U$12:$U$267*($M$12:$M$267&gt;M183)))*1E+300))),0)</f>
        <v/>
      </c>
      <c r="X183" s="10">
        <f>IF(C183=0,0,IF(R183=1,1,IF(AND(U183=1,V183&lt;=W183),1,0)))</f>
        <v/>
      </c>
      <c r="Y183" s="10">
        <f>IF(X183=1,1+SUMPRODUCT($X$12:$X$267*(($M$12:$M$267&lt;M183)+($M$12:$M$267=M183)*($A$12:$A$267&lt;A183))),0)</f>
        <v/>
      </c>
      <c r="Z183" s="10">
        <f>IF(Y183&lt;=1,0,SUMPRODUCT(($Y$12:$Y$267=Y183-1)*$M$12:$M$267))</f>
        <v/>
      </c>
      <c r="AA183" s="10">
        <f>IF(Y183&lt;=1,0,SUMPRODUCT(($Y$12:$Y$267=Y183-1)*$N$12:$N$267))</f>
        <v/>
      </c>
      <c r="AB183" s="21">
        <f>IF(Y183=0,"",(M183-Z183)/10^in_out_dp)</f>
        <v/>
      </c>
      <c r="AC183" s="26">
        <f>IF(Y183=0,"",(N183-AA183)/10^in_cost_dp)</f>
        <v/>
      </c>
      <c r="AD183" s="26">
        <f>IF(Y183=0,"",IF(M183=Z183,0,AC183/AB183))</f>
        <v/>
      </c>
      <c r="AE183" s="26">
        <f>IF(AND(C183=1,M183&gt;0),Q183/P183,"n/a")</f>
        <v/>
      </c>
      <c r="AF183" s="15" t="n">
        <v>0</v>
      </c>
      <c r="AG183" s="6">
        <f>IF(AND(C183=1,AF183=1),1+SUMPRODUCT($C$12:$C$267*$AF$12:$AF$267*(($M$12:$M$267&lt;M183)+($M$12:$M$267=M183)*($N$12:$N$267&lt;N183)+($M$12:$M$267=M183)*($N$12:$N$267=N183)*($A$12:$A$267&lt;A183))),0)</f>
        <v/>
      </c>
    </row>
    <row r="184">
      <c r="A184" s="4" t="n">
        <v>173</v>
      </c>
      <c r="B184" s="4" t="inlineStr">
        <is>
          <t>17F2M + 17B + 2B + 3E</t>
        </is>
      </c>
      <c r="C184" s="10">
        <f>IF(SUMPRODUCT(D184:K184,1-$D$5:$K$5)=0,1,0)</f>
        <v/>
      </c>
      <c r="D184" s="4" t="n">
        <v>1</v>
      </c>
      <c r="E184" s="4" t="n">
        <v>0</v>
      </c>
      <c r="F184" s="4" t="n">
        <v>1</v>
      </c>
      <c r="G184" s="4" t="n">
        <v>0</v>
      </c>
      <c r="H184" s="4" t="n">
        <v>1</v>
      </c>
      <c r="I184" s="4" t="n">
        <v>1</v>
      </c>
      <c r="J184" s="4" t="n">
        <v>0</v>
      </c>
      <c r="K184" s="4" t="n">
        <v>0</v>
      </c>
      <c r="L184" s="6">
        <f>IF(C184=1,1+SUMPRODUCT(D184:K184,$D$9:$K$9),"")</f>
        <v/>
      </c>
      <c r="M184" s="6">
        <f>SUMPRODUCT(D184:K184,$D$6:$K$6)</f>
        <v/>
      </c>
      <c r="N184" s="6">
        <f>SUMPRODUCT(D184:K184,$D$7:$K$7)</f>
        <v/>
      </c>
      <c r="O184" s="25">
        <f>SUMPRODUCT(D184:K184,$D$8:$K$8)</f>
        <v/>
      </c>
      <c r="P184" s="21">
        <f>M184/10^in_out_dp</f>
        <v/>
      </c>
      <c r="Q184" s="26">
        <f>N184/10^in_cost_dp</f>
        <v/>
      </c>
      <c r="R184" s="10">
        <f>IF(SUM(D184:K184)=0,1,0)</f>
        <v/>
      </c>
      <c r="S184" s="10">
        <f>SUMPRODUCT($C$12:$C$267*(($M$12:$M$267=M184)*($N$12:$N$267&lt;N184)+($M$12:$M$267&gt;M184)*($N$12:$N$267&lt;=N184)))</f>
        <v/>
      </c>
      <c r="T184" s="10">
        <f>IF(C184=0,0,IF(OR(R184=1,S184=0),1,0))</f>
        <v/>
      </c>
      <c r="U184" s="10">
        <f>IF(AND(T184=1,R184=0,M184&gt;0),1,0)</f>
        <v/>
      </c>
      <c r="V184" s="30">
        <f>IF(U184=1,MAX(N184/M184,SUMPRODUCT(MAX(((N184-$N$12:$N$267)*($U$12:$U$267*($M$12:$M$267&lt;M184)))/((M184-$M$12:$M$267)*($U$12:$U$267*($M$12:$M$267&lt;M184))+1-($U$12:$U$267*($M$12:$M$267&lt;M184)))-(1-($U$12:$U$267*($M$12:$M$267&lt;M184)))*1E+300))),0)</f>
        <v/>
      </c>
      <c r="W184" s="30">
        <f>IF(U184=1,SUMPRODUCT(MIN(((($N$12:$N$267-N184)*($U$12:$U$267*($M$12:$M$267&gt;M184)))/(($M$12:$M$267-M184)*($U$12:$U$267*($M$12:$M$267&gt;M184))+1-($U$12:$U$267*($M$12:$M$267&gt;M184)))+(1-($U$12:$U$267*($M$12:$M$267&gt;M184)))*1E+300))),0)</f>
        <v/>
      </c>
      <c r="X184" s="10">
        <f>IF(C184=0,0,IF(R184=1,1,IF(AND(U184=1,V184&lt;=W184),1,0)))</f>
        <v/>
      </c>
      <c r="Y184" s="10">
        <f>IF(X184=1,1+SUMPRODUCT($X$12:$X$267*(($M$12:$M$267&lt;M184)+($M$12:$M$267=M184)*($A$12:$A$267&lt;A184))),0)</f>
        <v/>
      </c>
      <c r="Z184" s="10">
        <f>IF(Y184&lt;=1,0,SUMPRODUCT(($Y$12:$Y$267=Y184-1)*$M$12:$M$267))</f>
        <v/>
      </c>
      <c r="AA184" s="10">
        <f>IF(Y184&lt;=1,0,SUMPRODUCT(($Y$12:$Y$267=Y184-1)*$N$12:$N$267))</f>
        <v/>
      </c>
      <c r="AB184" s="21">
        <f>IF(Y184=0,"",(M184-Z184)/10^in_out_dp)</f>
        <v/>
      </c>
      <c r="AC184" s="26">
        <f>IF(Y184=0,"",(N184-AA184)/10^in_cost_dp)</f>
        <v/>
      </c>
      <c r="AD184" s="26">
        <f>IF(Y184=0,"",IF(M184=Z184,0,AC184/AB184))</f>
        <v/>
      </c>
      <c r="AE184" s="26">
        <f>IF(AND(C184=1,M184&gt;0),Q184/P184,"n/a")</f>
        <v/>
      </c>
      <c r="AF184" s="15" t="n">
        <v>0</v>
      </c>
      <c r="AG184" s="6">
        <f>IF(AND(C184=1,AF184=1),1+SUMPRODUCT($C$12:$C$267*$AF$12:$AF$267*(($M$12:$M$267&lt;M184)+($M$12:$M$267=M184)*($N$12:$N$267&lt;N184)+($M$12:$M$267=M184)*($N$12:$N$267=N184)*($A$12:$A$267&lt;A184))),0)</f>
        <v/>
      </c>
    </row>
    <row r="185">
      <c r="A185" s="4" t="n">
        <v>174</v>
      </c>
      <c r="B185" s="4" t="inlineStr">
        <is>
          <t>17F2M + 17B + 2B + 3E + 19A</t>
        </is>
      </c>
      <c r="C185" s="10">
        <f>IF(SUMPRODUCT(D185:K185,1-$D$5:$K$5)=0,1,0)</f>
        <v/>
      </c>
      <c r="D185" s="4" t="n">
        <v>1</v>
      </c>
      <c r="E185" s="4" t="n">
        <v>0</v>
      </c>
      <c r="F185" s="4" t="n">
        <v>1</v>
      </c>
      <c r="G185" s="4" t="n">
        <v>0</v>
      </c>
      <c r="H185" s="4" t="n">
        <v>1</v>
      </c>
      <c r="I185" s="4" t="n">
        <v>1</v>
      </c>
      <c r="J185" s="4" t="n">
        <v>0</v>
      </c>
      <c r="K185" s="4" t="n">
        <v>1</v>
      </c>
      <c r="L185" s="6">
        <f>IF(C185=1,1+SUMPRODUCT(D185:K185,$D$9:$K$9),"")</f>
        <v/>
      </c>
      <c r="M185" s="6">
        <f>SUMPRODUCT(D185:K185,$D$6:$K$6)</f>
        <v/>
      </c>
      <c r="N185" s="6">
        <f>SUMPRODUCT(D185:K185,$D$7:$K$7)</f>
        <v/>
      </c>
      <c r="O185" s="25">
        <f>SUMPRODUCT(D185:K185,$D$8:$K$8)</f>
        <v/>
      </c>
      <c r="P185" s="21">
        <f>M185/10^in_out_dp</f>
        <v/>
      </c>
      <c r="Q185" s="26">
        <f>N185/10^in_cost_dp</f>
        <v/>
      </c>
      <c r="R185" s="10">
        <f>IF(SUM(D185:K185)=0,1,0)</f>
        <v/>
      </c>
      <c r="S185" s="10">
        <f>SUMPRODUCT($C$12:$C$267*(($M$12:$M$267=M185)*($N$12:$N$267&lt;N185)+($M$12:$M$267&gt;M185)*($N$12:$N$267&lt;=N185)))</f>
        <v/>
      </c>
      <c r="T185" s="10">
        <f>IF(C185=0,0,IF(OR(R185=1,S185=0),1,0))</f>
        <v/>
      </c>
      <c r="U185" s="10">
        <f>IF(AND(T185=1,R185=0,M185&gt;0),1,0)</f>
        <v/>
      </c>
      <c r="V185" s="30">
        <f>IF(U185=1,MAX(N185/M185,SUMPRODUCT(MAX(((N185-$N$12:$N$267)*($U$12:$U$267*($M$12:$M$267&lt;M185)))/((M185-$M$12:$M$267)*($U$12:$U$267*($M$12:$M$267&lt;M185))+1-($U$12:$U$267*($M$12:$M$267&lt;M185)))-(1-($U$12:$U$267*($M$12:$M$267&lt;M185)))*1E+300))),0)</f>
        <v/>
      </c>
      <c r="W185" s="30">
        <f>IF(U185=1,SUMPRODUCT(MIN(((($N$12:$N$267-N185)*($U$12:$U$267*($M$12:$M$267&gt;M185)))/(($M$12:$M$267-M185)*($U$12:$U$267*($M$12:$M$267&gt;M185))+1-($U$12:$U$267*($M$12:$M$267&gt;M185)))+(1-($U$12:$U$267*($M$12:$M$267&gt;M185)))*1E+300))),0)</f>
        <v/>
      </c>
      <c r="X185" s="10">
        <f>IF(C185=0,0,IF(R185=1,1,IF(AND(U185=1,V185&lt;=W185),1,0)))</f>
        <v/>
      </c>
      <c r="Y185" s="10">
        <f>IF(X185=1,1+SUMPRODUCT($X$12:$X$267*(($M$12:$M$267&lt;M185)+($M$12:$M$267=M185)*($A$12:$A$267&lt;A185))),0)</f>
        <v/>
      </c>
      <c r="Z185" s="10">
        <f>IF(Y185&lt;=1,0,SUMPRODUCT(($Y$12:$Y$267=Y185-1)*$M$12:$M$267))</f>
        <v/>
      </c>
      <c r="AA185" s="10">
        <f>IF(Y185&lt;=1,0,SUMPRODUCT(($Y$12:$Y$267=Y185-1)*$N$12:$N$267))</f>
        <v/>
      </c>
      <c r="AB185" s="21">
        <f>IF(Y185=0,"",(M185-Z185)/10^in_out_dp)</f>
        <v/>
      </c>
      <c r="AC185" s="26">
        <f>IF(Y185=0,"",(N185-AA185)/10^in_cost_dp)</f>
        <v/>
      </c>
      <c r="AD185" s="26">
        <f>IF(Y185=0,"",IF(M185=Z185,0,AC185/AB185))</f>
        <v/>
      </c>
      <c r="AE185" s="26">
        <f>IF(AND(C185=1,M185&gt;0),Q185/P185,"n/a")</f>
        <v/>
      </c>
      <c r="AF185" s="15" t="n">
        <v>0</v>
      </c>
      <c r="AG185" s="6">
        <f>IF(AND(C185=1,AF185=1),1+SUMPRODUCT($C$12:$C$267*$AF$12:$AF$267*(($M$12:$M$267&lt;M185)+($M$12:$M$267=M185)*($N$12:$N$267&lt;N185)+($M$12:$M$267=M185)*($N$12:$N$267=N185)*($A$12:$A$267&lt;A185))),0)</f>
        <v/>
      </c>
    </row>
    <row r="186">
      <c r="A186" s="4" t="n">
        <v>175</v>
      </c>
      <c r="B186" s="4" t="inlineStr">
        <is>
          <t>17F2M + 17B + 2B + 3E + 3F</t>
        </is>
      </c>
      <c r="C186" s="10">
        <f>IF(SUMPRODUCT(D186:K186,1-$D$5:$K$5)=0,1,0)</f>
        <v/>
      </c>
      <c r="D186" s="4" t="n">
        <v>1</v>
      </c>
      <c r="E186" s="4" t="n">
        <v>0</v>
      </c>
      <c r="F186" s="4" t="n">
        <v>1</v>
      </c>
      <c r="G186" s="4" t="n">
        <v>0</v>
      </c>
      <c r="H186" s="4" t="n">
        <v>1</v>
      </c>
      <c r="I186" s="4" t="n">
        <v>1</v>
      </c>
      <c r="J186" s="4" t="n">
        <v>1</v>
      </c>
      <c r="K186" s="4" t="n">
        <v>0</v>
      </c>
      <c r="L186" s="6">
        <f>IF(C186=1,1+SUMPRODUCT(D186:K186,$D$9:$K$9),"")</f>
        <v/>
      </c>
      <c r="M186" s="6">
        <f>SUMPRODUCT(D186:K186,$D$6:$K$6)</f>
        <v/>
      </c>
      <c r="N186" s="6">
        <f>SUMPRODUCT(D186:K186,$D$7:$K$7)</f>
        <v/>
      </c>
      <c r="O186" s="25">
        <f>SUMPRODUCT(D186:K186,$D$8:$K$8)</f>
        <v/>
      </c>
      <c r="P186" s="21">
        <f>M186/10^in_out_dp</f>
        <v/>
      </c>
      <c r="Q186" s="26">
        <f>N186/10^in_cost_dp</f>
        <v/>
      </c>
      <c r="R186" s="10">
        <f>IF(SUM(D186:K186)=0,1,0)</f>
        <v/>
      </c>
      <c r="S186" s="10">
        <f>SUMPRODUCT($C$12:$C$267*(($M$12:$M$267=M186)*($N$12:$N$267&lt;N186)+($M$12:$M$267&gt;M186)*($N$12:$N$267&lt;=N186)))</f>
        <v/>
      </c>
      <c r="T186" s="10">
        <f>IF(C186=0,0,IF(OR(R186=1,S186=0),1,0))</f>
        <v/>
      </c>
      <c r="U186" s="10">
        <f>IF(AND(T186=1,R186=0,M186&gt;0),1,0)</f>
        <v/>
      </c>
      <c r="V186" s="30">
        <f>IF(U186=1,MAX(N186/M186,SUMPRODUCT(MAX(((N186-$N$12:$N$267)*($U$12:$U$267*($M$12:$M$267&lt;M186)))/((M186-$M$12:$M$267)*($U$12:$U$267*($M$12:$M$267&lt;M186))+1-($U$12:$U$267*($M$12:$M$267&lt;M186)))-(1-($U$12:$U$267*($M$12:$M$267&lt;M186)))*1E+300))),0)</f>
        <v/>
      </c>
      <c r="W186" s="30">
        <f>IF(U186=1,SUMPRODUCT(MIN(((($N$12:$N$267-N186)*($U$12:$U$267*($M$12:$M$267&gt;M186)))/(($M$12:$M$267-M186)*($U$12:$U$267*($M$12:$M$267&gt;M186))+1-($U$12:$U$267*($M$12:$M$267&gt;M186)))+(1-($U$12:$U$267*($M$12:$M$267&gt;M186)))*1E+300))),0)</f>
        <v/>
      </c>
      <c r="X186" s="10">
        <f>IF(C186=0,0,IF(R186=1,1,IF(AND(U186=1,V186&lt;=W186),1,0)))</f>
        <v/>
      </c>
      <c r="Y186" s="10">
        <f>IF(X186=1,1+SUMPRODUCT($X$12:$X$267*(($M$12:$M$267&lt;M186)+($M$12:$M$267=M186)*($A$12:$A$267&lt;A186))),0)</f>
        <v/>
      </c>
      <c r="Z186" s="10">
        <f>IF(Y186&lt;=1,0,SUMPRODUCT(($Y$12:$Y$267=Y186-1)*$M$12:$M$267))</f>
        <v/>
      </c>
      <c r="AA186" s="10">
        <f>IF(Y186&lt;=1,0,SUMPRODUCT(($Y$12:$Y$267=Y186-1)*$N$12:$N$267))</f>
        <v/>
      </c>
      <c r="AB186" s="21">
        <f>IF(Y186=0,"",(M186-Z186)/10^in_out_dp)</f>
        <v/>
      </c>
      <c r="AC186" s="26">
        <f>IF(Y186=0,"",(N186-AA186)/10^in_cost_dp)</f>
        <v/>
      </c>
      <c r="AD186" s="26">
        <f>IF(Y186=0,"",IF(M186=Z186,0,AC186/AB186))</f>
        <v/>
      </c>
      <c r="AE186" s="26">
        <f>IF(AND(C186=1,M186&gt;0),Q186/P186,"n/a")</f>
        <v/>
      </c>
      <c r="AF186" s="15" t="n">
        <v>0</v>
      </c>
      <c r="AG186" s="6">
        <f>IF(AND(C186=1,AF186=1),1+SUMPRODUCT($C$12:$C$267*$AF$12:$AF$267*(($M$12:$M$267&lt;M186)+($M$12:$M$267=M186)*($N$12:$N$267&lt;N186)+($M$12:$M$267=M186)*($N$12:$N$267=N186)*($A$12:$A$267&lt;A186))),0)</f>
        <v/>
      </c>
    </row>
    <row r="187">
      <c r="A187" s="4" t="n">
        <v>176</v>
      </c>
      <c r="B187" s="4" t="inlineStr">
        <is>
          <t>17F2M + 17B + 2B + 3E + 3F + 19A</t>
        </is>
      </c>
      <c r="C187" s="10">
        <f>IF(SUMPRODUCT(D187:K187,1-$D$5:$K$5)=0,1,0)</f>
        <v/>
      </c>
      <c r="D187" s="4" t="n">
        <v>1</v>
      </c>
      <c r="E187" s="4" t="n">
        <v>0</v>
      </c>
      <c r="F187" s="4" t="n">
        <v>1</v>
      </c>
      <c r="G187" s="4" t="n">
        <v>0</v>
      </c>
      <c r="H187" s="4" t="n">
        <v>1</v>
      </c>
      <c r="I187" s="4" t="n">
        <v>1</v>
      </c>
      <c r="J187" s="4" t="n">
        <v>1</v>
      </c>
      <c r="K187" s="4" t="n">
        <v>1</v>
      </c>
      <c r="L187" s="6">
        <f>IF(C187=1,1+SUMPRODUCT(D187:K187,$D$9:$K$9),"")</f>
        <v/>
      </c>
      <c r="M187" s="6">
        <f>SUMPRODUCT(D187:K187,$D$6:$K$6)</f>
        <v/>
      </c>
      <c r="N187" s="6">
        <f>SUMPRODUCT(D187:K187,$D$7:$K$7)</f>
        <v/>
      </c>
      <c r="O187" s="25">
        <f>SUMPRODUCT(D187:K187,$D$8:$K$8)</f>
        <v/>
      </c>
      <c r="P187" s="21">
        <f>M187/10^in_out_dp</f>
        <v/>
      </c>
      <c r="Q187" s="26">
        <f>N187/10^in_cost_dp</f>
        <v/>
      </c>
      <c r="R187" s="10">
        <f>IF(SUM(D187:K187)=0,1,0)</f>
        <v/>
      </c>
      <c r="S187" s="10">
        <f>SUMPRODUCT($C$12:$C$267*(($M$12:$M$267=M187)*($N$12:$N$267&lt;N187)+($M$12:$M$267&gt;M187)*($N$12:$N$267&lt;=N187)))</f>
        <v/>
      </c>
      <c r="T187" s="10">
        <f>IF(C187=0,0,IF(OR(R187=1,S187=0),1,0))</f>
        <v/>
      </c>
      <c r="U187" s="10">
        <f>IF(AND(T187=1,R187=0,M187&gt;0),1,0)</f>
        <v/>
      </c>
      <c r="V187" s="30">
        <f>IF(U187=1,MAX(N187/M187,SUMPRODUCT(MAX(((N187-$N$12:$N$267)*($U$12:$U$267*($M$12:$M$267&lt;M187)))/((M187-$M$12:$M$267)*($U$12:$U$267*($M$12:$M$267&lt;M187))+1-($U$12:$U$267*($M$12:$M$267&lt;M187)))-(1-($U$12:$U$267*($M$12:$M$267&lt;M187)))*1E+300))),0)</f>
        <v/>
      </c>
      <c r="W187" s="30">
        <f>IF(U187=1,SUMPRODUCT(MIN(((($N$12:$N$267-N187)*($U$12:$U$267*($M$12:$M$267&gt;M187)))/(($M$12:$M$267-M187)*($U$12:$U$267*($M$12:$M$267&gt;M187))+1-($U$12:$U$267*($M$12:$M$267&gt;M187)))+(1-($U$12:$U$267*($M$12:$M$267&gt;M187)))*1E+300))),0)</f>
        <v/>
      </c>
      <c r="X187" s="10">
        <f>IF(C187=0,0,IF(R187=1,1,IF(AND(U187=1,V187&lt;=W187),1,0)))</f>
        <v/>
      </c>
      <c r="Y187" s="10">
        <f>IF(X187=1,1+SUMPRODUCT($X$12:$X$267*(($M$12:$M$267&lt;M187)+($M$12:$M$267=M187)*($A$12:$A$267&lt;A187))),0)</f>
        <v/>
      </c>
      <c r="Z187" s="10">
        <f>IF(Y187&lt;=1,0,SUMPRODUCT(($Y$12:$Y$267=Y187-1)*$M$12:$M$267))</f>
        <v/>
      </c>
      <c r="AA187" s="10">
        <f>IF(Y187&lt;=1,0,SUMPRODUCT(($Y$12:$Y$267=Y187-1)*$N$12:$N$267))</f>
        <v/>
      </c>
      <c r="AB187" s="21">
        <f>IF(Y187=0,"",(M187-Z187)/10^in_out_dp)</f>
        <v/>
      </c>
      <c r="AC187" s="26">
        <f>IF(Y187=0,"",(N187-AA187)/10^in_cost_dp)</f>
        <v/>
      </c>
      <c r="AD187" s="26">
        <f>IF(Y187=0,"",IF(M187=Z187,0,AC187/AB187))</f>
        <v/>
      </c>
      <c r="AE187" s="26">
        <f>IF(AND(C187=1,M187&gt;0),Q187/P187,"n/a")</f>
        <v/>
      </c>
      <c r="AF187" s="15" t="n">
        <v>0</v>
      </c>
      <c r="AG187" s="6">
        <f>IF(AND(C187=1,AF187=1),1+SUMPRODUCT($C$12:$C$267*$AF$12:$AF$267*(($M$12:$M$267&lt;M187)+($M$12:$M$267=M187)*($N$12:$N$267&lt;N187)+($M$12:$M$267=M187)*($N$12:$N$267=N187)*($A$12:$A$267&lt;A187))),0)</f>
        <v/>
      </c>
    </row>
    <row r="188">
      <c r="A188" s="4" t="n">
        <v>177</v>
      </c>
      <c r="B188" s="4" t="inlineStr">
        <is>
          <t>17F2M + 17B + 2A</t>
        </is>
      </c>
      <c r="C188" s="10">
        <f>IF(SUMPRODUCT(D188:K188,1-$D$5:$K$5)=0,1,0)</f>
        <v/>
      </c>
      <c r="D188" s="4" t="n">
        <v>1</v>
      </c>
      <c r="E188" s="4" t="n">
        <v>0</v>
      </c>
      <c r="F188" s="4" t="n">
        <v>1</v>
      </c>
      <c r="G188" s="4" t="n">
        <v>1</v>
      </c>
      <c r="H188" s="4" t="n">
        <v>0</v>
      </c>
      <c r="I188" s="4" t="n">
        <v>0</v>
      </c>
      <c r="J188" s="4" t="n">
        <v>0</v>
      </c>
      <c r="K188" s="4" t="n">
        <v>0</v>
      </c>
      <c r="L188" s="6">
        <f>IF(C188=1,1+SUMPRODUCT(D188:K188,$D$9:$K$9),"")</f>
        <v/>
      </c>
      <c r="M188" s="6">
        <f>SUMPRODUCT(D188:K188,$D$6:$K$6)</f>
        <v/>
      </c>
      <c r="N188" s="6">
        <f>SUMPRODUCT(D188:K188,$D$7:$K$7)</f>
        <v/>
      </c>
      <c r="O188" s="25">
        <f>SUMPRODUCT(D188:K188,$D$8:$K$8)</f>
        <v/>
      </c>
      <c r="P188" s="21">
        <f>M188/10^in_out_dp</f>
        <v/>
      </c>
      <c r="Q188" s="26">
        <f>N188/10^in_cost_dp</f>
        <v/>
      </c>
      <c r="R188" s="10">
        <f>IF(SUM(D188:K188)=0,1,0)</f>
        <v/>
      </c>
      <c r="S188" s="10">
        <f>SUMPRODUCT($C$12:$C$267*(($M$12:$M$267=M188)*($N$12:$N$267&lt;N188)+($M$12:$M$267&gt;M188)*($N$12:$N$267&lt;=N188)))</f>
        <v/>
      </c>
      <c r="T188" s="10">
        <f>IF(C188=0,0,IF(OR(R188=1,S188=0),1,0))</f>
        <v/>
      </c>
      <c r="U188" s="10">
        <f>IF(AND(T188=1,R188=0,M188&gt;0),1,0)</f>
        <v/>
      </c>
      <c r="V188" s="30">
        <f>IF(U188=1,MAX(N188/M188,SUMPRODUCT(MAX(((N188-$N$12:$N$267)*($U$12:$U$267*($M$12:$M$267&lt;M188)))/((M188-$M$12:$M$267)*($U$12:$U$267*($M$12:$M$267&lt;M188))+1-($U$12:$U$267*($M$12:$M$267&lt;M188)))-(1-($U$12:$U$267*($M$12:$M$267&lt;M188)))*1E+300))),0)</f>
        <v/>
      </c>
      <c r="W188" s="30">
        <f>IF(U188=1,SUMPRODUCT(MIN(((($N$12:$N$267-N188)*($U$12:$U$267*($M$12:$M$267&gt;M188)))/(($M$12:$M$267-M188)*($U$12:$U$267*($M$12:$M$267&gt;M188))+1-($U$12:$U$267*($M$12:$M$267&gt;M188)))+(1-($U$12:$U$267*($M$12:$M$267&gt;M188)))*1E+300))),0)</f>
        <v/>
      </c>
      <c r="X188" s="10">
        <f>IF(C188=0,0,IF(R188=1,1,IF(AND(U188=1,V188&lt;=W188),1,0)))</f>
        <v/>
      </c>
      <c r="Y188" s="10">
        <f>IF(X188=1,1+SUMPRODUCT($X$12:$X$267*(($M$12:$M$267&lt;M188)+($M$12:$M$267=M188)*($A$12:$A$267&lt;A188))),0)</f>
        <v/>
      </c>
      <c r="Z188" s="10">
        <f>IF(Y188&lt;=1,0,SUMPRODUCT(($Y$12:$Y$267=Y188-1)*$M$12:$M$267))</f>
        <v/>
      </c>
      <c r="AA188" s="10">
        <f>IF(Y188&lt;=1,0,SUMPRODUCT(($Y$12:$Y$267=Y188-1)*$N$12:$N$267))</f>
        <v/>
      </c>
      <c r="AB188" s="21">
        <f>IF(Y188=0,"",(M188-Z188)/10^in_out_dp)</f>
        <v/>
      </c>
      <c r="AC188" s="26">
        <f>IF(Y188=0,"",(N188-AA188)/10^in_cost_dp)</f>
        <v/>
      </c>
      <c r="AD188" s="26">
        <f>IF(Y188=0,"",IF(M188=Z188,0,AC188/AB188))</f>
        <v/>
      </c>
      <c r="AE188" s="26">
        <f>IF(AND(C188=1,M188&gt;0),Q188/P188,"n/a")</f>
        <v/>
      </c>
      <c r="AF188" s="15" t="n">
        <v>0</v>
      </c>
      <c r="AG188" s="6">
        <f>IF(AND(C188=1,AF188=1),1+SUMPRODUCT($C$12:$C$267*$AF$12:$AF$267*(($M$12:$M$267&lt;M188)+($M$12:$M$267=M188)*($N$12:$N$267&lt;N188)+($M$12:$M$267=M188)*($N$12:$N$267=N188)*($A$12:$A$267&lt;A188))),0)</f>
        <v/>
      </c>
    </row>
    <row r="189">
      <c r="A189" s="4" t="n">
        <v>178</v>
      </c>
      <c r="B189" s="4" t="inlineStr">
        <is>
          <t>17F2M + 17B + 2A + 19A</t>
        </is>
      </c>
      <c r="C189" s="10">
        <f>IF(SUMPRODUCT(D189:K189,1-$D$5:$K$5)=0,1,0)</f>
        <v/>
      </c>
      <c r="D189" s="4" t="n">
        <v>1</v>
      </c>
      <c r="E189" s="4" t="n">
        <v>0</v>
      </c>
      <c r="F189" s="4" t="n">
        <v>1</v>
      </c>
      <c r="G189" s="4" t="n">
        <v>1</v>
      </c>
      <c r="H189" s="4" t="n">
        <v>0</v>
      </c>
      <c r="I189" s="4" t="n">
        <v>0</v>
      </c>
      <c r="J189" s="4" t="n">
        <v>0</v>
      </c>
      <c r="K189" s="4" t="n">
        <v>1</v>
      </c>
      <c r="L189" s="6">
        <f>IF(C189=1,1+SUMPRODUCT(D189:K189,$D$9:$K$9),"")</f>
        <v/>
      </c>
      <c r="M189" s="6">
        <f>SUMPRODUCT(D189:K189,$D$6:$K$6)</f>
        <v/>
      </c>
      <c r="N189" s="6">
        <f>SUMPRODUCT(D189:K189,$D$7:$K$7)</f>
        <v/>
      </c>
      <c r="O189" s="25">
        <f>SUMPRODUCT(D189:K189,$D$8:$K$8)</f>
        <v/>
      </c>
      <c r="P189" s="21">
        <f>M189/10^in_out_dp</f>
        <v/>
      </c>
      <c r="Q189" s="26">
        <f>N189/10^in_cost_dp</f>
        <v/>
      </c>
      <c r="R189" s="10">
        <f>IF(SUM(D189:K189)=0,1,0)</f>
        <v/>
      </c>
      <c r="S189" s="10">
        <f>SUMPRODUCT($C$12:$C$267*(($M$12:$M$267=M189)*($N$12:$N$267&lt;N189)+($M$12:$M$267&gt;M189)*($N$12:$N$267&lt;=N189)))</f>
        <v/>
      </c>
      <c r="T189" s="10">
        <f>IF(C189=0,0,IF(OR(R189=1,S189=0),1,0))</f>
        <v/>
      </c>
      <c r="U189" s="10">
        <f>IF(AND(T189=1,R189=0,M189&gt;0),1,0)</f>
        <v/>
      </c>
      <c r="V189" s="30">
        <f>IF(U189=1,MAX(N189/M189,SUMPRODUCT(MAX(((N189-$N$12:$N$267)*($U$12:$U$267*($M$12:$M$267&lt;M189)))/((M189-$M$12:$M$267)*($U$12:$U$267*($M$12:$M$267&lt;M189))+1-($U$12:$U$267*($M$12:$M$267&lt;M189)))-(1-($U$12:$U$267*($M$12:$M$267&lt;M189)))*1E+300))),0)</f>
        <v/>
      </c>
      <c r="W189" s="30">
        <f>IF(U189=1,SUMPRODUCT(MIN(((($N$12:$N$267-N189)*($U$12:$U$267*($M$12:$M$267&gt;M189)))/(($M$12:$M$267-M189)*($U$12:$U$267*($M$12:$M$267&gt;M189))+1-($U$12:$U$267*($M$12:$M$267&gt;M189)))+(1-($U$12:$U$267*($M$12:$M$267&gt;M189)))*1E+300))),0)</f>
        <v/>
      </c>
      <c r="X189" s="10">
        <f>IF(C189=0,0,IF(R189=1,1,IF(AND(U189=1,V189&lt;=W189),1,0)))</f>
        <v/>
      </c>
      <c r="Y189" s="10">
        <f>IF(X189=1,1+SUMPRODUCT($X$12:$X$267*(($M$12:$M$267&lt;M189)+($M$12:$M$267=M189)*($A$12:$A$267&lt;A189))),0)</f>
        <v/>
      </c>
      <c r="Z189" s="10">
        <f>IF(Y189&lt;=1,0,SUMPRODUCT(($Y$12:$Y$267=Y189-1)*$M$12:$M$267))</f>
        <v/>
      </c>
      <c r="AA189" s="10">
        <f>IF(Y189&lt;=1,0,SUMPRODUCT(($Y$12:$Y$267=Y189-1)*$N$12:$N$267))</f>
        <v/>
      </c>
      <c r="AB189" s="21">
        <f>IF(Y189=0,"",(M189-Z189)/10^in_out_dp)</f>
        <v/>
      </c>
      <c r="AC189" s="26">
        <f>IF(Y189=0,"",(N189-AA189)/10^in_cost_dp)</f>
        <v/>
      </c>
      <c r="AD189" s="26">
        <f>IF(Y189=0,"",IF(M189=Z189,0,AC189/AB189))</f>
        <v/>
      </c>
      <c r="AE189" s="26">
        <f>IF(AND(C189=1,M189&gt;0),Q189/P189,"n/a")</f>
        <v/>
      </c>
      <c r="AF189" s="15" t="n">
        <v>0</v>
      </c>
      <c r="AG189" s="6">
        <f>IF(AND(C189=1,AF189=1),1+SUMPRODUCT($C$12:$C$267*$AF$12:$AF$267*(($M$12:$M$267&lt;M189)+($M$12:$M$267=M189)*($N$12:$N$267&lt;N189)+($M$12:$M$267=M189)*($N$12:$N$267=N189)*($A$12:$A$267&lt;A189))),0)</f>
        <v/>
      </c>
    </row>
    <row r="190">
      <c r="A190" s="4" t="n">
        <v>179</v>
      </c>
      <c r="B190" s="4" t="inlineStr">
        <is>
          <t>17F2M + 17B + 2A + 3F</t>
        </is>
      </c>
      <c r="C190" s="10">
        <f>IF(SUMPRODUCT(D190:K190,1-$D$5:$K$5)=0,1,0)</f>
        <v/>
      </c>
      <c r="D190" s="4" t="n">
        <v>1</v>
      </c>
      <c r="E190" s="4" t="n">
        <v>0</v>
      </c>
      <c r="F190" s="4" t="n">
        <v>1</v>
      </c>
      <c r="G190" s="4" t="n">
        <v>1</v>
      </c>
      <c r="H190" s="4" t="n">
        <v>0</v>
      </c>
      <c r="I190" s="4" t="n">
        <v>0</v>
      </c>
      <c r="J190" s="4" t="n">
        <v>1</v>
      </c>
      <c r="K190" s="4" t="n">
        <v>0</v>
      </c>
      <c r="L190" s="6">
        <f>IF(C190=1,1+SUMPRODUCT(D190:K190,$D$9:$K$9),"")</f>
        <v/>
      </c>
      <c r="M190" s="6">
        <f>SUMPRODUCT(D190:K190,$D$6:$K$6)</f>
        <v/>
      </c>
      <c r="N190" s="6">
        <f>SUMPRODUCT(D190:K190,$D$7:$K$7)</f>
        <v/>
      </c>
      <c r="O190" s="25">
        <f>SUMPRODUCT(D190:K190,$D$8:$K$8)</f>
        <v/>
      </c>
      <c r="P190" s="21">
        <f>M190/10^in_out_dp</f>
        <v/>
      </c>
      <c r="Q190" s="26">
        <f>N190/10^in_cost_dp</f>
        <v/>
      </c>
      <c r="R190" s="10">
        <f>IF(SUM(D190:K190)=0,1,0)</f>
        <v/>
      </c>
      <c r="S190" s="10">
        <f>SUMPRODUCT($C$12:$C$267*(($M$12:$M$267=M190)*($N$12:$N$267&lt;N190)+($M$12:$M$267&gt;M190)*($N$12:$N$267&lt;=N190)))</f>
        <v/>
      </c>
      <c r="T190" s="10">
        <f>IF(C190=0,0,IF(OR(R190=1,S190=0),1,0))</f>
        <v/>
      </c>
      <c r="U190" s="10">
        <f>IF(AND(T190=1,R190=0,M190&gt;0),1,0)</f>
        <v/>
      </c>
      <c r="V190" s="30">
        <f>IF(U190=1,MAX(N190/M190,SUMPRODUCT(MAX(((N190-$N$12:$N$267)*($U$12:$U$267*($M$12:$M$267&lt;M190)))/((M190-$M$12:$M$267)*($U$12:$U$267*($M$12:$M$267&lt;M190))+1-($U$12:$U$267*($M$12:$M$267&lt;M190)))-(1-($U$12:$U$267*($M$12:$M$267&lt;M190)))*1E+300))),0)</f>
        <v/>
      </c>
      <c r="W190" s="30">
        <f>IF(U190=1,SUMPRODUCT(MIN(((($N$12:$N$267-N190)*($U$12:$U$267*($M$12:$M$267&gt;M190)))/(($M$12:$M$267-M190)*($U$12:$U$267*($M$12:$M$267&gt;M190))+1-($U$12:$U$267*($M$12:$M$267&gt;M190)))+(1-($U$12:$U$267*($M$12:$M$267&gt;M190)))*1E+300))),0)</f>
        <v/>
      </c>
      <c r="X190" s="10">
        <f>IF(C190=0,0,IF(R190=1,1,IF(AND(U190=1,V190&lt;=W190),1,0)))</f>
        <v/>
      </c>
      <c r="Y190" s="10">
        <f>IF(X190=1,1+SUMPRODUCT($X$12:$X$267*(($M$12:$M$267&lt;M190)+($M$12:$M$267=M190)*($A$12:$A$267&lt;A190))),0)</f>
        <v/>
      </c>
      <c r="Z190" s="10">
        <f>IF(Y190&lt;=1,0,SUMPRODUCT(($Y$12:$Y$267=Y190-1)*$M$12:$M$267))</f>
        <v/>
      </c>
      <c r="AA190" s="10">
        <f>IF(Y190&lt;=1,0,SUMPRODUCT(($Y$12:$Y$267=Y190-1)*$N$12:$N$267))</f>
        <v/>
      </c>
      <c r="AB190" s="21">
        <f>IF(Y190=0,"",(M190-Z190)/10^in_out_dp)</f>
        <v/>
      </c>
      <c r="AC190" s="26">
        <f>IF(Y190=0,"",(N190-AA190)/10^in_cost_dp)</f>
        <v/>
      </c>
      <c r="AD190" s="26">
        <f>IF(Y190=0,"",IF(M190=Z190,0,AC190/AB190))</f>
        <v/>
      </c>
      <c r="AE190" s="26">
        <f>IF(AND(C190=1,M190&gt;0),Q190/P190,"n/a")</f>
        <v/>
      </c>
      <c r="AF190" s="15" t="n">
        <v>0</v>
      </c>
      <c r="AG190" s="6">
        <f>IF(AND(C190=1,AF190=1),1+SUMPRODUCT($C$12:$C$267*$AF$12:$AF$267*(($M$12:$M$267&lt;M190)+($M$12:$M$267=M190)*($N$12:$N$267&lt;N190)+($M$12:$M$267=M190)*($N$12:$N$267=N190)*($A$12:$A$267&lt;A190))),0)</f>
        <v/>
      </c>
    </row>
    <row r="191">
      <c r="A191" s="4" t="n">
        <v>180</v>
      </c>
      <c r="B191" s="4" t="inlineStr">
        <is>
          <t>17F2M + 17B + 2A + 3F + 19A</t>
        </is>
      </c>
      <c r="C191" s="10">
        <f>IF(SUMPRODUCT(D191:K191,1-$D$5:$K$5)=0,1,0)</f>
        <v/>
      </c>
      <c r="D191" s="4" t="n">
        <v>1</v>
      </c>
      <c r="E191" s="4" t="n">
        <v>0</v>
      </c>
      <c r="F191" s="4" t="n">
        <v>1</v>
      </c>
      <c r="G191" s="4" t="n">
        <v>1</v>
      </c>
      <c r="H191" s="4" t="n">
        <v>0</v>
      </c>
      <c r="I191" s="4" t="n">
        <v>0</v>
      </c>
      <c r="J191" s="4" t="n">
        <v>1</v>
      </c>
      <c r="K191" s="4" t="n">
        <v>1</v>
      </c>
      <c r="L191" s="6">
        <f>IF(C191=1,1+SUMPRODUCT(D191:K191,$D$9:$K$9),"")</f>
        <v/>
      </c>
      <c r="M191" s="6">
        <f>SUMPRODUCT(D191:K191,$D$6:$K$6)</f>
        <v/>
      </c>
      <c r="N191" s="6">
        <f>SUMPRODUCT(D191:K191,$D$7:$K$7)</f>
        <v/>
      </c>
      <c r="O191" s="25">
        <f>SUMPRODUCT(D191:K191,$D$8:$K$8)</f>
        <v/>
      </c>
      <c r="P191" s="21">
        <f>M191/10^in_out_dp</f>
        <v/>
      </c>
      <c r="Q191" s="26">
        <f>N191/10^in_cost_dp</f>
        <v/>
      </c>
      <c r="R191" s="10">
        <f>IF(SUM(D191:K191)=0,1,0)</f>
        <v/>
      </c>
      <c r="S191" s="10">
        <f>SUMPRODUCT($C$12:$C$267*(($M$12:$M$267=M191)*($N$12:$N$267&lt;N191)+($M$12:$M$267&gt;M191)*($N$12:$N$267&lt;=N191)))</f>
        <v/>
      </c>
      <c r="T191" s="10">
        <f>IF(C191=0,0,IF(OR(R191=1,S191=0),1,0))</f>
        <v/>
      </c>
      <c r="U191" s="10">
        <f>IF(AND(T191=1,R191=0,M191&gt;0),1,0)</f>
        <v/>
      </c>
      <c r="V191" s="30">
        <f>IF(U191=1,MAX(N191/M191,SUMPRODUCT(MAX(((N191-$N$12:$N$267)*($U$12:$U$267*($M$12:$M$267&lt;M191)))/((M191-$M$12:$M$267)*($U$12:$U$267*($M$12:$M$267&lt;M191))+1-($U$12:$U$267*($M$12:$M$267&lt;M191)))-(1-($U$12:$U$267*($M$12:$M$267&lt;M191)))*1E+300))),0)</f>
        <v/>
      </c>
      <c r="W191" s="30">
        <f>IF(U191=1,SUMPRODUCT(MIN(((($N$12:$N$267-N191)*($U$12:$U$267*($M$12:$M$267&gt;M191)))/(($M$12:$M$267-M191)*($U$12:$U$267*($M$12:$M$267&gt;M191))+1-($U$12:$U$267*($M$12:$M$267&gt;M191)))+(1-($U$12:$U$267*($M$12:$M$267&gt;M191)))*1E+300))),0)</f>
        <v/>
      </c>
      <c r="X191" s="10">
        <f>IF(C191=0,0,IF(R191=1,1,IF(AND(U191=1,V191&lt;=W191),1,0)))</f>
        <v/>
      </c>
      <c r="Y191" s="10">
        <f>IF(X191=1,1+SUMPRODUCT($X$12:$X$267*(($M$12:$M$267&lt;M191)+($M$12:$M$267=M191)*($A$12:$A$267&lt;A191))),0)</f>
        <v/>
      </c>
      <c r="Z191" s="10">
        <f>IF(Y191&lt;=1,0,SUMPRODUCT(($Y$12:$Y$267=Y191-1)*$M$12:$M$267))</f>
        <v/>
      </c>
      <c r="AA191" s="10">
        <f>IF(Y191&lt;=1,0,SUMPRODUCT(($Y$12:$Y$267=Y191-1)*$N$12:$N$267))</f>
        <v/>
      </c>
      <c r="AB191" s="21">
        <f>IF(Y191=0,"",(M191-Z191)/10^in_out_dp)</f>
        <v/>
      </c>
      <c r="AC191" s="26">
        <f>IF(Y191=0,"",(N191-AA191)/10^in_cost_dp)</f>
        <v/>
      </c>
      <c r="AD191" s="26">
        <f>IF(Y191=0,"",IF(M191=Z191,0,AC191/AB191))</f>
        <v/>
      </c>
      <c r="AE191" s="26">
        <f>IF(AND(C191=1,M191&gt;0),Q191/P191,"n/a")</f>
        <v/>
      </c>
      <c r="AF191" s="15" t="n">
        <v>0</v>
      </c>
      <c r="AG191" s="6">
        <f>IF(AND(C191=1,AF191=1),1+SUMPRODUCT($C$12:$C$267*$AF$12:$AF$267*(($M$12:$M$267&lt;M191)+($M$12:$M$267=M191)*($N$12:$N$267&lt;N191)+($M$12:$M$267=M191)*($N$12:$N$267=N191)*($A$12:$A$267&lt;A191))),0)</f>
        <v/>
      </c>
    </row>
    <row r="192">
      <c r="A192" s="4" t="n">
        <v>181</v>
      </c>
      <c r="B192" s="4" t="inlineStr">
        <is>
          <t>17F2M + 17B + 2A + 3E</t>
        </is>
      </c>
      <c r="C192" s="10">
        <f>IF(SUMPRODUCT(D192:K192,1-$D$5:$K$5)=0,1,0)</f>
        <v/>
      </c>
      <c r="D192" s="4" t="n">
        <v>1</v>
      </c>
      <c r="E192" s="4" t="n">
        <v>0</v>
      </c>
      <c r="F192" s="4" t="n">
        <v>1</v>
      </c>
      <c r="G192" s="4" t="n">
        <v>1</v>
      </c>
      <c r="H192" s="4" t="n">
        <v>0</v>
      </c>
      <c r="I192" s="4" t="n">
        <v>1</v>
      </c>
      <c r="J192" s="4" t="n">
        <v>0</v>
      </c>
      <c r="K192" s="4" t="n">
        <v>0</v>
      </c>
      <c r="L192" s="6">
        <f>IF(C192=1,1+SUMPRODUCT(D192:K192,$D$9:$K$9),"")</f>
        <v/>
      </c>
      <c r="M192" s="6">
        <f>SUMPRODUCT(D192:K192,$D$6:$K$6)</f>
        <v/>
      </c>
      <c r="N192" s="6">
        <f>SUMPRODUCT(D192:K192,$D$7:$K$7)</f>
        <v/>
      </c>
      <c r="O192" s="25">
        <f>SUMPRODUCT(D192:K192,$D$8:$K$8)</f>
        <v/>
      </c>
      <c r="P192" s="21">
        <f>M192/10^in_out_dp</f>
        <v/>
      </c>
      <c r="Q192" s="26">
        <f>N192/10^in_cost_dp</f>
        <v/>
      </c>
      <c r="R192" s="10">
        <f>IF(SUM(D192:K192)=0,1,0)</f>
        <v/>
      </c>
      <c r="S192" s="10">
        <f>SUMPRODUCT($C$12:$C$267*(($M$12:$M$267=M192)*($N$12:$N$267&lt;N192)+($M$12:$M$267&gt;M192)*($N$12:$N$267&lt;=N192)))</f>
        <v/>
      </c>
      <c r="T192" s="10">
        <f>IF(C192=0,0,IF(OR(R192=1,S192=0),1,0))</f>
        <v/>
      </c>
      <c r="U192" s="10">
        <f>IF(AND(T192=1,R192=0,M192&gt;0),1,0)</f>
        <v/>
      </c>
      <c r="V192" s="30">
        <f>IF(U192=1,MAX(N192/M192,SUMPRODUCT(MAX(((N192-$N$12:$N$267)*($U$12:$U$267*($M$12:$M$267&lt;M192)))/((M192-$M$12:$M$267)*($U$12:$U$267*($M$12:$M$267&lt;M192))+1-($U$12:$U$267*($M$12:$M$267&lt;M192)))-(1-($U$12:$U$267*($M$12:$M$267&lt;M192)))*1E+300))),0)</f>
        <v/>
      </c>
      <c r="W192" s="30">
        <f>IF(U192=1,SUMPRODUCT(MIN(((($N$12:$N$267-N192)*($U$12:$U$267*($M$12:$M$267&gt;M192)))/(($M$12:$M$267-M192)*($U$12:$U$267*($M$12:$M$267&gt;M192))+1-($U$12:$U$267*($M$12:$M$267&gt;M192)))+(1-($U$12:$U$267*($M$12:$M$267&gt;M192)))*1E+300))),0)</f>
        <v/>
      </c>
      <c r="X192" s="10">
        <f>IF(C192=0,0,IF(R192=1,1,IF(AND(U192=1,V192&lt;=W192),1,0)))</f>
        <v/>
      </c>
      <c r="Y192" s="10">
        <f>IF(X192=1,1+SUMPRODUCT($X$12:$X$267*(($M$12:$M$267&lt;M192)+($M$12:$M$267=M192)*($A$12:$A$267&lt;A192))),0)</f>
        <v/>
      </c>
      <c r="Z192" s="10">
        <f>IF(Y192&lt;=1,0,SUMPRODUCT(($Y$12:$Y$267=Y192-1)*$M$12:$M$267))</f>
        <v/>
      </c>
      <c r="AA192" s="10">
        <f>IF(Y192&lt;=1,0,SUMPRODUCT(($Y$12:$Y$267=Y192-1)*$N$12:$N$267))</f>
        <v/>
      </c>
      <c r="AB192" s="21">
        <f>IF(Y192=0,"",(M192-Z192)/10^in_out_dp)</f>
        <v/>
      </c>
      <c r="AC192" s="26">
        <f>IF(Y192=0,"",(N192-AA192)/10^in_cost_dp)</f>
        <v/>
      </c>
      <c r="AD192" s="26">
        <f>IF(Y192=0,"",IF(M192=Z192,0,AC192/AB192))</f>
        <v/>
      </c>
      <c r="AE192" s="26">
        <f>IF(AND(C192=1,M192&gt;0),Q192/P192,"n/a")</f>
        <v/>
      </c>
      <c r="AF192" s="15" t="n">
        <v>0</v>
      </c>
      <c r="AG192" s="6">
        <f>IF(AND(C192=1,AF192=1),1+SUMPRODUCT($C$12:$C$267*$AF$12:$AF$267*(($M$12:$M$267&lt;M192)+($M$12:$M$267=M192)*($N$12:$N$267&lt;N192)+($M$12:$M$267=M192)*($N$12:$N$267=N192)*($A$12:$A$267&lt;A192))),0)</f>
        <v/>
      </c>
    </row>
    <row r="193">
      <c r="A193" s="4" t="n">
        <v>182</v>
      </c>
      <c r="B193" s="4" t="inlineStr">
        <is>
          <t>17F2M + 17B + 2A + 3E + 19A</t>
        </is>
      </c>
      <c r="C193" s="10">
        <f>IF(SUMPRODUCT(D193:K193,1-$D$5:$K$5)=0,1,0)</f>
        <v/>
      </c>
      <c r="D193" s="4" t="n">
        <v>1</v>
      </c>
      <c r="E193" s="4" t="n">
        <v>0</v>
      </c>
      <c r="F193" s="4" t="n">
        <v>1</v>
      </c>
      <c r="G193" s="4" t="n">
        <v>1</v>
      </c>
      <c r="H193" s="4" t="n">
        <v>0</v>
      </c>
      <c r="I193" s="4" t="n">
        <v>1</v>
      </c>
      <c r="J193" s="4" t="n">
        <v>0</v>
      </c>
      <c r="K193" s="4" t="n">
        <v>1</v>
      </c>
      <c r="L193" s="6">
        <f>IF(C193=1,1+SUMPRODUCT(D193:K193,$D$9:$K$9),"")</f>
        <v/>
      </c>
      <c r="M193" s="6">
        <f>SUMPRODUCT(D193:K193,$D$6:$K$6)</f>
        <v/>
      </c>
      <c r="N193" s="6">
        <f>SUMPRODUCT(D193:K193,$D$7:$K$7)</f>
        <v/>
      </c>
      <c r="O193" s="25">
        <f>SUMPRODUCT(D193:K193,$D$8:$K$8)</f>
        <v/>
      </c>
      <c r="P193" s="21">
        <f>M193/10^in_out_dp</f>
        <v/>
      </c>
      <c r="Q193" s="26">
        <f>N193/10^in_cost_dp</f>
        <v/>
      </c>
      <c r="R193" s="10">
        <f>IF(SUM(D193:K193)=0,1,0)</f>
        <v/>
      </c>
      <c r="S193" s="10">
        <f>SUMPRODUCT($C$12:$C$267*(($M$12:$M$267=M193)*($N$12:$N$267&lt;N193)+($M$12:$M$267&gt;M193)*($N$12:$N$267&lt;=N193)))</f>
        <v/>
      </c>
      <c r="T193" s="10">
        <f>IF(C193=0,0,IF(OR(R193=1,S193=0),1,0))</f>
        <v/>
      </c>
      <c r="U193" s="10">
        <f>IF(AND(T193=1,R193=0,M193&gt;0),1,0)</f>
        <v/>
      </c>
      <c r="V193" s="30">
        <f>IF(U193=1,MAX(N193/M193,SUMPRODUCT(MAX(((N193-$N$12:$N$267)*($U$12:$U$267*($M$12:$M$267&lt;M193)))/((M193-$M$12:$M$267)*($U$12:$U$267*($M$12:$M$267&lt;M193))+1-($U$12:$U$267*($M$12:$M$267&lt;M193)))-(1-($U$12:$U$267*($M$12:$M$267&lt;M193)))*1E+300))),0)</f>
        <v/>
      </c>
      <c r="W193" s="30">
        <f>IF(U193=1,SUMPRODUCT(MIN(((($N$12:$N$267-N193)*($U$12:$U$267*($M$12:$M$267&gt;M193)))/(($M$12:$M$267-M193)*($U$12:$U$267*($M$12:$M$267&gt;M193))+1-($U$12:$U$267*($M$12:$M$267&gt;M193)))+(1-($U$12:$U$267*($M$12:$M$267&gt;M193)))*1E+300))),0)</f>
        <v/>
      </c>
      <c r="X193" s="10">
        <f>IF(C193=0,0,IF(R193=1,1,IF(AND(U193=1,V193&lt;=W193),1,0)))</f>
        <v/>
      </c>
      <c r="Y193" s="10">
        <f>IF(X193=1,1+SUMPRODUCT($X$12:$X$267*(($M$12:$M$267&lt;M193)+($M$12:$M$267=M193)*($A$12:$A$267&lt;A193))),0)</f>
        <v/>
      </c>
      <c r="Z193" s="10">
        <f>IF(Y193&lt;=1,0,SUMPRODUCT(($Y$12:$Y$267=Y193-1)*$M$12:$M$267))</f>
        <v/>
      </c>
      <c r="AA193" s="10">
        <f>IF(Y193&lt;=1,0,SUMPRODUCT(($Y$12:$Y$267=Y193-1)*$N$12:$N$267))</f>
        <v/>
      </c>
      <c r="AB193" s="21">
        <f>IF(Y193=0,"",(M193-Z193)/10^in_out_dp)</f>
        <v/>
      </c>
      <c r="AC193" s="26">
        <f>IF(Y193=0,"",(N193-AA193)/10^in_cost_dp)</f>
        <v/>
      </c>
      <c r="AD193" s="26">
        <f>IF(Y193=0,"",IF(M193=Z193,0,AC193/AB193))</f>
        <v/>
      </c>
      <c r="AE193" s="26">
        <f>IF(AND(C193=1,M193&gt;0),Q193/P193,"n/a")</f>
        <v/>
      </c>
      <c r="AF193" s="15" t="n">
        <v>0</v>
      </c>
      <c r="AG193" s="6">
        <f>IF(AND(C193=1,AF193=1),1+SUMPRODUCT($C$12:$C$267*$AF$12:$AF$267*(($M$12:$M$267&lt;M193)+($M$12:$M$267=M193)*($N$12:$N$267&lt;N193)+($M$12:$M$267=M193)*($N$12:$N$267=N193)*($A$12:$A$267&lt;A193))),0)</f>
        <v/>
      </c>
    </row>
    <row r="194">
      <c r="A194" s="4" t="n">
        <v>183</v>
      </c>
      <c r="B194" s="4" t="inlineStr">
        <is>
          <t>17F2M + 17B + 2A + 3E + 3F</t>
        </is>
      </c>
      <c r="C194" s="10">
        <f>IF(SUMPRODUCT(D194:K194,1-$D$5:$K$5)=0,1,0)</f>
        <v/>
      </c>
      <c r="D194" s="4" t="n">
        <v>1</v>
      </c>
      <c r="E194" s="4" t="n">
        <v>0</v>
      </c>
      <c r="F194" s="4" t="n">
        <v>1</v>
      </c>
      <c r="G194" s="4" t="n">
        <v>1</v>
      </c>
      <c r="H194" s="4" t="n">
        <v>0</v>
      </c>
      <c r="I194" s="4" t="n">
        <v>1</v>
      </c>
      <c r="J194" s="4" t="n">
        <v>1</v>
      </c>
      <c r="K194" s="4" t="n">
        <v>0</v>
      </c>
      <c r="L194" s="6">
        <f>IF(C194=1,1+SUMPRODUCT(D194:K194,$D$9:$K$9),"")</f>
        <v/>
      </c>
      <c r="M194" s="6">
        <f>SUMPRODUCT(D194:K194,$D$6:$K$6)</f>
        <v/>
      </c>
      <c r="N194" s="6">
        <f>SUMPRODUCT(D194:K194,$D$7:$K$7)</f>
        <v/>
      </c>
      <c r="O194" s="25">
        <f>SUMPRODUCT(D194:K194,$D$8:$K$8)</f>
        <v/>
      </c>
      <c r="P194" s="21">
        <f>M194/10^in_out_dp</f>
        <v/>
      </c>
      <c r="Q194" s="26">
        <f>N194/10^in_cost_dp</f>
        <v/>
      </c>
      <c r="R194" s="10">
        <f>IF(SUM(D194:K194)=0,1,0)</f>
        <v/>
      </c>
      <c r="S194" s="10">
        <f>SUMPRODUCT($C$12:$C$267*(($M$12:$M$267=M194)*($N$12:$N$267&lt;N194)+($M$12:$M$267&gt;M194)*($N$12:$N$267&lt;=N194)))</f>
        <v/>
      </c>
      <c r="T194" s="10">
        <f>IF(C194=0,0,IF(OR(R194=1,S194=0),1,0))</f>
        <v/>
      </c>
      <c r="U194" s="10">
        <f>IF(AND(T194=1,R194=0,M194&gt;0),1,0)</f>
        <v/>
      </c>
      <c r="V194" s="30">
        <f>IF(U194=1,MAX(N194/M194,SUMPRODUCT(MAX(((N194-$N$12:$N$267)*($U$12:$U$267*($M$12:$M$267&lt;M194)))/((M194-$M$12:$M$267)*($U$12:$U$267*($M$12:$M$267&lt;M194))+1-($U$12:$U$267*($M$12:$M$267&lt;M194)))-(1-($U$12:$U$267*($M$12:$M$267&lt;M194)))*1E+300))),0)</f>
        <v/>
      </c>
      <c r="W194" s="30">
        <f>IF(U194=1,SUMPRODUCT(MIN(((($N$12:$N$267-N194)*($U$12:$U$267*($M$12:$M$267&gt;M194)))/(($M$12:$M$267-M194)*($U$12:$U$267*($M$12:$M$267&gt;M194))+1-($U$12:$U$267*($M$12:$M$267&gt;M194)))+(1-($U$12:$U$267*($M$12:$M$267&gt;M194)))*1E+300))),0)</f>
        <v/>
      </c>
      <c r="X194" s="10">
        <f>IF(C194=0,0,IF(R194=1,1,IF(AND(U194=1,V194&lt;=W194),1,0)))</f>
        <v/>
      </c>
      <c r="Y194" s="10">
        <f>IF(X194=1,1+SUMPRODUCT($X$12:$X$267*(($M$12:$M$267&lt;M194)+($M$12:$M$267=M194)*($A$12:$A$267&lt;A194))),0)</f>
        <v/>
      </c>
      <c r="Z194" s="10">
        <f>IF(Y194&lt;=1,0,SUMPRODUCT(($Y$12:$Y$267=Y194-1)*$M$12:$M$267))</f>
        <v/>
      </c>
      <c r="AA194" s="10">
        <f>IF(Y194&lt;=1,0,SUMPRODUCT(($Y$12:$Y$267=Y194-1)*$N$12:$N$267))</f>
        <v/>
      </c>
      <c r="AB194" s="21">
        <f>IF(Y194=0,"",(M194-Z194)/10^in_out_dp)</f>
        <v/>
      </c>
      <c r="AC194" s="26">
        <f>IF(Y194=0,"",(N194-AA194)/10^in_cost_dp)</f>
        <v/>
      </c>
      <c r="AD194" s="26">
        <f>IF(Y194=0,"",IF(M194=Z194,0,AC194/AB194))</f>
        <v/>
      </c>
      <c r="AE194" s="26">
        <f>IF(AND(C194=1,M194&gt;0),Q194/P194,"n/a")</f>
        <v/>
      </c>
      <c r="AF194" s="15" t="n">
        <v>0</v>
      </c>
      <c r="AG194" s="6">
        <f>IF(AND(C194=1,AF194=1),1+SUMPRODUCT($C$12:$C$267*$AF$12:$AF$267*(($M$12:$M$267&lt;M194)+($M$12:$M$267=M194)*($N$12:$N$267&lt;N194)+($M$12:$M$267=M194)*($N$12:$N$267=N194)*($A$12:$A$267&lt;A194))),0)</f>
        <v/>
      </c>
    </row>
    <row r="195">
      <c r="A195" s="4" t="n">
        <v>184</v>
      </c>
      <c r="B195" s="4" t="inlineStr">
        <is>
          <t>17F2M + 17B + 2A + 3E + 3F + 19A</t>
        </is>
      </c>
      <c r="C195" s="10">
        <f>IF(SUMPRODUCT(D195:K195,1-$D$5:$K$5)=0,1,0)</f>
        <v/>
      </c>
      <c r="D195" s="4" t="n">
        <v>1</v>
      </c>
      <c r="E195" s="4" t="n">
        <v>0</v>
      </c>
      <c r="F195" s="4" t="n">
        <v>1</v>
      </c>
      <c r="G195" s="4" t="n">
        <v>1</v>
      </c>
      <c r="H195" s="4" t="n">
        <v>0</v>
      </c>
      <c r="I195" s="4" t="n">
        <v>1</v>
      </c>
      <c r="J195" s="4" t="n">
        <v>1</v>
      </c>
      <c r="K195" s="4" t="n">
        <v>1</v>
      </c>
      <c r="L195" s="6">
        <f>IF(C195=1,1+SUMPRODUCT(D195:K195,$D$9:$K$9),"")</f>
        <v/>
      </c>
      <c r="M195" s="6">
        <f>SUMPRODUCT(D195:K195,$D$6:$K$6)</f>
        <v/>
      </c>
      <c r="N195" s="6">
        <f>SUMPRODUCT(D195:K195,$D$7:$K$7)</f>
        <v/>
      </c>
      <c r="O195" s="25">
        <f>SUMPRODUCT(D195:K195,$D$8:$K$8)</f>
        <v/>
      </c>
      <c r="P195" s="21">
        <f>M195/10^in_out_dp</f>
        <v/>
      </c>
      <c r="Q195" s="26">
        <f>N195/10^in_cost_dp</f>
        <v/>
      </c>
      <c r="R195" s="10">
        <f>IF(SUM(D195:K195)=0,1,0)</f>
        <v/>
      </c>
      <c r="S195" s="10">
        <f>SUMPRODUCT($C$12:$C$267*(($M$12:$M$267=M195)*($N$12:$N$267&lt;N195)+($M$12:$M$267&gt;M195)*($N$12:$N$267&lt;=N195)))</f>
        <v/>
      </c>
      <c r="T195" s="10">
        <f>IF(C195=0,0,IF(OR(R195=1,S195=0),1,0))</f>
        <v/>
      </c>
      <c r="U195" s="10">
        <f>IF(AND(T195=1,R195=0,M195&gt;0),1,0)</f>
        <v/>
      </c>
      <c r="V195" s="30">
        <f>IF(U195=1,MAX(N195/M195,SUMPRODUCT(MAX(((N195-$N$12:$N$267)*($U$12:$U$267*($M$12:$M$267&lt;M195)))/((M195-$M$12:$M$267)*($U$12:$U$267*($M$12:$M$267&lt;M195))+1-($U$12:$U$267*($M$12:$M$267&lt;M195)))-(1-($U$12:$U$267*($M$12:$M$267&lt;M195)))*1E+300))),0)</f>
        <v/>
      </c>
      <c r="W195" s="30">
        <f>IF(U195=1,SUMPRODUCT(MIN(((($N$12:$N$267-N195)*($U$12:$U$267*($M$12:$M$267&gt;M195)))/(($M$12:$M$267-M195)*($U$12:$U$267*($M$12:$M$267&gt;M195))+1-($U$12:$U$267*($M$12:$M$267&gt;M195)))+(1-($U$12:$U$267*($M$12:$M$267&gt;M195)))*1E+300))),0)</f>
        <v/>
      </c>
      <c r="X195" s="10">
        <f>IF(C195=0,0,IF(R195=1,1,IF(AND(U195=1,V195&lt;=W195),1,0)))</f>
        <v/>
      </c>
      <c r="Y195" s="10">
        <f>IF(X195=1,1+SUMPRODUCT($X$12:$X$267*(($M$12:$M$267&lt;M195)+($M$12:$M$267=M195)*($A$12:$A$267&lt;A195))),0)</f>
        <v/>
      </c>
      <c r="Z195" s="10">
        <f>IF(Y195&lt;=1,0,SUMPRODUCT(($Y$12:$Y$267=Y195-1)*$M$12:$M$267))</f>
        <v/>
      </c>
      <c r="AA195" s="10">
        <f>IF(Y195&lt;=1,0,SUMPRODUCT(($Y$12:$Y$267=Y195-1)*$N$12:$N$267))</f>
        <v/>
      </c>
      <c r="AB195" s="21">
        <f>IF(Y195=0,"",(M195-Z195)/10^in_out_dp)</f>
        <v/>
      </c>
      <c r="AC195" s="26">
        <f>IF(Y195=0,"",(N195-AA195)/10^in_cost_dp)</f>
        <v/>
      </c>
      <c r="AD195" s="26">
        <f>IF(Y195=0,"",IF(M195=Z195,0,AC195/AB195))</f>
        <v/>
      </c>
      <c r="AE195" s="26">
        <f>IF(AND(C195=1,M195&gt;0),Q195/P195,"n/a")</f>
        <v/>
      </c>
      <c r="AF195" s="15" t="n">
        <v>0</v>
      </c>
      <c r="AG195" s="6">
        <f>IF(AND(C195=1,AF195=1),1+SUMPRODUCT($C$12:$C$267*$AF$12:$AF$267*(($M$12:$M$267&lt;M195)+($M$12:$M$267=M195)*($N$12:$N$267&lt;N195)+($M$12:$M$267=M195)*($N$12:$N$267=N195)*($A$12:$A$267&lt;A195))),0)</f>
        <v/>
      </c>
    </row>
    <row r="196">
      <c r="A196" s="4" t="n">
        <v>185</v>
      </c>
      <c r="B196" s="4" t="inlineStr">
        <is>
          <t>17F2M + 17B + 2A + 2B</t>
        </is>
      </c>
      <c r="C196" s="10">
        <f>IF(SUMPRODUCT(D196:K196,1-$D$5:$K$5)=0,1,0)</f>
        <v/>
      </c>
      <c r="D196" s="4" t="n">
        <v>1</v>
      </c>
      <c r="E196" s="4" t="n">
        <v>0</v>
      </c>
      <c r="F196" s="4" t="n">
        <v>1</v>
      </c>
      <c r="G196" s="4" t="n">
        <v>1</v>
      </c>
      <c r="H196" s="4" t="n">
        <v>1</v>
      </c>
      <c r="I196" s="4" t="n">
        <v>0</v>
      </c>
      <c r="J196" s="4" t="n">
        <v>0</v>
      </c>
      <c r="K196" s="4" t="n">
        <v>0</v>
      </c>
      <c r="L196" s="6">
        <f>IF(C196=1,1+SUMPRODUCT(D196:K196,$D$9:$K$9),"")</f>
        <v/>
      </c>
      <c r="M196" s="6">
        <f>SUMPRODUCT(D196:K196,$D$6:$K$6)</f>
        <v/>
      </c>
      <c r="N196" s="6">
        <f>SUMPRODUCT(D196:K196,$D$7:$K$7)</f>
        <v/>
      </c>
      <c r="O196" s="25">
        <f>SUMPRODUCT(D196:K196,$D$8:$K$8)</f>
        <v/>
      </c>
      <c r="P196" s="21">
        <f>M196/10^in_out_dp</f>
        <v/>
      </c>
      <c r="Q196" s="26">
        <f>N196/10^in_cost_dp</f>
        <v/>
      </c>
      <c r="R196" s="10">
        <f>IF(SUM(D196:K196)=0,1,0)</f>
        <v/>
      </c>
      <c r="S196" s="10">
        <f>SUMPRODUCT($C$12:$C$267*(($M$12:$M$267=M196)*($N$12:$N$267&lt;N196)+($M$12:$M$267&gt;M196)*($N$12:$N$267&lt;=N196)))</f>
        <v/>
      </c>
      <c r="T196" s="10">
        <f>IF(C196=0,0,IF(OR(R196=1,S196=0),1,0))</f>
        <v/>
      </c>
      <c r="U196" s="10">
        <f>IF(AND(T196=1,R196=0,M196&gt;0),1,0)</f>
        <v/>
      </c>
      <c r="V196" s="30">
        <f>IF(U196=1,MAX(N196/M196,SUMPRODUCT(MAX(((N196-$N$12:$N$267)*($U$12:$U$267*($M$12:$M$267&lt;M196)))/((M196-$M$12:$M$267)*($U$12:$U$267*($M$12:$M$267&lt;M196))+1-($U$12:$U$267*($M$12:$M$267&lt;M196)))-(1-($U$12:$U$267*($M$12:$M$267&lt;M196)))*1E+300))),0)</f>
        <v/>
      </c>
      <c r="W196" s="30">
        <f>IF(U196=1,SUMPRODUCT(MIN(((($N$12:$N$267-N196)*($U$12:$U$267*($M$12:$M$267&gt;M196)))/(($M$12:$M$267-M196)*($U$12:$U$267*($M$12:$M$267&gt;M196))+1-($U$12:$U$267*($M$12:$M$267&gt;M196)))+(1-($U$12:$U$267*($M$12:$M$267&gt;M196)))*1E+300))),0)</f>
        <v/>
      </c>
      <c r="X196" s="10">
        <f>IF(C196=0,0,IF(R196=1,1,IF(AND(U196=1,V196&lt;=W196),1,0)))</f>
        <v/>
      </c>
      <c r="Y196" s="10">
        <f>IF(X196=1,1+SUMPRODUCT($X$12:$X$267*(($M$12:$M$267&lt;M196)+($M$12:$M$267=M196)*($A$12:$A$267&lt;A196))),0)</f>
        <v/>
      </c>
      <c r="Z196" s="10">
        <f>IF(Y196&lt;=1,0,SUMPRODUCT(($Y$12:$Y$267=Y196-1)*$M$12:$M$267))</f>
        <v/>
      </c>
      <c r="AA196" s="10">
        <f>IF(Y196&lt;=1,0,SUMPRODUCT(($Y$12:$Y$267=Y196-1)*$N$12:$N$267))</f>
        <v/>
      </c>
      <c r="AB196" s="21">
        <f>IF(Y196=0,"",(M196-Z196)/10^in_out_dp)</f>
        <v/>
      </c>
      <c r="AC196" s="26">
        <f>IF(Y196=0,"",(N196-AA196)/10^in_cost_dp)</f>
        <v/>
      </c>
      <c r="AD196" s="26">
        <f>IF(Y196=0,"",IF(M196=Z196,0,AC196/AB196))</f>
        <v/>
      </c>
      <c r="AE196" s="26">
        <f>IF(AND(C196=1,M196&gt;0),Q196/P196,"n/a")</f>
        <v/>
      </c>
      <c r="AF196" s="15" t="n">
        <v>0</v>
      </c>
      <c r="AG196" s="6">
        <f>IF(AND(C196=1,AF196=1),1+SUMPRODUCT($C$12:$C$267*$AF$12:$AF$267*(($M$12:$M$267&lt;M196)+($M$12:$M$267=M196)*($N$12:$N$267&lt;N196)+($M$12:$M$267=M196)*($N$12:$N$267=N196)*($A$12:$A$267&lt;A196))),0)</f>
        <v/>
      </c>
    </row>
    <row r="197">
      <c r="A197" s="4" t="n">
        <v>186</v>
      </c>
      <c r="B197" s="4" t="inlineStr">
        <is>
          <t>17F2M + 17B + 2A + 2B + 19A</t>
        </is>
      </c>
      <c r="C197" s="10">
        <f>IF(SUMPRODUCT(D197:K197,1-$D$5:$K$5)=0,1,0)</f>
        <v/>
      </c>
      <c r="D197" s="4" t="n">
        <v>1</v>
      </c>
      <c r="E197" s="4" t="n">
        <v>0</v>
      </c>
      <c r="F197" s="4" t="n">
        <v>1</v>
      </c>
      <c r="G197" s="4" t="n">
        <v>1</v>
      </c>
      <c r="H197" s="4" t="n">
        <v>1</v>
      </c>
      <c r="I197" s="4" t="n">
        <v>0</v>
      </c>
      <c r="J197" s="4" t="n">
        <v>0</v>
      </c>
      <c r="K197" s="4" t="n">
        <v>1</v>
      </c>
      <c r="L197" s="6">
        <f>IF(C197=1,1+SUMPRODUCT(D197:K197,$D$9:$K$9),"")</f>
        <v/>
      </c>
      <c r="M197" s="6">
        <f>SUMPRODUCT(D197:K197,$D$6:$K$6)</f>
        <v/>
      </c>
      <c r="N197" s="6">
        <f>SUMPRODUCT(D197:K197,$D$7:$K$7)</f>
        <v/>
      </c>
      <c r="O197" s="25">
        <f>SUMPRODUCT(D197:K197,$D$8:$K$8)</f>
        <v/>
      </c>
      <c r="P197" s="21">
        <f>M197/10^in_out_dp</f>
        <v/>
      </c>
      <c r="Q197" s="26">
        <f>N197/10^in_cost_dp</f>
        <v/>
      </c>
      <c r="R197" s="10">
        <f>IF(SUM(D197:K197)=0,1,0)</f>
        <v/>
      </c>
      <c r="S197" s="10">
        <f>SUMPRODUCT($C$12:$C$267*(($M$12:$M$267=M197)*($N$12:$N$267&lt;N197)+($M$12:$M$267&gt;M197)*($N$12:$N$267&lt;=N197)))</f>
        <v/>
      </c>
      <c r="T197" s="10">
        <f>IF(C197=0,0,IF(OR(R197=1,S197=0),1,0))</f>
        <v/>
      </c>
      <c r="U197" s="10">
        <f>IF(AND(T197=1,R197=0,M197&gt;0),1,0)</f>
        <v/>
      </c>
      <c r="V197" s="30">
        <f>IF(U197=1,MAX(N197/M197,SUMPRODUCT(MAX(((N197-$N$12:$N$267)*($U$12:$U$267*($M$12:$M$267&lt;M197)))/((M197-$M$12:$M$267)*($U$12:$U$267*($M$12:$M$267&lt;M197))+1-($U$12:$U$267*($M$12:$M$267&lt;M197)))-(1-($U$12:$U$267*($M$12:$M$267&lt;M197)))*1E+300))),0)</f>
        <v/>
      </c>
      <c r="W197" s="30">
        <f>IF(U197=1,SUMPRODUCT(MIN(((($N$12:$N$267-N197)*($U$12:$U$267*($M$12:$M$267&gt;M197)))/(($M$12:$M$267-M197)*($U$12:$U$267*($M$12:$M$267&gt;M197))+1-($U$12:$U$267*($M$12:$M$267&gt;M197)))+(1-($U$12:$U$267*($M$12:$M$267&gt;M197)))*1E+300))),0)</f>
        <v/>
      </c>
      <c r="X197" s="10">
        <f>IF(C197=0,0,IF(R197=1,1,IF(AND(U197=1,V197&lt;=W197),1,0)))</f>
        <v/>
      </c>
      <c r="Y197" s="10">
        <f>IF(X197=1,1+SUMPRODUCT($X$12:$X$267*(($M$12:$M$267&lt;M197)+($M$12:$M$267=M197)*($A$12:$A$267&lt;A197))),0)</f>
        <v/>
      </c>
      <c r="Z197" s="10">
        <f>IF(Y197&lt;=1,0,SUMPRODUCT(($Y$12:$Y$267=Y197-1)*$M$12:$M$267))</f>
        <v/>
      </c>
      <c r="AA197" s="10">
        <f>IF(Y197&lt;=1,0,SUMPRODUCT(($Y$12:$Y$267=Y197-1)*$N$12:$N$267))</f>
        <v/>
      </c>
      <c r="AB197" s="21">
        <f>IF(Y197=0,"",(M197-Z197)/10^in_out_dp)</f>
        <v/>
      </c>
      <c r="AC197" s="26">
        <f>IF(Y197=0,"",(N197-AA197)/10^in_cost_dp)</f>
        <v/>
      </c>
      <c r="AD197" s="26">
        <f>IF(Y197=0,"",IF(M197=Z197,0,AC197/AB197))</f>
        <v/>
      </c>
      <c r="AE197" s="26">
        <f>IF(AND(C197=1,M197&gt;0),Q197/P197,"n/a")</f>
        <v/>
      </c>
      <c r="AF197" s="15" t="n">
        <v>0</v>
      </c>
      <c r="AG197" s="6">
        <f>IF(AND(C197=1,AF197=1),1+SUMPRODUCT($C$12:$C$267*$AF$12:$AF$267*(($M$12:$M$267&lt;M197)+($M$12:$M$267=M197)*($N$12:$N$267&lt;N197)+($M$12:$M$267=M197)*($N$12:$N$267=N197)*($A$12:$A$267&lt;A197))),0)</f>
        <v/>
      </c>
    </row>
    <row r="198">
      <c r="A198" s="4" t="n">
        <v>187</v>
      </c>
      <c r="B198" s="4" t="inlineStr">
        <is>
          <t>17F2M + 17B + 2A + 2B + 3F</t>
        </is>
      </c>
      <c r="C198" s="10">
        <f>IF(SUMPRODUCT(D198:K198,1-$D$5:$K$5)=0,1,0)</f>
        <v/>
      </c>
      <c r="D198" s="4" t="n">
        <v>1</v>
      </c>
      <c r="E198" s="4" t="n">
        <v>0</v>
      </c>
      <c r="F198" s="4" t="n">
        <v>1</v>
      </c>
      <c r="G198" s="4" t="n">
        <v>1</v>
      </c>
      <c r="H198" s="4" t="n">
        <v>1</v>
      </c>
      <c r="I198" s="4" t="n">
        <v>0</v>
      </c>
      <c r="J198" s="4" t="n">
        <v>1</v>
      </c>
      <c r="K198" s="4" t="n">
        <v>0</v>
      </c>
      <c r="L198" s="6">
        <f>IF(C198=1,1+SUMPRODUCT(D198:K198,$D$9:$K$9),"")</f>
        <v/>
      </c>
      <c r="M198" s="6">
        <f>SUMPRODUCT(D198:K198,$D$6:$K$6)</f>
        <v/>
      </c>
      <c r="N198" s="6">
        <f>SUMPRODUCT(D198:K198,$D$7:$K$7)</f>
        <v/>
      </c>
      <c r="O198" s="25">
        <f>SUMPRODUCT(D198:K198,$D$8:$K$8)</f>
        <v/>
      </c>
      <c r="P198" s="21">
        <f>M198/10^in_out_dp</f>
        <v/>
      </c>
      <c r="Q198" s="26">
        <f>N198/10^in_cost_dp</f>
        <v/>
      </c>
      <c r="R198" s="10">
        <f>IF(SUM(D198:K198)=0,1,0)</f>
        <v/>
      </c>
      <c r="S198" s="10">
        <f>SUMPRODUCT($C$12:$C$267*(($M$12:$M$267=M198)*($N$12:$N$267&lt;N198)+($M$12:$M$267&gt;M198)*($N$12:$N$267&lt;=N198)))</f>
        <v/>
      </c>
      <c r="T198" s="10">
        <f>IF(C198=0,0,IF(OR(R198=1,S198=0),1,0))</f>
        <v/>
      </c>
      <c r="U198" s="10">
        <f>IF(AND(T198=1,R198=0,M198&gt;0),1,0)</f>
        <v/>
      </c>
      <c r="V198" s="30">
        <f>IF(U198=1,MAX(N198/M198,SUMPRODUCT(MAX(((N198-$N$12:$N$267)*($U$12:$U$267*($M$12:$M$267&lt;M198)))/((M198-$M$12:$M$267)*($U$12:$U$267*($M$12:$M$267&lt;M198))+1-($U$12:$U$267*($M$12:$M$267&lt;M198)))-(1-($U$12:$U$267*($M$12:$M$267&lt;M198)))*1E+300))),0)</f>
        <v/>
      </c>
      <c r="W198" s="30">
        <f>IF(U198=1,SUMPRODUCT(MIN(((($N$12:$N$267-N198)*($U$12:$U$267*($M$12:$M$267&gt;M198)))/(($M$12:$M$267-M198)*($U$12:$U$267*($M$12:$M$267&gt;M198))+1-($U$12:$U$267*($M$12:$M$267&gt;M198)))+(1-($U$12:$U$267*($M$12:$M$267&gt;M198)))*1E+300))),0)</f>
        <v/>
      </c>
      <c r="X198" s="10">
        <f>IF(C198=0,0,IF(R198=1,1,IF(AND(U198=1,V198&lt;=W198),1,0)))</f>
        <v/>
      </c>
      <c r="Y198" s="10">
        <f>IF(X198=1,1+SUMPRODUCT($X$12:$X$267*(($M$12:$M$267&lt;M198)+($M$12:$M$267=M198)*($A$12:$A$267&lt;A198))),0)</f>
        <v/>
      </c>
      <c r="Z198" s="10">
        <f>IF(Y198&lt;=1,0,SUMPRODUCT(($Y$12:$Y$267=Y198-1)*$M$12:$M$267))</f>
        <v/>
      </c>
      <c r="AA198" s="10">
        <f>IF(Y198&lt;=1,0,SUMPRODUCT(($Y$12:$Y$267=Y198-1)*$N$12:$N$267))</f>
        <v/>
      </c>
      <c r="AB198" s="21">
        <f>IF(Y198=0,"",(M198-Z198)/10^in_out_dp)</f>
        <v/>
      </c>
      <c r="AC198" s="26">
        <f>IF(Y198=0,"",(N198-AA198)/10^in_cost_dp)</f>
        <v/>
      </c>
      <c r="AD198" s="26">
        <f>IF(Y198=0,"",IF(M198=Z198,0,AC198/AB198))</f>
        <v/>
      </c>
      <c r="AE198" s="26">
        <f>IF(AND(C198=1,M198&gt;0),Q198/P198,"n/a")</f>
        <v/>
      </c>
      <c r="AF198" s="15" t="n">
        <v>0</v>
      </c>
      <c r="AG198" s="6">
        <f>IF(AND(C198=1,AF198=1),1+SUMPRODUCT($C$12:$C$267*$AF$12:$AF$267*(($M$12:$M$267&lt;M198)+($M$12:$M$267=M198)*($N$12:$N$267&lt;N198)+($M$12:$M$267=M198)*($N$12:$N$267=N198)*($A$12:$A$267&lt;A198))),0)</f>
        <v/>
      </c>
    </row>
    <row r="199">
      <c r="A199" s="4" t="n">
        <v>188</v>
      </c>
      <c r="B199" s="4" t="inlineStr">
        <is>
          <t>17F2M + 17B + 2A + 2B + 3F + 19A</t>
        </is>
      </c>
      <c r="C199" s="10">
        <f>IF(SUMPRODUCT(D199:K199,1-$D$5:$K$5)=0,1,0)</f>
        <v/>
      </c>
      <c r="D199" s="4" t="n">
        <v>1</v>
      </c>
      <c r="E199" s="4" t="n">
        <v>0</v>
      </c>
      <c r="F199" s="4" t="n">
        <v>1</v>
      </c>
      <c r="G199" s="4" t="n">
        <v>1</v>
      </c>
      <c r="H199" s="4" t="n">
        <v>1</v>
      </c>
      <c r="I199" s="4" t="n">
        <v>0</v>
      </c>
      <c r="J199" s="4" t="n">
        <v>1</v>
      </c>
      <c r="K199" s="4" t="n">
        <v>1</v>
      </c>
      <c r="L199" s="6">
        <f>IF(C199=1,1+SUMPRODUCT(D199:K199,$D$9:$K$9),"")</f>
        <v/>
      </c>
      <c r="M199" s="6">
        <f>SUMPRODUCT(D199:K199,$D$6:$K$6)</f>
        <v/>
      </c>
      <c r="N199" s="6">
        <f>SUMPRODUCT(D199:K199,$D$7:$K$7)</f>
        <v/>
      </c>
      <c r="O199" s="25">
        <f>SUMPRODUCT(D199:K199,$D$8:$K$8)</f>
        <v/>
      </c>
      <c r="P199" s="21">
        <f>M199/10^in_out_dp</f>
        <v/>
      </c>
      <c r="Q199" s="26">
        <f>N199/10^in_cost_dp</f>
        <v/>
      </c>
      <c r="R199" s="10">
        <f>IF(SUM(D199:K199)=0,1,0)</f>
        <v/>
      </c>
      <c r="S199" s="10">
        <f>SUMPRODUCT($C$12:$C$267*(($M$12:$M$267=M199)*($N$12:$N$267&lt;N199)+($M$12:$M$267&gt;M199)*($N$12:$N$267&lt;=N199)))</f>
        <v/>
      </c>
      <c r="T199" s="10">
        <f>IF(C199=0,0,IF(OR(R199=1,S199=0),1,0))</f>
        <v/>
      </c>
      <c r="U199" s="10">
        <f>IF(AND(T199=1,R199=0,M199&gt;0),1,0)</f>
        <v/>
      </c>
      <c r="V199" s="30">
        <f>IF(U199=1,MAX(N199/M199,SUMPRODUCT(MAX(((N199-$N$12:$N$267)*($U$12:$U$267*($M$12:$M$267&lt;M199)))/((M199-$M$12:$M$267)*($U$12:$U$267*($M$12:$M$267&lt;M199))+1-($U$12:$U$267*($M$12:$M$267&lt;M199)))-(1-($U$12:$U$267*($M$12:$M$267&lt;M199)))*1E+300))),0)</f>
        <v/>
      </c>
      <c r="W199" s="30">
        <f>IF(U199=1,SUMPRODUCT(MIN(((($N$12:$N$267-N199)*($U$12:$U$267*($M$12:$M$267&gt;M199)))/(($M$12:$M$267-M199)*($U$12:$U$267*($M$12:$M$267&gt;M199))+1-($U$12:$U$267*($M$12:$M$267&gt;M199)))+(1-($U$12:$U$267*($M$12:$M$267&gt;M199)))*1E+300))),0)</f>
        <v/>
      </c>
      <c r="X199" s="10">
        <f>IF(C199=0,0,IF(R199=1,1,IF(AND(U199=1,V199&lt;=W199),1,0)))</f>
        <v/>
      </c>
      <c r="Y199" s="10">
        <f>IF(X199=1,1+SUMPRODUCT($X$12:$X$267*(($M$12:$M$267&lt;M199)+($M$12:$M$267=M199)*($A$12:$A$267&lt;A199))),0)</f>
        <v/>
      </c>
      <c r="Z199" s="10">
        <f>IF(Y199&lt;=1,0,SUMPRODUCT(($Y$12:$Y$267=Y199-1)*$M$12:$M$267))</f>
        <v/>
      </c>
      <c r="AA199" s="10">
        <f>IF(Y199&lt;=1,0,SUMPRODUCT(($Y$12:$Y$267=Y199-1)*$N$12:$N$267))</f>
        <v/>
      </c>
      <c r="AB199" s="21">
        <f>IF(Y199=0,"",(M199-Z199)/10^in_out_dp)</f>
        <v/>
      </c>
      <c r="AC199" s="26">
        <f>IF(Y199=0,"",(N199-AA199)/10^in_cost_dp)</f>
        <v/>
      </c>
      <c r="AD199" s="26">
        <f>IF(Y199=0,"",IF(M199=Z199,0,AC199/AB199))</f>
        <v/>
      </c>
      <c r="AE199" s="26">
        <f>IF(AND(C199=1,M199&gt;0),Q199/P199,"n/a")</f>
        <v/>
      </c>
      <c r="AF199" s="15" t="n">
        <v>0</v>
      </c>
      <c r="AG199" s="6">
        <f>IF(AND(C199=1,AF199=1),1+SUMPRODUCT($C$12:$C$267*$AF$12:$AF$267*(($M$12:$M$267&lt;M199)+($M$12:$M$267=M199)*($N$12:$N$267&lt;N199)+($M$12:$M$267=M199)*($N$12:$N$267=N199)*($A$12:$A$267&lt;A199))),0)</f>
        <v/>
      </c>
    </row>
    <row r="200">
      <c r="A200" s="4" t="n">
        <v>189</v>
      </c>
      <c r="B200" s="4" t="inlineStr">
        <is>
          <t>17F2M + 17B + 2A + 2B + 3E</t>
        </is>
      </c>
      <c r="C200" s="10">
        <f>IF(SUMPRODUCT(D200:K200,1-$D$5:$K$5)=0,1,0)</f>
        <v/>
      </c>
      <c r="D200" s="4" t="n">
        <v>1</v>
      </c>
      <c r="E200" s="4" t="n">
        <v>0</v>
      </c>
      <c r="F200" s="4" t="n">
        <v>1</v>
      </c>
      <c r="G200" s="4" t="n">
        <v>1</v>
      </c>
      <c r="H200" s="4" t="n">
        <v>1</v>
      </c>
      <c r="I200" s="4" t="n">
        <v>1</v>
      </c>
      <c r="J200" s="4" t="n">
        <v>0</v>
      </c>
      <c r="K200" s="4" t="n">
        <v>0</v>
      </c>
      <c r="L200" s="6">
        <f>IF(C200=1,1+SUMPRODUCT(D200:K200,$D$9:$K$9),"")</f>
        <v/>
      </c>
      <c r="M200" s="6">
        <f>SUMPRODUCT(D200:K200,$D$6:$K$6)</f>
        <v/>
      </c>
      <c r="N200" s="6">
        <f>SUMPRODUCT(D200:K200,$D$7:$K$7)</f>
        <v/>
      </c>
      <c r="O200" s="25">
        <f>SUMPRODUCT(D200:K200,$D$8:$K$8)</f>
        <v/>
      </c>
      <c r="P200" s="21">
        <f>M200/10^in_out_dp</f>
        <v/>
      </c>
      <c r="Q200" s="26">
        <f>N200/10^in_cost_dp</f>
        <v/>
      </c>
      <c r="R200" s="10">
        <f>IF(SUM(D200:K200)=0,1,0)</f>
        <v/>
      </c>
      <c r="S200" s="10">
        <f>SUMPRODUCT($C$12:$C$267*(($M$12:$M$267=M200)*($N$12:$N$267&lt;N200)+($M$12:$M$267&gt;M200)*($N$12:$N$267&lt;=N200)))</f>
        <v/>
      </c>
      <c r="T200" s="10">
        <f>IF(C200=0,0,IF(OR(R200=1,S200=0),1,0))</f>
        <v/>
      </c>
      <c r="U200" s="10">
        <f>IF(AND(T200=1,R200=0,M200&gt;0),1,0)</f>
        <v/>
      </c>
      <c r="V200" s="30">
        <f>IF(U200=1,MAX(N200/M200,SUMPRODUCT(MAX(((N200-$N$12:$N$267)*($U$12:$U$267*($M$12:$M$267&lt;M200)))/((M200-$M$12:$M$267)*($U$12:$U$267*($M$12:$M$267&lt;M200))+1-($U$12:$U$267*($M$12:$M$267&lt;M200)))-(1-($U$12:$U$267*($M$12:$M$267&lt;M200)))*1E+300))),0)</f>
        <v/>
      </c>
      <c r="W200" s="30">
        <f>IF(U200=1,SUMPRODUCT(MIN(((($N$12:$N$267-N200)*($U$12:$U$267*($M$12:$M$267&gt;M200)))/(($M$12:$M$267-M200)*($U$12:$U$267*($M$12:$M$267&gt;M200))+1-($U$12:$U$267*($M$12:$M$267&gt;M200)))+(1-($U$12:$U$267*($M$12:$M$267&gt;M200)))*1E+300))),0)</f>
        <v/>
      </c>
      <c r="X200" s="10">
        <f>IF(C200=0,0,IF(R200=1,1,IF(AND(U200=1,V200&lt;=W200),1,0)))</f>
        <v/>
      </c>
      <c r="Y200" s="10">
        <f>IF(X200=1,1+SUMPRODUCT($X$12:$X$267*(($M$12:$M$267&lt;M200)+($M$12:$M$267=M200)*($A$12:$A$267&lt;A200))),0)</f>
        <v/>
      </c>
      <c r="Z200" s="10">
        <f>IF(Y200&lt;=1,0,SUMPRODUCT(($Y$12:$Y$267=Y200-1)*$M$12:$M$267))</f>
        <v/>
      </c>
      <c r="AA200" s="10">
        <f>IF(Y200&lt;=1,0,SUMPRODUCT(($Y$12:$Y$267=Y200-1)*$N$12:$N$267))</f>
        <v/>
      </c>
      <c r="AB200" s="21">
        <f>IF(Y200=0,"",(M200-Z200)/10^in_out_dp)</f>
        <v/>
      </c>
      <c r="AC200" s="26">
        <f>IF(Y200=0,"",(N200-AA200)/10^in_cost_dp)</f>
        <v/>
      </c>
      <c r="AD200" s="26">
        <f>IF(Y200=0,"",IF(M200=Z200,0,AC200/AB200))</f>
        <v/>
      </c>
      <c r="AE200" s="26">
        <f>IF(AND(C200=1,M200&gt;0),Q200/P200,"n/a")</f>
        <v/>
      </c>
      <c r="AF200" s="15" t="n">
        <v>0</v>
      </c>
      <c r="AG200" s="6">
        <f>IF(AND(C200=1,AF200=1),1+SUMPRODUCT($C$12:$C$267*$AF$12:$AF$267*(($M$12:$M$267&lt;M200)+($M$12:$M$267=M200)*($N$12:$N$267&lt;N200)+($M$12:$M$267=M200)*($N$12:$N$267=N200)*($A$12:$A$267&lt;A200))),0)</f>
        <v/>
      </c>
    </row>
    <row r="201">
      <c r="A201" s="4" t="n">
        <v>190</v>
      </c>
      <c r="B201" s="4" t="inlineStr">
        <is>
          <t>17F2M + 17B + 2A + 2B + 3E + 19A</t>
        </is>
      </c>
      <c r="C201" s="10">
        <f>IF(SUMPRODUCT(D201:K201,1-$D$5:$K$5)=0,1,0)</f>
        <v/>
      </c>
      <c r="D201" s="4" t="n">
        <v>1</v>
      </c>
      <c r="E201" s="4" t="n">
        <v>0</v>
      </c>
      <c r="F201" s="4" t="n">
        <v>1</v>
      </c>
      <c r="G201" s="4" t="n">
        <v>1</v>
      </c>
      <c r="H201" s="4" t="n">
        <v>1</v>
      </c>
      <c r="I201" s="4" t="n">
        <v>1</v>
      </c>
      <c r="J201" s="4" t="n">
        <v>0</v>
      </c>
      <c r="K201" s="4" t="n">
        <v>1</v>
      </c>
      <c r="L201" s="6">
        <f>IF(C201=1,1+SUMPRODUCT(D201:K201,$D$9:$K$9),"")</f>
        <v/>
      </c>
      <c r="M201" s="6">
        <f>SUMPRODUCT(D201:K201,$D$6:$K$6)</f>
        <v/>
      </c>
      <c r="N201" s="6">
        <f>SUMPRODUCT(D201:K201,$D$7:$K$7)</f>
        <v/>
      </c>
      <c r="O201" s="25">
        <f>SUMPRODUCT(D201:K201,$D$8:$K$8)</f>
        <v/>
      </c>
      <c r="P201" s="21">
        <f>M201/10^in_out_dp</f>
        <v/>
      </c>
      <c r="Q201" s="26">
        <f>N201/10^in_cost_dp</f>
        <v/>
      </c>
      <c r="R201" s="10">
        <f>IF(SUM(D201:K201)=0,1,0)</f>
        <v/>
      </c>
      <c r="S201" s="10">
        <f>SUMPRODUCT($C$12:$C$267*(($M$12:$M$267=M201)*($N$12:$N$267&lt;N201)+($M$12:$M$267&gt;M201)*($N$12:$N$267&lt;=N201)))</f>
        <v/>
      </c>
      <c r="T201" s="10">
        <f>IF(C201=0,0,IF(OR(R201=1,S201=0),1,0))</f>
        <v/>
      </c>
      <c r="U201" s="10">
        <f>IF(AND(T201=1,R201=0,M201&gt;0),1,0)</f>
        <v/>
      </c>
      <c r="V201" s="30">
        <f>IF(U201=1,MAX(N201/M201,SUMPRODUCT(MAX(((N201-$N$12:$N$267)*($U$12:$U$267*($M$12:$M$267&lt;M201)))/((M201-$M$12:$M$267)*($U$12:$U$267*($M$12:$M$267&lt;M201))+1-($U$12:$U$267*($M$12:$M$267&lt;M201)))-(1-($U$12:$U$267*($M$12:$M$267&lt;M201)))*1E+300))),0)</f>
        <v/>
      </c>
      <c r="W201" s="30">
        <f>IF(U201=1,SUMPRODUCT(MIN(((($N$12:$N$267-N201)*($U$12:$U$267*($M$12:$M$267&gt;M201)))/(($M$12:$M$267-M201)*($U$12:$U$267*($M$12:$M$267&gt;M201))+1-($U$12:$U$267*($M$12:$M$267&gt;M201)))+(1-($U$12:$U$267*($M$12:$M$267&gt;M201)))*1E+300))),0)</f>
        <v/>
      </c>
      <c r="X201" s="10">
        <f>IF(C201=0,0,IF(R201=1,1,IF(AND(U201=1,V201&lt;=W201),1,0)))</f>
        <v/>
      </c>
      <c r="Y201" s="10">
        <f>IF(X201=1,1+SUMPRODUCT($X$12:$X$267*(($M$12:$M$267&lt;M201)+($M$12:$M$267=M201)*($A$12:$A$267&lt;A201))),0)</f>
        <v/>
      </c>
      <c r="Z201" s="10">
        <f>IF(Y201&lt;=1,0,SUMPRODUCT(($Y$12:$Y$267=Y201-1)*$M$12:$M$267))</f>
        <v/>
      </c>
      <c r="AA201" s="10">
        <f>IF(Y201&lt;=1,0,SUMPRODUCT(($Y$12:$Y$267=Y201-1)*$N$12:$N$267))</f>
        <v/>
      </c>
      <c r="AB201" s="21">
        <f>IF(Y201=0,"",(M201-Z201)/10^in_out_dp)</f>
        <v/>
      </c>
      <c r="AC201" s="26">
        <f>IF(Y201=0,"",(N201-AA201)/10^in_cost_dp)</f>
        <v/>
      </c>
      <c r="AD201" s="26">
        <f>IF(Y201=0,"",IF(M201=Z201,0,AC201/AB201))</f>
        <v/>
      </c>
      <c r="AE201" s="26">
        <f>IF(AND(C201=1,M201&gt;0),Q201/P201,"n/a")</f>
        <v/>
      </c>
      <c r="AF201" s="15" t="n">
        <v>0</v>
      </c>
      <c r="AG201" s="6">
        <f>IF(AND(C201=1,AF201=1),1+SUMPRODUCT($C$12:$C$267*$AF$12:$AF$267*(($M$12:$M$267&lt;M201)+($M$12:$M$267=M201)*($N$12:$N$267&lt;N201)+($M$12:$M$267=M201)*($N$12:$N$267=N201)*($A$12:$A$267&lt;A201))),0)</f>
        <v/>
      </c>
    </row>
    <row r="202">
      <c r="A202" s="4" t="n">
        <v>191</v>
      </c>
      <c r="B202" s="4" t="inlineStr">
        <is>
          <t>17F2M + 17B + 2A + 2B + 3E + 3F</t>
        </is>
      </c>
      <c r="C202" s="10">
        <f>IF(SUMPRODUCT(D202:K202,1-$D$5:$K$5)=0,1,0)</f>
        <v/>
      </c>
      <c r="D202" s="4" t="n">
        <v>1</v>
      </c>
      <c r="E202" s="4" t="n">
        <v>0</v>
      </c>
      <c r="F202" s="4" t="n">
        <v>1</v>
      </c>
      <c r="G202" s="4" t="n">
        <v>1</v>
      </c>
      <c r="H202" s="4" t="n">
        <v>1</v>
      </c>
      <c r="I202" s="4" t="n">
        <v>1</v>
      </c>
      <c r="J202" s="4" t="n">
        <v>1</v>
      </c>
      <c r="K202" s="4" t="n">
        <v>0</v>
      </c>
      <c r="L202" s="6">
        <f>IF(C202=1,1+SUMPRODUCT(D202:K202,$D$9:$K$9),"")</f>
        <v/>
      </c>
      <c r="M202" s="6">
        <f>SUMPRODUCT(D202:K202,$D$6:$K$6)</f>
        <v/>
      </c>
      <c r="N202" s="6">
        <f>SUMPRODUCT(D202:K202,$D$7:$K$7)</f>
        <v/>
      </c>
      <c r="O202" s="25">
        <f>SUMPRODUCT(D202:K202,$D$8:$K$8)</f>
        <v/>
      </c>
      <c r="P202" s="21">
        <f>M202/10^in_out_dp</f>
        <v/>
      </c>
      <c r="Q202" s="26">
        <f>N202/10^in_cost_dp</f>
        <v/>
      </c>
      <c r="R202" s="10">
        <f>IF(SUM(D202:K202)=0,1,0)</f>
        <v/>
      </c>
      <c r="S202" s="10">
        <f>SUMPRODUCT($C$12:$C$267*(($M$12:$M$267=M202)*($N$12:$N$267&lt;N202)+($M$12:$M$267&gt;M202)*($N$12:$N$267&lt;=N202)))</f>
        <v/>
      </c>
      <c r="T202" s="10">
        <f>IF(C202=0,0,IF(OR(R202=1,S202=0),1,0))</f>
        <v/>
      </c>
      <c r="U202" s="10">
        <f>IF(AND(T202=1,R202=0,M202&gt;0),1,0)</f>
        <v/>
      </c>
      <c r="V202" s="30">
        <f>IF(U202=1,MAX(N202/M202,SUMPRODUCT(MAX(((N202-$N$12:$N$267)*($U$12:$U$267*($M$12:$M$267&lt;M202)))/((M202-$M$12:$M$267)*($U$12:$U$267*($M$12:$M$267&lt;M202))+1-($U$12:$U$267*($M$12:$M$267&lt;M202)))-(1-($U$12:$U$267*($M$12:$M$267&lt;M202)))*1E+300))),0)</f>
        <v/>
      </c>
      <c r="W202" s="30">
        <f>IF(U202=1,SUMPRODUCT(MIN(((($N$12:$N$267-N202)*($U$12:$U$267*($M$12:$M$267&gt;M202)))/(($M$12:$M$267-M202)*($U$12:$U$267*($M$12:$M$267&gt;M202))+1-($U$12:$U$267*($M$12:$M$267&gt;M202)))+(1-($U$12:$U$267*($M$12:$M$267&gt;M202)))*1E+300))),0)</f>
        <v/>
      </c>
      <c r="X202" s="10">
        <f>IF(C202=0,0,IF(R202=1,1,IF(AND(U202=1,V202&lt;=W202),1,0)))</f>
        <v/>
      </c>
      <c r="Y202" s="10">
        <f>IF(X202=1,1+SUMPRODUCT($X$12:$X$267*(($M$12:$M$267&lt;M202)+($M$12:$M$267=M202)*($A$12:$A$267&lt;A202))),0)</f>
        <v/>
      </c>
      <c r="Z202" s="10">
        <f>IF(Y202&lt;=1,0,SUMPRODUCT(($Y$12:$Y$267=Y202-1)*$M$12:$M$267))</f>
        <v/>
      </c>
      <c r="AA202" s="10">
        <f>IF(Y202&lt;=1,0,SUMPRODUCT(($Y$12:$Y$267=Y202-1)*$N$12:$N$267))</f>
        <v/>
      </c>
      <c r="AB202" s="21">
        <f>IF(Y202=0,"",(M202-Z202)/10^in_out_dp)</f>
        <v/>
      </c>
      <c r="AC202" s="26">
        <f>IF(Y202=0,"",(N202-AA202)/10^in_cost_dp)</f>
        <v/>
      </c>
      <c r="AD202" s="26">
        <f>IF(Y202=0,"",IF(M202=Z202,0,AC202/AB202))</f>
        <v/>
      </c>
      <c r="AE202" s="26">
        <f>IF(AND(C202=1,M202&gt;0),Q202/P202,"n/a")</f>
        <v/>
      </c>
      <c r="AF202" s="15" t="n">
        <v>0</v>
      </c>
      <c r="AG202" s="6">
        <f>IF(AND(C202=1,AF202=1),1+SUMPRODUCT($C$12:$C$267*$AF$12:$AF$267*(($M$12:$M$267&lt;M202)+($M$12:$M$267=M202)*($N$12:$N$267&lt;N202)+($M$12:$M$267=M202)*($N$12:$N$267=N202)*($A$12:$A$267&lt;A202))),0)</f>
        <v/>
      </c>
    </row>
    <row r="203">
      <c r="A203" s="4" t="n">
        <v>192</v>
      </c>
      <c r="B203" s="4" t="inlineStr">
        <is>
          <t>17F2M + 17B + 2A + 2B + 3E + 3F + 19A</t>
        </is>
      </c>
      <c r="C203" s="10">
        <f>IF(SUMPRODUCT(D203:K203,1-$D$5:$K$5)=0,1,0)</f>
        <v/>
      </c>
      <c r="D203" s="4" t="n">
        <v>1</v>
      </c>
      <c r="E203" s="4" t="n">
        <v>0</v>
      </c>
      <c r="F203" s="4" t="n">
        <v>1</v>
      </c>
      <c r="G203" s="4" t="n">
        <v>1</v>
      </c>
      <c r="H203" s="4" t="n">
        <v>1</v>
      </c>
      <c r="I203" s="4" t="n">
        <v>1</v>
      </c>
      <c r="J203" s="4" t="n">
        <v>1</v>
      </c>
      <c r="K203" s="4" t="n">
        <v>1</v>
      </c>
      <c r="L203" s="6">
        <f>IF(C203=1,1+SUMPRODUCT(D203:K203,$D$9:$K$9),"")</f>
        <v/>
      </c>
      <c r="M203" s="6">
        <f>SUMPRODUCT(D203:K203,$D$6:$K$6)</f>
        <v/>
      </c>
      <c r="N203" s="6">
        <f>SUMPRODUCT(D203:K203,$D$7:$K$7)</f>
        <v/>
      </c>
      <c r="O203" s="25">
        <f>SUMPRODUCT(D203:K203,$D$8:$K$8)</f>
        <v/>
      </c>
      <c r="P203" s="21">
        <f>M203/10^in_out_dp</f>
        <v/>
      </c>
      <c r="Q203" s="26">
        <f>N203/10^in_cost_dp</f>
        <v/>
      </c>
      <c r="R203" s="10">
        <f>IF(SUM(D203:K203)=0,1,0)</f>
        <v/>
      </c>
      <c r="S203" s="10">
        <f>SUMPRODUCT($C$12:$C$267*(($M$12:$M$267=M203)*($N$12:$N$267&lt;N203)+($M$12:$M$267&gt;M203)*($N$12:$N$267&lt;=N203)))</f>
        <v/>
      </c>
      <c r="T203" s="10">
        <f>IF(C203=0,0,IF(OR(R203=1,S203=0),1,0))</f>
        <v/>
      </c>
      <c r="U203" s="10">
        <f>IF(AND(T203=1,R203=0,M203&gt;0),1,0)</f>
        <v/>
      </c>
      <c r="V203" s="30">
        <f>IF(U203=1,MAX(N203/M203,SUMPRODUCT(MAX(((N203-$N$12:$N$267)*($U$12:$U$267*($M$12:$M$267&lt;M203)))/((M203-$M$12:$M$267)*($U$12:$U$267*($M$12:$M$267&lt;M203))+1-($U$12:$U$267*($M$12:$M$267&lt;M203)))-(1-($U$12:$U$267*($M$12:$M$267&lt;M203)))*1E+300))),0)</f>
        <v/>
      </c>
      <c r="W203" s="30">
        <f>IF(U203=1,SUMPRODUCT(MIN(((($N$12:$N$267-N203)*($U$12:$U$267*($M$12:$M$267&gt;M203)))/(($M$12:$M$267-M203)*($U$12:$U$267*($M$12:$M$267&gt;M203))+1-($U$12:$U$267*($M$12:$M$267&gt;M203)))+(1-($U$12:$U$267*($M$12:$M$267&gt;M203)))*1E+300))),0)</f>
        <v/>
      </c>
      <c r="X203" s="10">
        <f>IF(C203=0,0,IF(R203=1,1,IF(AND(U203=1,V203&lt;=W203),1,0)))</f>
        <v/>
      </c>
      <c r="Y203" s="10">
        <f>IF(X203=1,1+SUMPRODUCT($X$12:$X$267*(($M$12:$M$267&lt;M203)+($M$12:$M$267=M203)*($A$12:$A$267&lt;A203))),0)</f>
        <v/>
      </c>
      <c r="Z203" s="10">
        <f>IF(Y203&lt;=1,0,SUMPRODUCT(($Y$12:$Y$267=Y203-1)*$M$12:$M$267))</f>
        <v/>
      </c>
      <c r="AA203" s="10">
        <f>IF(Y203&lt;=1,0,SUMPRODUCT(($Y$12:$Y$267=Y203-1)*$N$12:$N$267))</f>
        <v/>
      </c>
      <c r="AB203" s="21">
        <f>IF(Y203=0,"",(M203-Z203)/10^in_out_dp)</f>
        <v/>
      </c>
      <c r="AC203" s="26">
        <f>IF(Y203=0,"",(N203-AA203)/10^in_cost_dp)</f>
        <v/>
      </c>
      <c r="AD203" s="26">
        <f>IF(Y203=0,"",IF(M203=Z203,0,AC203/AB203))</f>
        <v/>
      </c>
      <c r="AE203" s="26">
        <f>IF(AND(C203=1,M203&gt;0),Q203/P203,"n/a")</f>
        <v/>
      </c>
      <c r="AF203" s="15" t="n">
        <v>0</v>
      </c>
      <c r="AG203" s="6">
        <f>IF(AND(C203=1,AF203=1),1+SUMPRODUCT($C$12:$C$267*$AF$12:$AF$267*(($M$12:$M$267&lt;M203)+($M$12:$M$267=M203)*($N$12:$N$267&lt;N203)+($M$12:$M$267=M203)*($N$12:$N$267=N203)*($A$12:$A$267&lt;A203))),0)</f>
        <v/>
      </c>
    </row>
    <row r="204">
      <c r="A204" s="4" t="n">
        <v>193</v>
      </c>
      <c r="B204" s="4" t="inlineStr">
        <is>
          <t>17F2M + 17D2E</t>
        </is>
      </c>
      <c r="C204" s="10">
        <f>IF(SUMPRODUCT(D204:K204,1-$D$5:$K$5)=0,1,0)</f>
        <v/>
      </c>
      <c r="D204" s="4" t="n">
        <v>1</v>
      </c>
      <c r="E204" s="4" t="n">
        <v>1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6">
        <f>IF(C204=1,1+SUMPRODUCT(D204:K204,$D$9:$K$9),"")</f>
        <v/>
      </c>
      <c r="M204" s="6">
        <f>SUMPRODUCT(D204:K204,$D$6:$K$6)</f>
        <v/>
      </c>
      <c r="N204" s="6">
        <f>SUMPRODUCT(D204:K204,$D$7:$K$7)</f>
        <v/>
      </c>
      <c r="O204" s="25">
        <f>SUMPRODUCT(D204:K204,$D$8:$K$8)</f>
        <v/>
      </c>
      <c r="P204" s="21">
        <f>M204/10^in_out_dp</f>
        <v/>
      </c>
      <c r="Q204" s="26">
        <f>N204/10^in_cost_dp</f>
        <v/>
      </c>
      <c r="R204" s="10">
        <f>IF(SUM(D204:K204)=0,1,0)</f>
        <v/>
      </c>
      <c r="S204" s="10">
        <f>SUMPRODUCT($C$12:$C$267*(($M$12:$M$267=M204)*($N$12:$N$267&lt;N204)+($M$12:$M$267&gt;M204)*($N$12:$N$267&lt;=N204)))</f>
        <v/>
      </c>
      <c r="T204" s="10">
        <f>IF(C204=0,0,IF(OR(R204=1,S204=0),1,0))</f>
        <v/>
      </c>
      <c r="U204" s="10">
        <f>IF(AND(T204=1,R204=0,M204&gt;0),1,0)</f>
        <v/>
      </c>
      <c r="V204" s="30">
        <f>IF(U204=1,MAX(N204/M204,SUMPRODUCT(MAX(((N204-$N$12:$N$267)*($U$12:$U$267*($M$12:$M$267&lt;M204)))/((M204-$M$12:$M$267)*($U$12:$U$267*($M$12:$M$267&lt;M204))+1-($U$12:$U$267*($M$12:$M$267&lt;M204)))-(1-($U$12:$U$267*($M$12:$M$267&lt;M204)))*1E+300))),0)</f>
        <v/>
      </c>
      <c r="W204" s="30">
        <f>IF(U204=1,SUMPRODUCT(MIN(((($N$12:$N$267-N204)*($U$12:$U$267*($M$12:$M$267&gt;M204)))/(($M$12:$M$267-M204)*($U$12:$U$267*($M$12:$M$267&gt;M204))+1-($U$12:$U$267*($M$12:$M$267&gt;M204)))+(1-($U$12:$U$267*($M$12:$M$267&gt;M204)))*1E+300))),0)</f>
        <v/>
      </c>
      <c r="X204" s="10">
        <f>IF(C204=0,0,IF(R204=1,1,IF(AND(U204=1,V204&lt;=W204),1,0)))</f>
        <v/>
      </c>
      <c r="Y204" s="10">
        <f>IF(X204=1,1+SUMPRODUCT($X$12:$X$267*(($M$12:$M$267&lt;M204)+($M$12:$M$267=M204)*($A$12:$A$267&lt;A204))),0)</f>
        <v/>
      </c>
      <c r="Z204" s="10">
        <f>IF(Y204&lt;=1,0,SUMPRODUCT(($Y$12:$Y$267=Y204-1)*$M$12:$M$267))</f>
        <v/>
      </c>
      <c r="AA204" s="10">
        <f>IF(Y204&lt;=1,0,SUMPRODUCT(($Y$12:$Y$267=Y204-1)*$N$12:$N$267))</f>
        <v/>
      </c>
      <c r="AB204" s="21">
        <f>IF(Y204=0,"",(M204-Z204)/10^in_out_dp)</f>
        <v/>
      </c>
      <c r="AC204" s="26">
        <f>IF(Y204=0,"",(N204-AA204)/10^in_cost_dp)</f>
        <v/>
      </c>
      <c r="AD204" s="26">
        <f>IF(Y204=0,"",IF(M204=Z204,0,AC204/AB204))</f>
        <v/>
      </c>
      <c r="AE204" s="26">
        <f>IF(AND(C204=1,M204&gt;0),Q204/P204,"n/a")</f>
        <v/>
      </c>
      <c r="AF204" s="15" t="n">
        <v>0</v>
      </c>
      <c r="AG204" s="6">
        <f>IF(AND(C204=1,AF204=1),1+SUMPRODUCT($C$12:$C$267*$AF$12:$AF$267*(($M$12:$M$267&lt;M204)+($M$12:$M$267=M204)*($N$12:$N$267&lt;N204)+($M$12:$M$267=M204)*($N$12:$N$267=N204)*($A$12:$A$267&lt;A204))),0)</f>
        <v/>
      </c>
    </row>
    <row r="205">
      <c r="A205" s="4" t="n">
        <v>194</v>
      </c>
      <c r="B205" s="4" t="inlineStr">
        <is>
          <t>17F2M + 17D2E + 19A</t>
        </is>
      </c>
      <c r="C205" s="10">
        <f>IF(SUMPRODUCT(D205:K205,1-$D$5:$K$5)=0,1,0)</f>
        <v/>
      </c>
      <c r="D205" s="4" t="n">
        <v>1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6">
        <f>IF(C205=1,1+SUMPRODUCT(D205:K205,$D$9:$K$9),"")</f>
        <v/>
      </c>
      <c r="M205" s="6">
        <f>SUMPRODUCT(D205:K205,$D$6:$K$6)</f>
        <v/>
      </c>
      <c r="N205" s="6">
        <f>SUMPRODUCT(D205:K205,$D$7:$K$7)</f>
        <v/>
      </c>
      <c r="O205" s="25">
        <f>SUMPRODUCT(D205:K205,$D$8:$K$8)</f>
        <v/>
      </c>
      <c r="P205" s="21">
        <f>M205/10^in_out_dp</f>
        <v/>
      </c>
      <c r="Q205" s="26">
        <f>N205/10^in_cost_dp</f>
        <v/>
      </c>
      <c r="R205" s="10">
        <f>IF(SUM(D205:K205)=0,1,0)</f>
        <v/>
      </c>
      <c r="S205" s="10">
        <f>SUMPRODUCT($C$12:$C$267*(($M$12:$M$267=M205)*($N$12:$N$267&lt;N205)+($M$12:$M$267&gt;M205)*($N$12:$N$267&lt;=N205)))</f>
        <v/>
      </c>
      <c r="T205" s="10">
        <f>IF(C205=0,0,IF(OR(R205=1,S205=0),1,0))</f>
        <v/>
      </c>
      <c r="U205" s="10">
        <f>IF(AND(T205=1,R205=0,M205&gt;0),1,0)</f>
        <v/>
      </c>
      <c r="V205" s="30">
        <f>IF(U205=1,MAX(N205/M205,SUMPRODUCT(MAX(((N205-$N$12:$N$267)*($U$12:$U$267*($M$12:$M$267&lt;M205)))/((M205-$M$12:$M$267)*($U$12:$U$267*($M$12:$M$267&lt;M205))+1-($U$12:$U$267*($M$12:$M$267&lt;M205)))-(1-($U$12:$U$267*($M$12:$M$267&lt;M205)))*1E+300))),0)</f>
        <v/>
      </c>
      <c r="W205" s="30">
        <f>IF(U205=1,SUMPRODUCT(MIN(((($N$12:$N$267-N205)*($U$12:$U$267*($M$12:$M$267&gt;M205)))/(($M$12:$M$267-M205)*($U$12:$U$267*($M$12:$M$267&gt;M205))+1-($U$12:$U$267*($M$12:$M$267&gt;M205)))+(1-($U$12:$U$267*($M$12:$M$267&gt;M205)))*1E+300))),0)</f>
        <v/>
      </c>
      <c r="X205" s="10">
        <f>IF(C205=0,0,IF(R205=1,1,IF(AND(U205=1,V205&lt;=W205),1,0)))</f>
        <v/>
      </c>
      <c r="Y205" s="10">
        <f>IF(X205=1,1+SUMPRODUCT($X$12:$X$267*(($M$12:$M$267&lt;M205)+($M$12:$M$267=M205)*($A$12:$A$267&lt;A205))),0)</f>
        <v/>
      </c>
      <c r="Z205" s="10">
        <f>IF(Y205&lt;=1,0,SUMPRODUCT(($Y$12:$Y$267=Y205-1)*$M$12:$M$267))</f>
        <v/>
      </c>
      <c r="AA205" s="10">
        <f>IF(Y205&lt;=1,0,SUMPRODUCT(($Y$12:$Y$267=Y205-1)*$N$12:$N$267))</f>
        <v/>
      </c>
      <c r="AB205" s="21">
        <f>IF(Y205=0,"",(M205-Z205)/10^in_out_dp)</f>
        <v/>
      </c>
      <c r="AC205" s="26">
        <f>IF(Y205=0,"",(N205-AA205)/10^in_cost_dp)</f>
        <v/>
      </c>
      <c r="AD205" s="26">
        <f>IF(Y205=0,"",IF(M205=Z205,0,AC205/AB205))</f>
        <v/>
      </c>
      <c r="AE205" s="26">
        <f>IF(AND(C205=1,M205&gt;0),Q205/P205,"n/a")</f>
        <v/>
      </c>
      <c r="AF205" s="15" t="n">
        <v>0</v>
      </c>
      <c r="AG205" s="6">
        <f>IF(AND(C205=1,AF205=1),1+SUMPRODUCT($C$12:$C$267*$AF$12:$AF$267*(($M$12:$M$267&lt;M205)+($M$12:$M$267=M205)*($N$12:$N$267&lt;N205)+($M$12:$M$267=M205)*($N$12:$N$267=N205)*($A$12:$A$267&lt;A205))),0)</f>
        <v/>
      </c>
    </row>
    <row r="206">
      <c r="A206" s="4" t="n">
        <v>195</v>
      </c>
      <c r="B206" s="4" t="inlineStr">
        <is>
          <t>17F2M + 17D2E + 3F</t>
        </is>
      </c>
      <c r="C206" s="10">
        <f>IF(SUMPRODUCT(D206:K206,1-$D$5:$K$5)=0,1,0)</f>
        <v/>
      </c>
      <c r="D206" s="4" t="n">
        <v>1</v>
      </c>
      <c r="E206" s="4" t="n">
        <v>1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1</v>
      </c>
      <c r="K206" s="4" t="n">
        <v>0</v>
      </c>
      <c r="L206" s="6">
        <f>IF(C206=1,1+SUMPRODUCT(D206:K206,$D$9:$K$9),"")</f>
        <v/>
      </c>
      <c r="M206" s="6">
        <f>SUMPRODUCT(D206:K206,$D$6:$K$6)</f>
        <v/>
      </c>
      <c r="N206" s="6">
        <f>SUMPRODUCT(D206:K206,$D$7:$K$7)</f>
        <v/>
      </c>
      <c r="O206" s="25">
        <f>SUMPRODUCT(D206:K206,$D$8:$K$8)</f>
        <v/>
      </c>
      <c r="P206" s="21">
        <f>M206/10^in_out_dp</f>
        <v/>
      </c>
      <c r="Q206" s="26">
        <f>N206/10^in_cost_dp</f>
        <v/>
      </c>
      <c r="R206" s="10">
        <f>IF(SUM(D206:K206)=0,1,0)</f>
        <v/>
      </c>
      <c r="S206" s="10">
        <f>SUMPRODUCT($C$12:$C$267*(($M$12:$M$267=M206)*($N$12:$N$267&lt;N206)+($M$12:$M$267&gt;M206)*($N$12:$N$267&lt;=N206)))</f>
        <v/>
      </c>
      <c r="T206" s="10">
        <f>IF(C206=0,0,IF(OR(R206=1,S206=0),1,0))</f>
        <v/>
      </c>
      <c r="U206" s="10">
        <f>IF(AND(T206=1,R206=0,M206&gt;0),1,0)</f>
        <v/>
      </c>
      <c r="V206" s="30">
        <f>IF(U206=1,MAX(N206/M206,SUMPRODUCT(MAX(((N206-$N$12:$N$267)*($U$12:$U$267*($M$12:$M$267&lt;M206)))/((M206-$M$12:$M$267)*($U$12:$U$267*($M$12:$M$267&lt;M206))+1-($U$12:$U$267*($M$12:$M$267&lt;M206)))-(1-($U$12:$U$267*($M$12:$M$267&lt;M206)))*1E+300))),0)</f>
        <v/>
      </c>
      <c r="W206" s="30">
        <f>IF(U206=1,SUMPRODUCT(MIN(((($N$12:$N$267-N206)*($U$12:$U$267*($M$12:$M$267&gt;M206)))/(($M$12:$M$267-M206)*($U$12:$U$267*($M$12:$M$267&gt;M206))+1-($U$12:$U$267*($M$12:$M$267&gt;M206)))+(1-($U$12:$U$267*($M$12:$M$267&gt;M206)))*1E+300))),0)</f>
        <v/>
      </c>
      <c r="X206" s="10">
        <f>IF(C206=0,0,IF(R206=1,1,IF(AND(U206=1,V206&lt;=W206),1,0)))</f>
        <v/>
      </c>
      <c r="Y206" s="10">
        <f>IF(X206=1,1+SUMPRODUCT($X$12:$X$267*(($M$12:$M$267&lt;M206)+($M$12:$M$267=M206)*($A$12:$A$267&lt;A206))),0)</f>
        <v/>
      </c>
      <c r="Z206" s="10">
        <f>IF(Y206&lt;=1,0,SUMPRODUCT(($Y$12:$Y$267=Y206-1)*$M$12:$M$267))</f>
        <v/>
      </c>
      <c r="AA206" s="10">
        <f>IF(Y206&lt;=1,0,SUMPRODUCT(($Y$12:$Y$267=Y206-1)*$N$12:$N$267))</f>
        <v/>
      </c>
      <c r="AB206" s="21">
        <f>IF(Y206=0,"",(M206-Z206)/10^in_out_dp)</f>
        <v/>
      </c>
      <c r="AC206" s="26">
        <f>IF(Y206=0,"",(N206-AA206)/10^in_cost_dp)</f>
        <v/>
      </c>
      <c r="AD206" s="26">
        <f>IF(Y206=0,"",IF(M206=Z206,0,AC206/AB206))</f>
        <v/>
      </c>
      <c r="AE206" s="26">
        <f>IF(AND(C206=1,M206&gt;0),Q206/P206,"n/a")</f>
        <v/>
      </c>
      <c r="AF206" s="15" t="n">
        <v>0</v>
      </c>
      <c r="AG206" s="6">
        <f>IF(AND(C206=1,AF206=1),1+SUMPRODUCT($C$12:$C$267*$AF$12:$AF$267*(($M$12:$M$267&lt;M206)+($M$12:$M$267=M206)*($N$12:$N$267&lt;N206)+($M$12:$M$267=M206)*($N$12:$N$267=N206)*($A$12:$A$267&lt;A206))),0)</f>
        <v/>
      </c>
    </row>
    <row r="207">
      <c r="A207" s="4" t="n">
        <v>196</v>
      </c>
      <c r="B207" s="4" t="inlineStr">
        <is>
          <t>17F2M + 17D2E + 3F + 19A</t>
        </is>
      </c>
      <c r="C207" s="10">
        <f>IF(SUMPRODUCT(D207:K207,1-$D$5:$K$5)=0,1,0)</f>
        <v/>
      </c>
      <c r="D207" s="4" t="n">
        <v>1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1</v>
      </c>
      <c r="K207" s="4" t="n">
        <v>1</v>
      </c>
      <c r="L207" s="6">
        <f>IF(C207=1,1+SUMPRODUCT(D207:K207,$D$9:$K$9),"")</f>
        <v/>
      </c>
      <c r="M207" s="6">
        <f>SUMPRODUCT(D207:K207,$D$6:$K$6)</f>
        <v/>
      </c>
      <c r="N207" s="6">
        <f>SUMPRODUCT(D207:K207,$D$7:$K$7)</f>
        <v/>
      </c>
      <c r="O207" s="25">
        <f>SUMPRODUCT(D207:K207,$D$8:$K$8)</f>
        <v/>
      </c>
      <c r="P207" s="21">
        <f>M207/10^in_out_dp</f>
        <v/>
      </c>
      <c r="Q207" s="26">
        <f>N207/10^in_cost_dp</f>
        <v/>
      </c>
      <c r="R207" s="10">
        <f>IF(SUM(D207:K207)=0,1,0)</f>
        <v/>
      </c>
      <c r="S207" s="10">
        <f>SUMPRODUCT($C$12:$C$267*(($M$12:$M$267=M207)*($N$12:$N$267&lt;N207)+($M$12:$M$267&gt;M207)*($N$12:$N$267&lt;=N207)))</f>
        <v/>
      </c>
      <c r="T207" s="10">
        <f>IF(C207=0,0,IF(OR(R207=1,S207=0),1,0))</f>
        <v/>
      </c>
      <c r="U207" s="10">
        <f>IF(AND(T207=1,R207=0,M207&gt;0),1,0)</f>
        <v/>
      </c>
      <c r="V207" s="30">
        <f>IF(U207=1,MAX(N207/M207,SUMPRODUCT(MAX(((N207-$N$12:$N$267)*($U$12:$U$267*($M$12:$M$267&lt;M207)))/((M207-$M$12:$M$267)*($U$12:$U$267*($M$12:$M$267&lt;M207))+1-($U$12:$U$267*($M$12:$M$267&lt;M207)))-(1-($U$12:$U$267*($M$12:$M$267&lt;M207)))*1E+300))),0)</f>
        <v/>
      </c>
      <c r="W207" s="30">
        <f>IF(U207=1,SUMPRODUCT(MIN(((($N$12:$N$267-N207)*($U$12:$U$267*($M$12:$M$267&gt;M207)))/(($M$12:$M$267-M207)*($U$12:$U$267*($M$12:$M$267&gt;M207))+1-($U$12:$U$267*($M$12:$M$267&gt;M207)))+(1-($U$12:$U$267*($M$12:$M$267&gt;M207)))*1E+300))),0)</f>
        <v/>
      </c>
      <c r="X207" s="10">
        <f>IF(C207=0,0,IF(R207=1,1,IF(AND(U207=1,V207&lt;=W207),1,0)))</f>
        <v/>
      </c>
      <c r="Y207" s="10">
        <f>IF(X207=1,1+SUMPRODUCT($X$12:$X$267*(($M$12:$M$267&lt;M207)+($M$12:$M$267=M207)*($A$12:$A$267&lt;A207))),0)</f>
        <v/>
      </c>
      <c r="Z207" s="10">
        <f>IF(Y207&lt;=1,0,SUMPRODUCT(($Y$12:$Y$267=Y207-1)*$M$12:$M$267))</f>
        <v/>
      </c>
      <c r="AA207" s="10">
        <f>IF(Y207&lt;=1,0,SUMPRODUCT(($Y$12:$Y$267=Y207-1)*$N$12:$N$267))</f>
        <v/>
      </c>
      <c r="AB207" s="21">
        <f>IF(Y207=0,"",(M207-Z207)/10^in_out_dp)</f>
        <v/>
      </c>
      <c r="AC207" s="26">
        <f>IF(Y207=0,"",(N207-AA207)/10^in_cost_dp)</f>
        <v/>
      </c>
      <c r="AD207" s="26">
        <f>IF(Y207=0,"",IF(M207=Z207,0,AC207/AB207))</f>
        <v/>
      </c>
      <c r="AE207" s="26">
        <f>IF(AND(C207=1,M207&gt;0),Q207/P207,"n/a")</f>
        <v/>
      </c>
      <c r="AF207" s="15" t="n">
        <v>0</v>
      </c>
      <c r="AG207" s="6">
        <f>IF(AND(C207=1,AF207=1),1+SUMPRODUCT($C$12:$C$267*$AF$12:$AF$267*(($M$12:$M$267&lt;M207)+($M$12:$M$267=M207)*($N$12:$N$267&lt;N207)+($M$12:$M$267=M207)*($N$12:$N$267=N207)*($A$12:$A$267&lt;A207))),0)</f>
        <v/>
      </c>
    </row>
    <row r="208">
      <c r="A208" s="4" t="n">
        <v>197</v>
      </c>
      <c r="B208" s="4" t="inlineStr">
        <is>
          <t>17F2M + 17D2E + 3E</t>
        </is>
      </c>
      <c r="C208" s="10">
        <f>IF(SUMPRODUCT(D208:K208,1-$D$5:$K$5)=0,1,0)</f>
        <v/>
      </c>
      <c r="D208" s="4" t="n">
        <v>1</v>
      </c>
      <c r="E208" s="4" t="n">
        <v>1</v>
      </c>
      <c r="F208" s="4" t="n">
        <v>0</v>
      </c>
      <c r="G208" s="4" t="n">
        <v>0</v>
      </c>
      <c r="H208" s="4" t="n">
        <v>0</v>
      </c>
      <c r="I208" s="4" t="n">
        <v>1</v>
      </c>
      <c r="J208" s="4" t="n">
        <v>0</v>
      </c>
      <c r="K208" s="4" t="n">
        <v>0</v>
      </c>
      <c r="L208" s="6">
        <f>IF(C208=1,1+SUMPRODUCT(D208:K208,$D$9:$K$9),"")</f>
        <v/>
      </c>
      <c r="M208" s="6">
        <f>SUMPRODUCT(D208:K208,$D$6:$K$6)</f>
        <v/>
      </c>
      <c r="N208" s="6">
        <f>SUMPRODUCT(D208:K208,$D$7:$K$7)</f>
        <v/>
      </c>
      <c r="O208" s="25">
        <f>SUMPRODUCT(D208:K208,$D$8:$K$8)</f>
        <v/>
      </c>
      <c r="P208" s="21">
        <f>M208/10^in_out_dp</f>
        <v/>
      </c>
      <c r="Q208" s="26">
        <f>N208/10^in_cost_dp</f>
        <v/>
      </c>
      <c r="R208" s="10">
        <f>IF(SUM(D208:K208)=0,1,0)</f>
        <v/>
      </c>
      <c r="S208" s="10">
        <f>SUMPRODUCT($C$12:$C$267*(($M$12:$M$267=M208)*($N$12:$N$267&lt;N208)+($M$12:$M$267&gt;M208)*($N$12:$N$267&lt;=N208)))</f>
        <v/>
      </c>
      <c r="T208" s="10">
        <f>IF(C208=0,0,IF(OR(R208=1,S208=0),1,0))</f>
        <v/>
      </c>
      <c r="U208" s="10">
        <f>IF(AND(T208=1,R208=0,M208&gt;0),1,0)</f>
        <v/>
      </c>
      <c r="V208" s="30">
        <f>IF(U208=1,MAX(N208/M208,SUMPRODUCT(MAX(((N208-$N$12:$N$267)*($U$12:$U$267*($M$12:$M$267&lt;M208)))/((M208-$M$12:$M$267)*($U$12:$U$267*($M$12:$M$267&lt;M208))+1-($U$12:$U$267*($M$12:$M$267&lt;M208)))-(1-($U$12:$U$267*($M$12:$M$267&lt;M208)))*1E+300))),0)</f>
        <v/>
      </c>
      <c r="W208" s="30">
        <f>IF(U208=1,SUMPRODUCT(MIN(((($N$12:$N$267-N208)*($U$12:$U$267*($M$12:$M$267&gt;M208)))/(($M$12:$M$267-M208)*($U$12:$U$267*($M$12:$M$267&gt;M208))+1-($U$12:$U$267*($M$12:$M$267&gt;M208)))+(1-($U$12:$U$267*($M$12:$M$267&gt;M208)))*1E+300))),0)</f>
        <v/>
      </c>
      <c r="X208" s="10">
        <f>IF(C208=0,0,IF(R208=1,1,IF(AND(U208=1,V208&lt;=W208),1,0)))</f>
        <v/>
      </c>
      <c r="Y208" s="10">
        <f>IF(X208=1,1+SUMPRODUCT($X$12:$X$267*(($M$12:$M$267&lt;M208)+($M$12:$M$267=M208)*($A$12:$A$267&lt;A208))),0)</f>
        <v/>
      </c>
      <c r="Z208" s="10">
        <f>IF(Y208&lt;=1,0,SUMPRODUCT(($Y$12:$Y$267=Y208-1)*$M$12:$M$267))</f>
        <v/>
      </c>
      <c r="AA208" s="10">
        <f>IF(Y208&lt;=1,0,SUMPRODUCT(($Y$12:$Y$267=Y208-1)*$N$12:$N$267))</f>
        <v/>
      </c>
      <c r="AB208" s="21">
        <f>IF(Y208=0,"",(M208-Z208)/10^in_out_dp)</f>
        <v/>
      </c>
      <c r="AC208" s="26">
        <f>IF(Y208=0,"",(N208-AA208)/10^in_cost_dp)</f>
        <v/>
      </c>
      <c r="AD208" s="26">
        <f>IF(Y208=0,"",IF(M208=Z208,0,AC208/AB208))</f>
        <v/>
      </c>
      <c r="AE208" s="26">
        <f>IF(AND(C208=1,M208&gt;0),Q208/P208,"n/a")</f>
        <v/>
      </c>
      <c r="AF208" s="15" t="n">
        <v>0</v>
      </c>
      <c r="AG208" s="6">
        <f>IF(AND(C208=1,AF208=1),1+SUMPRODUCT($C$12:$C$267*$AF$12:$AF$267*(($M$12:$M$267&lt;M208)+($M$12:$M$267=M208)*($N$12:$N$267&lt;N208)+($M$12:$M$267=M208)*($N$12:$N$267=N208)*($A$12:$A$267&lt;A208))),0)</f>
        <v/>
      </c>
    </row>
    <row r="209">
      <c r="A209" s="4" t="n">
        <v>198</v>
      </c>
      <c r="B209" s="4" t="inlineStr">
        <is>
          <t>17F2M + 17D2E + 3E + 19A</t>
        </is>
      </c>
      <c r="C209" s="10">
        <f>IF(SUMPRODUCT(D209:K209,1-$D$5:$K$5)=0,1,0)</f>
        <v/>
      </c>
      <c r="D209" s="4" t="n">
        <v>1</v>
      </c>
      <c r="E209" s="4" t="n">
        <v>1</v>
      </c>
      <c r="F209" s="4" t="n">
        <v>0</v>
      </c>
      <c r="G209" s="4" t="n">
        <v>0</v>
      </c>
      <c r="H209" s="4" t="n">
        <v>0</v>
      </c>
      <c r="I209" s="4" t="n">
        <v>1</v>
      </c>
      <c r="J209" s="4" t="n">
        <v>0</v>
      </c>
      <c r="K209" s="4" t="n">
        <v>1</v>
      </c>
      <c r="L209" s="6">
        <f>IF(C209=1,1+SUMPRODUCT(D209:K209,$D$9:$K$9),"")</f>
        <v/>
      </c>
      <c r="M209" s="6">
        <f>SUMPRODUCT(D209:K209,$D$6:$K$6)</f>
        <v/>
      </c>
      <c r="N209" s="6">
        <f>SUMPRODUCT(D209:K209,$D$7:$K$7)</f>
        <v/>
      </c>
      <c r="O209" s="25">
        <f>SUMPRODUCT(D209:K209,$D$8:$K$8)</f>
        <v/>
      </c>
      <c r="P209" s="21">
        <f>M209/10^in_out_dp</f>
        <v/>
      </c>
      <c r="Q209" s="26">
        <f>N209/10^in_cost_dp</f>
        <v/>
      </c>
      <c r="R209" s="10">
        <f>IF(SUM(D209:K209)=0,1,0)</f>
        <v/>
      </c>
      <c r="S209" s="10">
        <f>SUMPRODUCT($C$12:$C$267*(($M$12:$M$267=M209)*($N$12:$N$267&lt;N209)+($M$12:$M$267&gt;M209)*($N$12:$N$267&lt;=N209)))</f>
        <v/>
      </c>
      <c r="T209" s="10">
        <f>IF(C209=0,0,IF(OR(R209=1,S209=0),1,0))</f>
        <v/>
      </c>
      <c r="U209" s="10">
        <f>IF(AND(T209=1,R209=0,M209&gt;0),1,0)</f>
        <v/>
      </c>
      <c r="V209" s="30">
        <f>IF(U209=1,MAX(N209/M209,SUMPRODUCT(MAX(((N209-$N$12:$N$267)*($U$12:$U$267*($M$12:$M$267&lt;M209)))/((M209-$M$12:$M$267)*($U$12:$U$267*($M$12:$M$267&lt;M209))+1-($U$12:$U$267*($M$12:$M$267&lt;M209)))-(1-($U$12:$U$267*($M$12:$M$267&lt;M209)))*1E+300))),0)</f>
        <v/>
      </c>
      <c r="W209" s="30">
        <f>IF(U209=1,SUMPRODUCT(MIN(((($N$12:$N$267-N209)*($U$12:$U$267*($M$12:$M$267&gt;M209)))/(($M$12:$M$267-M209)*($U$12:$U$267*($M$12:$M$267&gt;M209))+1-($U$12:$U$267*($M$12:$M$267&gt;M209)))+(1-($U$12:$U$267*($M$12:$M$267&gt;M209)))*1E+300))),0)</f>
        <v/>
      </c>
      <c r="X209" s="10">
        <f>IF(C209=0,0,IF(R209=1,1,IF(AND(U209=1,V209&lt;=W209),1,0)))</f>
        <v/>
      </c>
      <c r="Y209" s="10">
        <f>IF(X209=1,1+SUMPRODUCT($X$12:$X$267*(($M$12:$M$267&lt;M209)+($M$12:$M$267=M209)*($A$12:$A$267&lt;A209))),0)</f>
        <v/>
      </c>
      <c r="Z209" s="10">
        <f>IF(Y209&lt;=1,0,SUMPRODUCT(($Y$12:$Y$267=Y209-1)*$M$12:$M$267))</f>
        <v/>
      </c>
      <c r="AA209" s="10">
        <f>IF(Y209&lt;=1,0,SUMPRODUCT(($Y$12:$Y$267=Y209-1)*$N$12:$N$267))</f>
        <v/>
      </c>
      <c r="AB209" s="21">
        <f>IF(Y209=0,"",(M209-Z209)/10^in_out_dp)</f>
        <v/>
      </c>
      <c r="AC209" s="26">
        <f>IF(Y209=0,"",(N209-AA209)/10^in_cost_dp)</f>
        <v/>
      </c>
      <c r="AD209" s="26">
        <f>IF(Y209=0,"",IF(M209=Z209,0,AC209/AB209))</f>
        <v/>
      </c>
      <c r="AE209" s="26">
        <f>IF(AND(C209=1,M209&gt;0),Q209/P209,"n/a")</f>
        <v/>
      </c>
      <c r="AF209" s="15" t="n">
        <v>0</v>
      </c>
      <c r="AG209" s="6">
        <f>IF(AND(C209=1,AF209=1),1+SUMPRODUCT($C$12:$C$267*$AF$12:$AF$267*(($M$12:$M$267&lt;M209)+($M$12:$M$267=M209)*($N$12:$N$267&lt;N209)+($M$12:$M$267=M209)*($N$12:$N$267=N209)*($A$12:$A$267&lt;A209))),0)</f>
        <v/>
      </c>
    </row>
    <row r="210">
      <c r="A210" s="4" t="n">
        <v>199</v>
      </c>
      <c r="B210" s="4" t="inlineStr">
        <is>
          <t>17F2M + 17D2E + 3E + 3F</t>
        </is>
      </c>
      <c r="C210" s="10">
        <f>IF(SUMPRODUCT(D210:K210,1-$D$5:$K$5)=0,1,0)</f>
        <v/>
      </c>
      <c r="D210" s="4" t="n">
        <v>1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1</v>
      </c>
      <c r="K210" s="4" t="n">
        <v>0</v>
      </c>
      <c r="L210" s="6">
        <f>IF(C210=1,1+SUMPRODUCT(D210:K210,$D$9:$K$9),"")</f>
        <v/>
      </c>
      <c r="M210" s="6">
        <f>SUMPRODUCT(D210:K210,$D$6:$K$6)</f>
        <v/>
      </c>
      <c r="N210" s="6">
        <f>SUMPRODUCT(D210:K210,$D$7:$K$7)</f>
        <v/>
      </c>
      <c r="O210" s="25">
        <f>SUMPRODUCT(D210:K210,$D$8:$K$8)</f>
        <v/>
      </c>
      <c r="P210" s="21">
        <f>M210/10^in_out_dp</f>
        <v/>
      </c>
      <c r="Q210" s="26">
        <f>N210/10^in_cost_dp</f>
        <v/>
      </c>
      <c r="R210" s="10">
        <f>IF(SUM(D210:K210)=0,1,0)</f>
        <v/>
      </c>
      <c r="S210" s="10">
        <f>SUMPRODUCT($C$12:$C$267*(($M$12:$M$267=M210)*($N$12:$N$267&lt;N210)+($M$12:$M$267&gt;M210)*($N$12:$N$267&lt;=N210)))</f>
        <v/>
      </c>
      <c r="T210" s="10">
        <f>IF(C210=0,0,IF(OR(R210=1,S210=0),1,0))</f>
        <v/>
      </c>
      <c r="U210" s="10">
        <f>IF(AND(T210=1,R210=0,M210&gt;0),1,0)</f>
        <v/>
      </c>
      <c r="V210" s="30">
        <f>IF(U210=1,MAX(N210/M210,SUMPRODUCT(MAX(((N210-$N$12:$N$267)*($U$12:$U$267*($M$12:$M$267&lt;M210)))/((M210-$M$12:$M$267)*($U$12:$U$267*($M$12:$M$267&lt;M210))+1-($U$12:$U$267*($M$12:$M$267&lt;M210)))-(1-($U$12:$U$267*($M$12:$M$267&lt;M210)))*1E+300))),0)</f>
        <v/>
      </c>
      <c r="W210" s="30">
        <f>IF(U210=1,SUMPRODUCT(MIN(((($N$12:$N$267-N210)*($U$12:$U$267*($M$12:$M$267&gt;M210)))/(($M$12:$M$267-M210)*($U$12:$U$267*($M$12:$M$267&gt;M210))+1-($U$12:$U$267*($M$12:$M$267&gt;M210)))+(1-($U$12:$U$267*($M$12:$M$267&gt;M210)))*1E+300))),0)</f>
        <v/>
      </c>
      <c r="X210" s="10">
        <f>IF(C210=0,0,IF(R210=1,1,IF(AND(U210=1,V210&lt;=W210),1,0)))</f>
        <v/>
      </c>
      <c r="Y210" s="10">
        <f>IF(X210=1,1+SUMPRODUCT($X$12:$X$267*(($M$12:$M$267&lt;M210)+($M$12:$M$267=M210)*($A$12:$A$267&lt;A210))),0)</f>
        <v/>
      </c>
      <c r="Z210" s="10">
        <f>IF(Y210&lt;=1,0,SUMPRODUCT(($Y$12:$Y$267=Y210-1)*$M$12:$M$267))</f>
        <v/>
      </c>
      <c r="AA210" s="10">
        <f>IF(Y210&lt;=1,0,SUMPRODUCT(($Y$12:$Y$267=Y210-1)*$N$12:$N$267))</f>
        <v/>
      </c>
      <c r="AB210" s="21">
        <f>IF(Y210=0,"",(M210-Z210)/10^in_out_dp)</f>
        <v/>
      </c>
      <c r="AC210" s="26">
        <f>IF(Y210=0,"",(N210-AA210)/10^in_cost_dp)</f>
        <v/>
      </c>
      <c r="AD210" s="26">
        <f>IF(Y210=0,"",IF(M210=Z210,0,AC210/AB210))</f>
        <v/>
      </c>
      <c r="AE210" s="26">
        <f>IF(AND(C210=1,M210&gt;0),Q210/P210,"n/a")</f>
        <v/>
      </c>
      <c r="AF210" s="15" t="n">
        <v>0</v>
      </c>
      <c r="AG210" s="6">
        <f>IF(AND(C210=1,AF210=1),1+SUMPRODUCT($C$12:$C$267*$AF$12:$AF$267*(($M$12:$M$267&lt;M210)+($M$12:$M$267=M210)*($N$12:$N$267&lt;N210)+($M$12:$M$267=M210)*($N$12:$N$267=N210)*($A$12:$A$267&lt;A210))),0)</f>
        <v/>
      </c>
    </row>
    <row r="211">
      <c r="A211" s="4" t="n">
        <v>200</v>
      </c>
      <c r="B211" s="4" t="inlineStr">
        <is>
          <t>17F2M + 17D2E + 3E + 3F + 19A</t>
        </is>
      </c>
      <c r="C211" s="10">
        <f>IF(SUMPRODUCT(D211:K211,1-$D$5:$K$5)=0,1,0)</f>
        <v/>
      </c>
      <c r="D211" s="4" t="n">
        <v>1</v>
      </c>
      <c r="E211" s="4" t="n">
        <v>1</v>
      </c>
      <c r="F211" s="4" t="n">
        <v>0</v>
      </c>
      <c r="G211" s="4" t="n">
        <v>0</v>
      </c>
      <c r="H211" s="4" t="n">
        <v>0</v>
      </c>
      <c r="I211" s="4" t="n">
        <v>1</v>
      </c>
      <c r="J211" s="4" t="n">
        <v>1</v>
      </c>
      <c r="K211" s="4" t="n">
        <v>1</v>
      </c>
      <c r="L211" s="6">
        <f>IF(C211=1,1+SUMPRODUCT(D211:K211,$D$9:$K$9),"")</f>
        <v/>
      </c>
      <c r="M211" s="6">
        <f>SUMPRODUCT(D211:K211,$D$6:$K$6)</f>
        <v/>
      </c>
      <c r="N211" s="6">
        <f>SUMPRODUCT(D211:K211,$D$7:$K$7)</f>
        <v/>
      </c>
      <c r="O211" s="25">
        <f>SUMPRODUCT(D211:K211,$D$8:$K$8)</f>
        <v/>
      </c>
      <c r="P211" s="21">
        <f>M211/10^in_out_dp</f>
        <v/>
      </c>
      <c r="Q211" s="26">
        <f>N211/10^in_cost_dp</f>
        <v/>
      </c>
      <c r="R211" s="10">
        <f>IF(SUM(D211:K211)=0,1,0)</f>
        <v/>
      </c>
      <c r="S211" s="10">
        <f>SUMPRODUCT($C$12:$C$267*(($M$12:$M$267=M211)*($N$12:$N$267&lt;N211)+($M$12:$M$267&gt;M211)*($N$12:$N$267&lt;=N211)))</f>
        <v/>
      </c>
      <c r="T211" s="10">
        <f>IF(C211=0,0,IF(OR(R211=1,S211=0),1,0))</f>
        <v/>
      </c>
      <c r="U211" s="10">
        <f>IF(AND(T211=1,R211=0,M211&gt;0),1,0)</f>
        <v/>
      </c>
      <c r="V211" s="30">
        <f>IF(U211=1,MAX(N211/M211,SUMPRODUCT(MAX(((N211-$N$12:$N$267)*($U$12:$U$267*($M$12:$M$267&lt;M211)))/((M211-$M$12:$M$267)*($U$12:$U$267*($M$12:$M$267&lt;M211))+1-($U$12:$U$267*($M$12:$M$267&lt;M211)))-(1-($U$12:$U$267*($M$12:$M$267&lt;M211)))*1E+300))),0)</f>
        <v/>
      </c>
      <c r="W211" s="30">
        <f>IF(U211=1,SUMPRODUCT(MIN(((($N$12:$N$267-N211)*($U$12:$U$267*($M$12:$M$267&gt;M211)))/(($M$12:$M$267-M211)*($U$12:$U$267*($M$12:$M$267&gt;M211))+1-($U$12:$U$267*($M$12:$M$267&gt;M211)))+(1-($U$12:$U$267*($M$12:$M$267&gt;M211)))*1E+300))),0)</f>
        <v/>
      </c>
      <c r="X211" s="10">
        <f>IF(C211=0,0,IF(R211=1,1,IF(AND(U211=1,V211&lt;=W211),1,0)))</f>
        <v/>
      </c>
      <c r="Y211" s="10">
        <f>IF(X211=1,1+SUMPRODUCT($X$12:$X$267*(($M$12:$M$267&lt;M211)+($M$12:$M$267=M211)*($A$12:$A$267&lt;A211))),0)</f>
        <v/>
      </c>
      <c r="Z211" s="10">
        <f>IF(Y211&lt;=1,0,SUMPRODUCT(($Y$12:$Y$267=Y211-1)*$M$12:$M$267))</f>
        <v/>
      </c>
      <c r="AA211" s="10">
        <f>IF(Y211&lt;=1,0,SUMPRODUCT(($Y$12:$Y$267=Y211-1)*$N$12:$N$267))</f>
        <v/>
      </c>
      <c r="AB211" s="21">
        <f>IF(Y211=0,"",(M211-Z211)/10^in_out_dp)</f>
        <v/>
      </c>
      <c r="AC211" s="26">
        <f>IF(Y211=0,"",(N211-AA211)/10^in_cost_dp)</f>
        <v/>
      </c>
      <c r="AD211" s="26">
        <f>IF(Y211=0,"",IF(M211=Z211,0,AC211/AB211))</f>
        <v/>
      </c>
      <c r="AE211" s="26">
        <f>IF(AND(C211=1,M211&gt;0),Q211/P211,"n/a")</f>
        <v/>
      </c>
      <c r="AF211" s="15" t="n">
        <v>0</v>
      </c>
      <c r="AG211" s="6">
        <f>IF(AND(C211=1,AF211=1),1+SUMPRODUCT($C$12:$C$267*$AF$12:$AF$267*(($M$12:$M$267&lt;M211)+($M$12:$M$267=M211)*($N$12:$N$267&lt;N211)+($M$12:$M$267=M211)*($N$12:$N$267=N211)*($A$12:$A$267&lt;A211))),0)</f>
        <v/>
      </c>
    </row>
    <row r="212">
      <c r="A212" s="4" t="n">
        <v>201</v>
      </c>
      <c r="B212" s="4" t="inlineStr">
        <is>
          <t>17F2M + 17D2E + 2B</t>
        </is>
      </c>
      <c r="C212" s="10">
        <f>IF(SUMPRODUCT(D212:K212,1-$D$5:$K$5)=0,1,0)</f>
        <v/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6">
        <f>IF(C212=1,1+SUMPRODUCT(D212:K212,$D$9:$K$9),"")</f>
        <v/>
      </c>
      <c r="M212" s="6">
        <f>SUMPRODUCT(D212:K212,$D$6:$K$6)</f>
        <v/>
      </c>
      <c r="N212" s="6">
        <f>SUMPRODUCT(D212:K212,$D$7:$K$7)</f>
        <v/>
      </c>
      <c r="O212" s="25">
        <f>SUMPRODUCT(D212:K212,$D$8:$K$8)</f>
        <v/>
      </c>
      <c r="P212" s="21">
        <f>M212/10^in_out_dp</f>
        <v/>
      </c>
      <c r="Q212" s="26">
        <f>N212/10^in_cost_dp</f>
        <v/>
      </c>
      <c r="R212" s="10">
        <f>IF(SUM(D212:K212)=0,1,0)</f>
        <v/>
      </c>
      <c r="S212" s="10">
        <f>SUMPRODUCT($C$12:$C$267*(($M$12:$M$267=M212)*($N$12:$N$267&lt;N212)+($M$12:$M$267&gt;M212)*($N$12:$N$267&lt;=N212)))</f>
        <v/>
      </c>
      <c r="T212" s="10">
        <f>IF(C212=0,0,IF(OR(R212=1,S212=0),1,0))</f>
        <v/>
      </c>
      <c r="U212" s="10">
        <f>IF(AND(T212=1,R212=0,M212&gt;0),1,0)</f>
        <v/>
      </c>
      <c r="V212" s="30">
        <f>IF(U212=1,MAX(N212/M212,SUMPRODUCT(MAX(((N212-$N$12:$N$267)*($U$12:$U$267*($M$12:$M$267&lt;M212)))/((M212-$M$12:$M$267)*($U$12:$U$267*($M$12:$M$267&lt;M212))+1-($U$12:$U$267*($M$12:$M$267&lt;M212)))-(1-($U$12:$U$267*($M$12:$M$267&lt;M212)))*1E+300))),0)</f>
        <v/>
      </c>
      <c r="W212" s="30">
        <f>IF(U212=1,SUMPRODUCT(MIN(((($N$12:$N$267-N212)*($U$12:$U$267*($M$12:$M$267&gt;M212)))/(($M$12:$M$267-M212)*($U$12:$U$267*($M$12:$M$267&gt;M212))+1-($U$12:$U$267*($M$12:$M$267&gt;M212)))+(1-($U$12:$U$267*($M$12:$M$267&gt;M212)))*1E+300))),0)</f>
        <v/>
      </c>
      <c r="X212" s="10">
        <f>IF(C212=0,0,IF(R212=1,1,IF(AND(U212=1,V212&lt;=W212),1,0)))</f>
        <v/>
      </c>
      <c r="Y212" s="10">
        <f>IF(X212=1,1+SUMPRODUCT($X$12:$X$267*(($M$12:$M$267&lt;M212)+($M$12:$M$267=M212)*($A$12:$A$267&lt;A212))),0)</f>
        <v/>
      </c>
      <c r="Z212" s="10">
        <f>IF(Y212&lt;=1,0,SUMPRODUCT(($Y$12:$Y$267=Y212-1)*$M$12:$M$267))</f>
        <v/>
      </c>
      <c r="AA212" s="10">
        <f>IF(Y212&lt;=1,0,SUMPRODUCT(($Y$12:$Y$267=Y212-1)*$N$12:$N$267))</f>
        <v/>
      </c>
      <c r="AB212" s="21">
        <f>IF(Y212=0,"",(M212-Z212)/10^in_out_dp)</f>
        <v/>
      </c>
      <c r="AC212" s="26">
        <f>IF(Y212=0,"",(N212-AA212)/10^in_cost_dp)</f>
        <v/>
      </c>
      <c r="AD212" s="26">
        <f>IF(Y212=0,"",IF(M212=Z212,0,AC212/AB212))</f>
        <v/>
      </c>
      <c r="AE212" s="26">
        <f>IF(AND(C212=1,M212&gt;0),Q212/P212,"n/a")</f>
        <v/>
      </c>
      <c r="AF212" s="15" t="n">
        <v>0</v>
      </c>
      <c r="AG212" s="6">
        <f>IF(AND(C212=1,AF212=1),1+SUMPRODUCT($C$12:$C$267*$AF$12:$AF$267*(($M$12:$M$267&lt;M212)+($M$12:$M$267=M212)*($N$12:$N$267&lt;N212)+($M$12:$M$267=M212)*($N$12:$N$267=N212)*($A$12:$A$267&lt;A212))),0)</f>
        <v/>
      </c>
    </row>
    <row r="213">
      <c r="A213" s="4" t="n">
        <v>202</v>
      </c>
      <c r="B213" s="4" t="inlineStr">
        <is>
          <t>17F2M + 17D2E + 2B + 19A</t>
        </is>
      </c>
      <c r="C213" s="10">
        <f>IF(SUMPRODUCT(D213:K213,1-$D$5:$K$5)=0,1,0)</f>
        <v/>
      </c>
      <c r="D213" s="4" t="n">
        <v>1</v>
      </c>
      <c r="E213" s="4" t="n">
        <v>1</v>
      </c>
      <c r="F213" s="4" t="n">
        <v>0</v>
      </c>
      <c r="G213" s="4" t="n">
        <v>0</v>
      </c>
      <c r="H213" s="4" t="n">
        <v>1</v>
      </c>
      <c r="I213" s="4" t="n">
        <v>0</v>
      </c>
      <c r="J213" s="4" t="n">
        <v>0</v>
      </c>
      <c r="K213" s="4" t="n">
        <v>1</v>
      </c>
      <c r="L213" s="6">
        <f>IF(C213=1,1+SUMPRODUCT(D213:K213,$D$9:$K$9),"")</f>
        <v/>
      </c>
      <c r="M213" s="6">
        <f>SUMPRODUCT(D213:K213,$D$6:$K$6)</f>
        <v/>
      </c>
      <c r="N213" s="6">
        <f>SUMPRODUCT(D213:K213,$D$7:$K$7)</f>
        <v/>
      </c>
      <c r="O213" s="25">
        <f>SUMPRODUCT(D213:K213,$D$8:$K$8)</f>
        <v/>
      </c>
      <c r="P213" s="21">
        <f>M213/10^in_out_dp</f>
        <v/>
      </c>
      <c r="Q213" s="26">
        <f>N213/10^in_cost_dp</f>
        <v/>
      </c>
      <c r="R213" s="10">
        <f>IF(SUM(D213:K213)=0,1,0)</f>
        <v/>
      </c>
      <c r="S213" s="10">
        <f>SUMPRODUCT($C$12:$C$267*(($M$12:$M$267=M213)*($N$12:$N$267&lt;N213)+($M$12:$M$267&gt;M213)*($N$12:$N$267&lt;=N213)))</f>
        <v/>
      </c>
      <c r="T213" s="10">
        <f>IF(C213=0,0,IF(OR(R213=1,S213=0),1,0))</f>
        <v/>
      </c>
      <c r="U213" s="10">
        <f>IF(AND(T213=1,R213=0,M213&gt;0),1,0)</f>
        <v/>
      </c>
      <c r="V213" s="30">
        <f>IF(U213=1,MAX(N213/M213,SUMPRODUCT(MAX(((N213-$N$12:$N$267)*($U$12:$U$267*($M$12:$M$267&lt;M213)))/((M213-$M$12:$M$267)*($U$12:$U$267*($M$12:$M$267&lt;M213))+1-($U$12:$U$267*($M$12:$M$267&lt;M213)))-(1-($U$12:$U$267*($M$12:$M$267&lt;M213)))*1E+300))),0)</f>
        <v/>
      </c>
      <c r="W213" s="30">
        <f>IF(U213=1,SUMPRODUCT(MIN(((($N$12:$N$267-N213)*($U$12:$U$267*($M$12:$M$267&gt;M213)))/(($M$12:$M$267-M213)*($U$12:$U$267*($M$12:$M$267&gt;M213))+1-($U$12:$U$267*($M$12:$M$267&gt;M213)))+(1-($U$12:$U$267*($M$12:$M$267&gt;M213)))*1E+300))),0)</f>
        <v/>
      </c>
      <c r="X213" s="10">
        <f>IF(C213=0,0,IF(R213=1,1,IF(AND(U213=1,V213&lt;=W213),1,0)))</f>
        <v/>
      </c>
      <c r="Y213" s="10">
        <f>IF(X213=1,1+SUMPRODUCT($X$12:$X$267*(($M$12:$M$267&lt;M213)+($M$12:$M$267=M213)*($A$12:$A$267&lt;A213))),0)</f>
        <v/>
      </c>
      <c r="Z213" s="10">
        <f>IF(Y213&lt;=1,0,SUMPRODUCT(($Y$12:$Y$267=Y213-1)*$M$12:$M$267))</f>
        <v/>
      </c>
      <c r="AA213" s="10">
        <f>IF(Y213&lt;=1,0,SUMPRODUCT(($Y$12:$Y$267=Y213-1)*$N$12:$N$267))</f>
        <v/>
      </c>
      <c r="AB213" s="21">
        <f>IF(Y213=0,"",(M213-Z213)/10^in_out_dp)</f>
        <v/>
      </c>
      <c r="AC213" s="26">
        <f>IF(Y213=0,"",(N213-AA213)/10^in_cost_dp)</f>
        <v/>
      </c>
      <c r="AD213" s="26">
        <f>IF(Y213=0,"",IF(M213=Z213,0,AC213/AB213))</f>
        <v/>
      </c>
      <c r="AE213" s="26">
        <f>IF(AND(C213=1,M213&gt;0),Q213/P213,"n/a")</f>
        <v/>
      </c>
      <c r="AF213" s="15" t="n">
        <v>0</v>
      </c>
      <c r="AG213" s="6">
        <f>IF(AND(C213=1,AF213=1),1+SUMPRODUCT($C$12:$C$267*$AF$12:$AF$267*(($M$12:$M$267&lt;M213)+($M$12:$M$267=M213)*($N$12:$N$267&lt;N213)+($M$12:$M$267=M213)*($N$12:$N$267=N213)*($A$12:$A$267&lt;A213))),0)</f>
        <v/>
      </c>
    </row>
    <row r="214">
      <c r="A214" s="4" t="n">
        <v>203</v>
      </c>
      <c r="B214" s="4" t="inlineStr">
        <is>
          <t>17F2M + 17D2E + 2B + 3F</t>
        </is>
      </c>
      <c r="C214" s="10">
        <f>IF(SUMPRODUCT(D214:K214,1-$D$5:$K$5)=0,1,0)</f>
        <v/>
      </c>
      <c r="D214" s="4" t="n">
        <v>1</v>
      </c>
      <c r="E214" s="4" t="n">
        <v>1</v>
      </c>
      <c r="F214" s="4" t="n">
        <v>0</v>
      </c>
      <c r="G214" s="4" t="n">
        <v>0</v>
      </c>
      <c r="H214" s="4" t="n">
        <v>1</v>
      </c>
      <c r="I214" s="4" t="n">
        <v>0</v>
      </c>
      <c r="J214" s="4" t="n">
        <v>1</v>
      </c>
      <c r="K214" s="4" t="n">
        <v>0</v>
      </c>
      <c r="L214" s="6">
        <f>IF(C214=1,1+SUMPRODUCT(D214:K214,$D$9:$K$9),"")</f>
        <v/>
      </c>
      <c r="M214" s="6">
        <f>SUMPRODUCT(D214:K214,$D$6:$K$6)</f>
        <v/>
      </c>
      <c r="N214" s="6">
        <f>SUMPRODUCT(D214:K214,$D$7:$K$7)</f>
        <v/>
      </c>
      <c r="O214" s="25">
        <f>SUMPRODUCT(D214:K214,$D$8:$K$8)</f>
        <v/>
      </c>
      <c r="P214" s="21">
        <f>M214/10^in_out_dp</f>
        <v/>
      </c>
      <c r="Q214" s="26">
        <f>N214/10^in_cost_dp</f>
        <v/>
      </c>
      <c r="R214" s="10">
        <f>IF(SUM(D214:K214)=0,1,0)</f>
        <v/>
      </c>
      <c r="S214" s="10">
        <f>SUMPRODUCT($C$12:$C$267*(($M$12:$M$267=M214)*($N$12:$N$267&lt;N214)+($M$12:$M$267&gt;M214)*($N$12:$N$267&lt;=N214)))</f>
        <v/>
      </c>
      <c r="T214" s="10">
        <f>IF(C214=0,0,IF(OR(R214=1,S214=0),1,0))</f>
        <v/>
      </c>
      <c r="U214" s="10">
        <f>IF(AND(T214=1,R214=0,M214&gt;0),1,0)</f>
        <v/>
      </c>
      <c r="V214" s="30">
        <f>IF(U214=1,MAX(N214/M214,SUMPRODUCT(MAX(((N214-$N$12:$N$267)*($U$12:$U$267*($M$12:$M$267&lt;M214)))/((M214-$M$12:$M$267)*($U$12:$U$267*($M$12:$M$267&lt;M214))+1-($U$12:$U$267*($M$12:$M$267&lt;M214)))-(1-($U$12:$U$267*($M$12:$M$267&lt;M214)))*1E+300))),0)</f>
        <v/>
      </c>
      <c r="W214" s="30">
        <f>IF(U214=1,SUMPRODUCT(MIN(((($N$12:$N$267-N214)*($U$12:$U$267*($M$12:$M$267&gt;M214)))/(($M$12:$M$267-M214)*($U$12:$U$267*($M$12:$M$267&gt;M214))+1-($U$12:$U$267*($M$12:$M$267&gt;M214)))+(1-($U$12:$U$267*($M$12:$M$267&gt;M214)))*1E+300))),0)</f>
        <v/>
      </c>
      <c r="X214" s="10">
        <f>IF(C214=0,0,IF(R214=1,1,IF(AND(U214=1,V214&lt;=W214),1,0)))</f>
        <v/>
      </c>
      <c r="Y214" s="10">
        <f>IF(X214=1,1+SUMPRODUCT($X$12:$X$267*(($M$12:$M$267&lt;M214)+($M$12:$M$267=M214)*($A$12:$A$267&lt;A214))),0)</f>
        <v/>
      </c>
      <c r="Z214" s="10">
        <f>IF(Y214&lt;=1,0,SUMPRODUCT(($Y$12:$Y$267=Y214-1)*$M$12:$M$267))</f>
        <v/>
      </c>
      <c r="AA214" s="10">
        <f>IF(Y214&lt;=1,0,SUMPRODUCT(($Y$12:$Y$267=Y214-1)*$N$12:$N$267))</f>
        <v/>
      </c>
      <c r="AB214" s="21">
        <f>IF(Y214=0,"",(M214-Z214)/10^in_out_dp)</f>
        <v/>
      </c>
      <c r="AC214" s="26">
        <f>IF(Y214=0,"",(N214-AA214)/10^in_cost_dp)</f>
        <v/>
      </c>
      <c r="AD214" s="26">
        <f>IF(Y214=0,"",IF(M214=Z214,0,AC214/AB214))</f>
        <v/>
      </c>
      <c r="AE214" s="26">
        <f>IF(AND(C214=1,M214&gt;0),Q214/P214,"n/a")</f>
        <v/>
      </c>
      <c r="AF214" s="15" t="n">
        <v>0</v>
      </c>
      <c r="AG214" s="6">
        <f>IF(AND(C214=1,AF214=1),1+SUMPRODUCT($C$12:$C$267*$AF$12:$AF$267*(($M$12:$M$267&lt;M214)+($M$12:$M$267=M214)*($N$12:$N$267&lt;N214)+($M$12:$M$267=M214)*($N$12:$N$267=N214)*($A$12:$A$267&lt;A214))),0)</f>
        <v/>
      </c>
    </row>
    <row r="215">
      <c r="A215" s="4" t="n">
        <v>204</v>
      </c>
      <c r="B215" s="4" t="inlineStr">
        <is>
          <t>17F2M + 17D2E + 2B + 3F + 19A</t>
        </is>
      </c>
      <c r="C215" s="10">
        <f>IF(SUMPRODUCT(D215:K215,1-$D$5:$K$5)=0,1,0)</f>
        <v/>
      </c>
      <c r="D215" s="4" t="n">
        <v>1</v>
      </c>
      <c r="E215" s="4" t="n">
        <v>1</v>
      </c>
      <c r="F215" s="4" t="n">
        <v>0</v>
      </c>
      <c r="G215" s="4" t="n">
        <v>0</v>
      </c>
      <c r="H215" s="4" t="n">
        <v>1</v>
      </c>
      <c r="I215" s="4" t="n">
        <v>0</v>
      </c>
      <c r="J215" s="4" t="n">
        <v>1</v>
      </c>
      <c r="K215" s="4" t="n">
        <v>1</v>
      </c>
      <c r="L215" s="6">
        <f>IF(C215=1,1+SUMPRODUCT(D215:K215,$D$9:$K$9),"")</f>
        <v/>
      </c>
      <c r="M215" s="6">
        <f>SUMPRODUCT(D215:K215,$D$6:$K$6)</f>
        <v/>
      </c>
      <c r="N215" s="6">
        <f>SUMPRODUCT(D215:K215,$D$7:$K$7)</f>
        <v/>
      </c>
      <c r="O215" s="25">
        <f>SUMPRODUCT(D215:K215,$D$8:$K$8)</f>
        <v/>
      </c>
      <c r="P215" s="21">
        <f>M215/10^in_out_dp</f>
        <v/>
      </c>
      <c r="Q215" s="26">
        <f>N215/10^in_cost_dp</f>
        <v/>
      </c>
      <c r="R215" s="10">
        <f>IF(SUM(D215:K215)=0,1,0)</f>
        <v/>
      </c>
      <c r="S215" s="10">
        <f>SUMPRODUCT($C$12:$C$267*(($M$12:$M$267=M215)*($N$12:$N$267&lt;N215)+($M$12:$M$267&gt;M215)*($N$12:$N$267&lt;=N215)))</f>
        <v/>
      </c>
      <c r="T215" s="10">
        <f>IF(C215=0,0,IF(OR(R215=1,S215=0),1,0))</f>
        <v/>
      </c>
      <c r="U215" s="10">
        <f>IF(AND(T215=1,R215=0,M215&gt;0),1,0)</f>
        <v/>
      </c>
      <c r="V215" s="30">
        <f>IF(U215=1,MAX(N215/M215,SUMPRODUCT(MAX(((N215-$N$12:$N$267)*($U$12:$U$267*($M$12:$M$267&lt;M215)))/((M215-$M$12:$M$267)*($U$12:$U$267*($M$12:$M$267&lt;M215))+1-($U$12:$U$267*($M$12:$M$267&lt;M215)))-(1-($U$12:$U$267*($M$12:$M$267&lt;M215)))*1E+300))),0)</f>
        <v/>
      </c>
      <c r="W215" s="30">
        <f>IF(U215=1,SUMPRODUCT(MIN(((($N$12:$N$267-N215)*($U$12:$U$267*($M$12:$M$267&gt;M215)))/(($M$12:$M$267-M215)*($U$12:$U$267*($M$12:$M$267&gt;M215))+1-($U$12:$U$267*($M$12:$M$267&gt;M215)))+(1-($U$12:$U$267*($M$12:$M$267&gt;M215)))*1E+300))),0)</f>
        <v/>
      </c>
      <c r="X215" s="10">
        <f>IF(C215=0,0,IF(R215=1,1,IF(AND(U215=1,V215&lt;=W215),1,0)))</f>
        <v/>
      </c>
      <c r="Y215" s="10">
        <f>IF(X215=1,1+SUMPRODUCT($X$12:$X$267*(($M$12:$M$267&lt;M215)+($M$12:$M$267=M215)*($A$12:$A$267&lt;A215))),0)</f>
        <v/>
      </c>
      <c r="Z215" s="10">
        <f>IF(Y215&lt;=1,0,SUMPRODUCT(($Y$12:$Y$267=Y215-1)*$M$12:$M$267))</f>
        <v/>
      </c>
      <c r="AA215" s="10">
        <f>IF(Y215&lt;=1,0,SUMPRODUCT(($Y$12:$Y$267=Y215-1)*$N$12:$N$267))</f>
        <v/>
      </c>
      <c r="AB215" s="21">
        <f>IF(Y215=0,"",(M215-Z215)/10^in_out_dp)</f>
        <v/>
      </c>
      <c r="AC215" s="26">
        <f>IF(Y215=0,"",(N215-AA215)/10^in_cost_dp)</f>
        <v/>
      </c>
      <c r="AD215" s="26">
        <f>IF(Y215=0,"",IF(M215=Z215,0,AC215/AB215))</f>
        <v/>
      </c>
      <c r="AE215" s="26">
        <f>IF(AND(C215=1,M215&gt;0),Q215/P215,"n/a")</f>
        <v/>
      </c>
      <c r="AF215" s="15" t="n">
        <v>0</v>
      </c>
      <c r="AG215" s="6">
        <f>IF(AND(C215=1,AF215=1),1+SUMPRODUCT($C$12:$C$267*$AF$12:$AF$267*(($M$12:$M$267&lt;M215)+($M$12:$M$267=M215)*($N$12:$N$267&lt;N215)+($M$12:$M$267=M215)*($N$12:$N$267=N215)*($A$12:$A$267&lt;A215))),0)</f>
        <v/>
      </c>
    </row>
    <row r="216">
      <c r="A216" s="4" t="n">
        <v>205</v>
      </c>
      <c r="B216" s="4" t="inlineStr">
        <is>
          <t>17F2M + 17D2E + 2B + 3E</t>
        </is>
      </c>
      <c r="C216" s="10">
        <f>IF(SUMPRODUCT(D216:K216,1-$D$5:$K$5)=0,1,0)</f>
        <v/>
      </c>
      <c r="D216" s="4" t="n">
        <v>1</v>
      </c>
      <c r="E216" s="4" t="n">
        <v>1</v>
      </c>
      <c r="F216" s="4" t="n">
        <v>0</v>
      </c>
      <c r="G216" s="4" t="n">
        <v>0</v>
      </c>
      <c r="H216" s="4" t="n">
        <v>1</v>
      </c>
      <c r="I216" s="4" t="n">
        <v>1</v>
      </c>
      <c r="J216" s="4" t="n">
        <v>0</v>
      </c>
      <c r="K216" s="4" t="n">
        <v>0</v>
      </c>
      <c r="L216" s="6">
        <f>IF(C216=1,1+SUMPRODUCT(D216:K216,$D$9:$K$9),"")</f>
        <v/>
      </c>
      <c r="M216" s="6">
        <f>SUMPRODUCT(D216:K216,$D$6:$K$6)</f>
        <v/>
      </c>
      <c r="N216" s="6">
        <f>SUMPRODUCT(D216:K216,$D$7:$K$7)</f>
        <v/>
      </c>
      <c r="O216" s="25">
        <f>SUMPRODUCT(D216:K216,$D$8:$K$8)</f>
        <v/>
      </c>
      <c r="P216" s="21">
        <f>M216/10^in_out_dp</f>
        <v/>
      </c>
      <c r="Q216" s="26">
        <f>N216/10^in_cost_dp</f>
        <v/>
      </c>
      <c r="R216" s="10">
        <f>IF(SUM(D216:K216)=0,1,0)</f>
        <v/>
      </c>
      <c r="S216" s="10">
        <f>SUMPRODUCT($C$12:$C$267*(($M$12:$M$267=M216)*($N$12:$N$267&lt;N216)+($M$12:$M$267&gt;M216)*($N$12:$N$267&lt;=N216)))</f>
        <v/>
      </c>
      <c r="T216" s="10">
        <f>IF(C216=0,0,IF(OR(R216=1,S216=0),1,0))</f>
        <v/>
      </c>
      <c r="U216" s="10">
        <f>IF(AND(T216=1,R216=0,M216&gt;0),1,0)</f>
        <v/>
      </c>
      <c r="V216" s="30">
        <f>IF(U216=1,MAX(N216/M216,SUMPRODUCT(MAX(((N216-$N$12:$N$267)*($U$12:$U$267*($M$12:$M$267&lt;M216)))/((M216-$M$12:$M$267)*($U$12:$U$267*($M$12:$M$267&lt;M216))+1-($U$12:$U$267*($M$12:$M$267&lt;M216)))-(1-($U$12:$U$267*($M$12:$M$267&lt;M216)))*1E+300))),0)</f>
        <v/>
      </c>
      <c r="W216" s="30">
        <f>IF(U216=1,SUMPRODUCT(MIN(((($N$12:$N$267-N216)*($U$12:$U$267*($M$12:$M$267&gt;M216)))/(($M$12:$M$267-M216)*($U$12:$U$267*($M$12:$M$267&gt;M216))+1-($U$12:$U$267*($M$12:$M$267&gt;M216)))+(1-($U$12:$U$267*($M$12:$M$267&gt;M216)))*1E+300))),0)</f>
        <v/>
      </c>
      <c r="X216" s="10">
        <f>IF(C216=0,0,IF(R216=1,1,IF(AND(U216=1,V216&lt;=W216),1,0)))</f>
        <v/>
      </c>
      <c r="Y216" s="10">
        <f>IF(X216=1,1+SUMPRODUCT($X$12:$X$267*(($M$12:$M$267&lt;M216)+($M$12:$M$267=M216)*($A$12:$A$267&lt;A216))),0)</f>
        <v/>
      </c>
      <c r="Z216" s="10">
        <f>IF(Y216&lt;=1,0,SUMPRODUCT(($Y$12:$Y$267=Y216-1)*$M$12:$M$267))</f>
        <v/>
      </c>
      <c r="AA216" s="10">
        <f>IF(Y216&lt;=1,0,SUMPRODUCT(($Y$12:$Y$267=Y216-1)*$N$12:$N$267))</f>
        <v/>
      </c>
      <c r="AB216" s="21">
        <f>IF(Y216=0,"",(M216-Z216)/10^in_out_dp)</f>
        <v/>
      </c>
      <c r="AC216" s="26">
        <f>IF(Y216=0,"",(N216-AA216)/10^in_cost_dp)</f>
        <v/>
      </c>
      <c r="AD216" s="26">
        <f>IF(Y216=0,"",IF(M216=Z216,0,AC216/AB216))</f>
        <v/>
      </c>
      <c r="AE216" s="26">
        <f>IF(AND(C216=1,M216&gt;0),Q216/P216,"n/a")</f>
        <v/>
      </c>
      <c r="AF216" s="15" t="n">
        <v>0</v>
      </c>
      <c r="AG216" s="6">
        <f>IF(AND(C216=1,AF216=1),1+SUMPRODUCT($C$12:$C$267*$AF$12:$AF$267*(($M$12:$M$267&lt;M216)+($M$12:$M$267=M216)*($N$12:$N$267&lt;N216)+($M$12:$M$267=M216)*($N$12:$N$267=N216)*($A$12:$A$267&lt;A216))),0)</f>
        <v/>
      </c>
    </row>
    <row r="217">
      <c r="A217" s="4" t="n">
        <v>206</v>
      </c>
      <c r="B217" s="4" t="inlineStr">
        <is>
          <t>17F2M + 17D2E + 2B + 3E + 19A</t>
        </is>
      </c>
      <c r="C217" s="10">
        <f>IF(SUMPRODUCT(D217:K217,1-$D$5:$K$5)=0,1,0)</f>
        <v/>
      </c>
      <c r="D217" s="4" t="n">
        <v>1</v>
      </c>
      <c r="E217" s="4" t="n">
        <v>1</v>
      </c>
      <c r="F217" s="4" t="n">
        <v>0</v>
      </c>
      <c r="G217" s="4" t="n">
        <v>0</v>
      </c>
      <c r="H217" s="4" t="n">
        <v>1</v>
      </c>
      <c r="I217" s="4" t="n">
        <v>1</v>
      </c>
      <c r="J217" s="4" t="n">
        <v>0</v>
      </c>
      <c r="K217" s="4" t="n">
        <v>1</v>
      </c>
      <c r="L217" s="6">
        <f>IF(C217=1,1+SUMPRODUCT(D217:K217,$D$9:$K$9),"")</f>
        <v/>
      </c>
      <c r="M217" s="6">
        <f>SUMPRODUCT(D217:K217,$D$6:$K$6)</f>
        <v/>
      </c>
      <c r="N217" s="6">
        <f>SUMPRODUCT(D217:K217,$D$7:$K$7)</f>
        <v/>
      </c>
      <c r="O217" s="25">
        <f>SUMPRODUCT(D217:K217,$D$8:$K$8)</f>
        <v/>
      </c>
      <c r="P217" s="21">
        <f>M217/10^in_out_dp</f>
        <v/>
      </c>
      <c r="Q217" s="26">
        <f>N217/10^in_cost_dp</f>
        <v/>
      </c>
      <c r="R217" s="10">
        <f>IF(SUM(D217:K217)=0,1,0)</f>
        <v/>
      </c>
      <c r="S217" s="10">
        <f>SUMPRODUCT($C$12:$C$267*(($M$12:$M$267=M217)*($N$12:$N$267&lt;N217)+($M$12:$M$267&gt;M217)*($N$12:$N$267&lt;=N217)))</f>
        <v/>
      </c>
      <c r="T217" s="10">
        <f>IF(C217=0,0,IF(OR(R217=1,S217=0),1,0))</f>
        <v/>
      </c>
      <c r="U217" s="10">
        <f>IF(AND(T217=1,R217=0,M217&gt;0),1,0)</f>
        <v/>
      </c>
      <c r="V217" s="30">
        <f>IF(U217=1,MAX(N217/M217,SUMPRODUCT(MAX(((N217-$N$12:$N$267)*($U$12:$U$267*($M$12:$M$267&lt;M217)))/((M217-$M$12:$M$267)*($U$12:$U$267*($M$12:$M$267&lt;M217))+1-($U$12:$U$267*($M$12:$M$267&lt;M217)))-(1-($U$12:$U$267*($M$12:$M$267&lt;M217)))*1E+300))),0)</f>
        <v/>
      </c>
      <c r="W217" s="30">
        <f>IF(U217=1,SUMPRODUCT(MIN(((($N$12:$N$267-N217)*($U$12:$U$267*($M$12:$M$267&gt;M217)))/(($M$12:$M$267-M217)*($U$12:$U$267*($M$12:$M$267&gt;M217))+1-($U$12:$U$267*($M$12:$M$267&gt;M217)))+(1-($U$12:$U$267*($M$12:$M$267&gt;M217)))*1E+300))),0)</f>
        <v/>
      </c>
      <c r="X217" s="10">
        <f>IF(C217=0,0,IF(R217=1,1,IF(AND(U217=1,V217&lt;=W217),1,0)))</f>
        <v/>
      </c>
      <c r="Y217" s="10">
        <f>IF(X217=1,1+SUMPRODUCT($X$12:$X$267*(($M$12:$M$267&lt;M217)+($M$12:$M$267=M217)*($A$12:$A$267&lt;A217))),0)</f>
        <v/>
      </c>
      <c r="Z217" s="10">
        <f>IF(Y217&lt;=1,0,SUMPRODUCT(($Y$12:$Y$267=Y217-1)*$M$12:$M$267))</f>
        <v/>
      </c>
      <c r="AA217" s="10">
        <f>IF(Y217&lt;=1,0,SUMPRODUCT(($Y$12:$Y$267=Y217-1)*$N$12:$N$267))</f>
        <v/>
      </c>
      <c r="AB217" s="21">
        <f>IF(Y217=0,"",(M217-Z217)/10^in_out_dp)</f>
        <v/>
      </c>
      <c r="AC217" s="26">
        <f>IF(Y217=0,"",(N217-AA217)/10^in_cost_dp)</f>
        <v/>
      </c>
      <c r="AD217" s="26">
        <f>IF(Y217=0,"",IF(M217=Z217,0,AC217/AB217))</f>
        <v/>
      </c>
      <c r="AE217" s="26">
        <f>IF(AND(C217=1,M217&gt;0),Q217/P217,"n/a")</f>
        <v/>
      </c>
      <c r="AF217" s="15" t="n">
        <v>0</v>
      </c>
      <c r="AG217" s="6">
        <f>IF(AND(C217=1,AF217=1),1+SUMPRODUCT($C$12:$C$267*$AF$12:$AF$267*(($M$12:$M$267&lt;M217)+($M$12:$M$267=M217)*($N$12:$N$267&lt;N217)+($M$12:$M$267=M217)*($N$12:$N$267=N217)*($A$12:$A$267&lt;A217))),0)</f>
        <v/>
      </c>
    </row>
    <row r="218">
      <c r="A218" s="4" t="n">
        <v>207</v>
      </c>
      <c r="B218" s="4" t="inlineStr">
        <is>
          <t>17F2M + 17D2E + 2B + 3E + 3F</t>
        </is>
      </c>
      <c r="C218" s="10">
        <f>IF(SUMPRODUCT(D218:K218,1-$D$5:$K$5)=0,1,0)</f>
        <v/>
      </c>
      <c r="D218" s="4" t="n">
        <v>1</v>
      </c>
      <c r="E218" s="4" t="n">
        <v>1</v>
      </c>
      <c r="F218" s="4" t="n">
        <v>0</v>
      </c>
      <c r="G218" s="4" t="n">
        <v>0</v>
      </c>
      <c r="H218" s="4" t="n">
        <v>1</v>
      </c>
      <c r="I218" s="4" t="n">
        <v>1</v>
      </c>
      <c r="J218" s="4" t="n">
        <v>1</v>
      </c>
      <c r="K218" s="4" t="n">
        <v>0</v>
      </c>
      <c r="L218" s="6">
        <f>IF(C218=1,1+SUMPRODUCT(D218:K218,$D$9:$K$9),"")</f>
        <v/>
      </c>
      <c r="M218" s="6">
        <f>SUMPRODUCT(D218:K218,$D$6:$K$6)</f>
        <v/>
      </c>
      <c r="N218" s="6">
        <f>SUMPRODUCT(D218:K218,$D$7:$K$7)</f>
        <v/>
      </c>
      <c r="O218" s="25">
        <f>SUMPRODUCT(D218:K218,$D$8:$K$8)</f>
        <v/>
      </c>
      <c r="P218" s="21">
        <f>M218/10^in_out_dp</f>
        <v/>
      </c>
      <c r="Q218" s="26">
        <f>N218/10^in_cost_dp</f>
        <v/>
      </c>
      <c r="R218" s="10">
        <f>IF(SUM(D218:K218)=0,1,0)</f>
        <v/>
      </c>
      <c r="S218" s="10">
        <f>SUMPRODUCT($C$12:$C$267*(($M$12:$M$267=M218)*($N$12:$N$267&lt;N218)+($M$12:$M$267&gt;M218)*($N$12:$N$267&lt;=N218)))</f>
        <v/>
      </c>
      <c r="T218" s="10">
        <f>IF(C218=0,0,IF(OR(R218=1,S218=0),1,0))</f>
        <v/>
      </c>
      <c r="U218" s="10">
        <f>IF(AND(T218=1,R218=0,M218&gt;0),1,0)</f>
        <v/>
      </c>
      <c r="V218" s="30">
        <f>IF(U218=1,MAX(N218/M218,SUMPRODUCT(MAX(((N218-$N$12:$N$267)*($U$12:$U$267*($M$12:$M$267&lt;M218)))/((M218-$M$12:$M$267)*($U$12:$U$267*($M$12:$M$267&lt;M218))+1-($U$12:$U$267*($M$12:$M$267&lt;M218)))-(1-($U$12:$U$267*($M$12:$M$267&lt;M218)))*1E+300))),0)</f>
        <v/>
      </c>
      <c r="W218" s="30">
        <f>IF(U218=1,SUMPRODUCT(MIN(((($N$12:$N$267-N218)*($U$12:$U$267*($M$12:$M$267&gt;M218)))/(($M$12:$M$267-M218)*($U$12:$U$267*($M$12:$M$267&gt;M218))+1-($U$12:$U$267*($M$12:$M$267&gt;M218)))+(1-($U$12:$U$267*($M$12:$M$267&gt;M218)))*1E+300))),0)</f>
        <v/>
      </c>
      <c r="X218" s="10">
        <f>IF(C218=0,0,IF(R218=1,1,IF(AND(U218=1,V218&lt;=W218),1,0)))</f>
        <v/>
      </c>
      <c r="Y218" s="10">
        <f>IF(X218=1,1+SUMPRODUCT($X$12:$X$267*(($M$12:$M$267&lt;M218)+($M$12:$M$267=M218)*($A$12:$A$267&lt;A218))),0)</f>
        <v/>
      </c>
      <c r="Z218" s="10">
        <f>IF(Y218&lt;=1,0,SUMPRODUCT(($Y$12:$Y$267=Y218-1)*$M$12:$M$267))</f>
        <v/>
      </c>
      <c r="AA218" s="10">
        <f>IF(Y218&lt;=1,0,SUMPRODUCT(($Y$12:$Y$267=Y218-1)*$N$12:$N$267))</f>
        <v/>
      </c>
      <c r="AB218" s="21">
        <f>IF(Y218=0,"",(M218-Z218)/10^in_out_dp)</f>
        <v/>
      </c>
      <c r="AC218" s="26">
        <f>IF(Y218=0,"",(N218-AA218)/10^in_cost_dp)</f>
        <v/>
      </c>
      <c r="AD218" s="26">
        <f>IF(Y218=0,"",IF(M218=Z218,0,AC218/AB218))</f>
        <v/>
      </c>
      <c r="AE218" s="26">
        <f>IF(AND(C218=1,M218&gt;0),Q218/P218,"n/a")</f>
        <v/>
      </c>
      <c r="AF218" s="15" t="n">
        <v>0</v>
      </c>
      <c r="AG218" s="6">
        <f>IF(AND(C218=1,AF218=1),1+SUMPRODUCT($C$12:$C$267*$AF$12:$AF$267*(($M$12:$M$267&lt;M218)+($M$12:$M$267=M218)*($N$12:$N$267&lt;N218)+($M$12:$M$267=M218)*($N$12:$N$267=N218)*($A$12:$A$267&lt;A218))),0)</f>
        <v/>
      </c>
    </row>
    <row r="219">
      <c r="A219" s="4" t="n">
        <v>208</v>
      </c>
      <c r="B219" s="4" t="inlineStr">
        <is>
          <t>17F2M + 17D2E + 2B + 3E + 3F + 19A</t>
        </is>
      </c>
      <c r="C219" s="10">
        <f>IF(SUMPRODUCT(D219:K219,1-$D$5:$K$5)=0,1,0)</f>
        <v/>
      </c>
      <c r="D219" s="4" t="n">
        <v>1</v>
      </c>
      <c r="E219" s="4" t="n">
        <v>1</v>
      </c>
      <c r="F219" s="4" t="n">
        <v>0</v>
      </c>
      <c r="G219" s="4" t="n">
        <v>0</v>
      </c>
      <c r="H219" s="4" t="n">
        <v>1</v>
      </c>
      <c r="I219" s="4" t="n">
        <v>1</v>
      </c>
      <c r="J219" s="4" t="n">
        <v>1</v>
      </c>
      <c r="K219" s="4" t="n">
        <v>1</v>
      </c>
      <c r="L219" s="6">
        <f>IF(C219=1,1+SUMPRODUCT(D219:K219,$D$9:$K$9),"")</f>
        <v/>
      </c>
      <c r="M219" s="6">
        <f>SUMPRODUCT(D219:K219,$D$6:$K$6)</f>
        <v/>
      </c>
      <c r="N219" s="6">
        <f>SUMPRODUCT(D219:K219,$D$7:$K$7)</f>
        <v/>
      </c>
      <c r="O219" s="25">
        <f>SUMPRODUCT(D219:K219,$D$8:$K$8)</f>
        <v/>
      </c>
      <c r="P219" s="21">
        <f>M219/10^in_out_dp</f>
        <v/>
      </c>
      <c r="Q219" s="26">
        <f>N219/10^in_cost_dp</f>
        <v/>
      </c>
      <c r="R219" s="10">
        <f>IF(SUM(D219:K219)=0,1,0)</f>
        <v/>
      </c>
      <c r="S219" s="10">
        <f>SUMPRODUCT($C$12:$C$267*(($M$12:$M$267=M219)*($N$12:$N$267&lt;N219)+($M$12:$M$267&gt;M219)*($N$12:$N$267&lt;=N219)))</f>
        <v/>
      </c>
      <c r="T219" s="10">
        <f>IF(C219=0,0,IF(OR(R219=1,S219=0),1,0))</f>
        <v/>
      </c>
      <c r="U219" s="10">
        <f>IF(AND(T219=1,R219=0,M219&gt;0),1,0)</f>
        <v/>
      </c>
      <c r="V219" s="30">
        <f>IF(U219=1,MAX(N219/M219,SUMPRODUCT(MAX(((N219-$N$12:$N$267)*($U$12:$U$267*($M$12:$M$267&lt;M219)))/((M219-$M$12:$M$267)*($U$12:$U$267*($M$12:$M$267&lt;M219))+1-($U$12:$U$267*($M$12:$M$267&lt;M219)))-(1-($U$12:$U$267*($M$12:$M$267&lt;M219)))*1E+300))),0)</f>
        <v/>
      </c>
      <c r="W219" s="30">
        <f>IF(U219=1,SUMPRODUCT(MIN(((($N$12:$N$267-N219)*($U$12:$U$267*($M$12:$M$267&gt;M219)))/(($M$12:$M$267-M219)*($U$12:$U$267*($M$12:$M$267&gt;M219))+1-($U$12:$U$267*($M$12:$M$267&gt;M219)))+(1-($U$12:$U$267*($M$12:$M$267&gt;M219)))*1E+300))),0)</f>
        <v/>
      </c>
      <c r="X219" s="10">
        <f>IF(C219=0,0,IF(R219=1,1,IF(AND(U219=1,V219&lt;=W219),1,0)))</f>
        <v/>
      </c>
      <c r="Y219" s="10">
        <f>IF(X219=1,1+SUMPRODUCT($X$12:$X$267*(($M$12:$M$267&lt;M219)+($M$12:$M$267=M219)*($A$12:$A$267&lt;A219))),0)</f>
        <v/>
      </c>
      <c r="Z219" s="10">
        <f>IF(Y219&lt;=1,0,SUMPRODUCT(($Y$12:$Y$267=Y219-1)*$M$12:$M$267))</f>
        <v/>
      </c>
      <c r="AA219" s="10">
        <f>IF(Y219&lt;=1,0,SUMPRODUCT(($Y$12:$Y$267=Y219-1)*$N$12:$N$267))</f>
        <v/>
      </c>
      <c r="AB219" s="21">
        <f>IF(Y219=0,"",(M219-Z219)/10^in_out_dp)</f>
        <v/>
      </c>
      <c r="AC219" s="26">
        <f>IF(Y219=0,"",(N219-AA219)/10^in_cost_dp)</f>
        <v/>
      </c>
      <c r="AD219" s="26">
        <f>IF(Y219=0,"",IF(M219=Z219,0,AC219/AB219))</f>
        <v/>
      </c>
      <c r="AE219" s="26">
        <f>IF(AND(C219=1,M219&gt;0),Q219/P219,"n/a")</f>
        <v/>
      </c>
      <c r="AF219" s="15" t="n">
        <v>0</v>
      </c>
      <c r="AG219" s="6">
        <f>IF(AND(C219=1,AF219=1),1+SUMPRODUCT($C$12:$C$267*$AF$12:$AF$267*(($M$12:$M$267&lt;M219)+($M$12:$M$267=M219)*($N$12:$N$267&lt;N219)+($M$12:$M$267=M219)*($N$12:$N$267=N219)*($A$12:$A$267&lt;A219))),0)</f>
        <v/>
      </c>
    </row>
    <row r="220">
      <c r="A220" s="4" t="n">
        <v>209</v>
      </c>
      <c r="B220" s="4" t="inlineStr">
        <is>
          <t>17F2M + 17D2E + 2A</t>
        </is>
      </c>
      <c r="C220" s="10">
        <f>IF(SUMPRODUCT(D220:K220,1-$D$5:$K$5)=0,1,0)</f>
        <v/>
      </c>
      <c r="D220" s="4" t="n">
        <v>1</v>
      </c>
      <c r="E220" s="4" t="n">
        <v>1</v>
      </c>
      <c r="F220" s="4" t="n">
        <v>0</v>
      </c>
      <c r="G220" s="4" t="n">
        <v>1</v>
      </c>
      <c r="H220" s="4" t="n">
        <v>0</v>
      </c>
      <c r="I220" s="4" t="n">
        <v>0</v>
      </c>
      <c r="J220" s="4" t="n">
        <v>0</v>
      </c>
      <c r="K220" s="4" t="n">
        <v>0</v>
      </c>
      <c r="L220" s="6">
        <f>IF(C220=1,1+SUMPRODUCT(D220:K220,$D$9:$K$9),"")</f>
        <v/>
      </c>
      <c r="M220" s="6">
        <f>SUMPRODUCT(D220:K220,$D$6:$K$6)</f>
        <v/>
      </c>
      <c r="N220" s="6">
        <f>SUMPRODUCT(D220:K220,$D$7:$K$7)</f>
        <v/>
      </c>
      <c r="O220" s="25">
        <f>SUMPRODUCT(D220:K220,$D$8:$K$8)</f>
        <v/>
      </c>
      <c r="P220" s="21">
        <f>M220/10^in_out_dp</f>
        <v/>
      </c>
      <c r="Q220" s="26">
        <f>N220/10^in_cost_dp</f>
        <v/>
      </c>
      <c r="R220" s="10">
        <f>IF(SUM(D220:K220)=0,1,0)</f>
        <v/>
      </c>
      <c r="S220" s="10">
        <f>SUMPRODUCT($C$12:$C$267*(($M$12:$M$267=M220)*($N$12:$N$267&lt;N220)+($M$12:$M$267&gt;M220)*($N$12:$N$267&lt;=N220)))</f>
        <v/>
      </c>
      <c r="T220" s="10">
        <f>IF(C220=0,0,IF(OR(R220=1,S220=0),1,0))</f>
        <v/>
      </c>
      <c r="U220" s="10">
        <f>IF(AND(T220=1,R220=0,M220&gt;0),1,0)</f>
        <v/>
      </c>
      <c r="V220" s="30">
        <f>IF(U220=1,MAX(N220/M220,SUMPRODUCT(MAX(((N220-$N$12:$N$267)*($U$12:$U$267*($M$12:$M$267&lt;M220)))/((M220-$M$12:$M$267)*($U$12:$U$267*($M$12:$M$267&lt;M220))+1-($U$12:$U$267*($M$12:$M$267&lt;M220)))-(1-($U$12:$U$267*($M$12:$M$267&lt;M220)))*1E+300))),0)</f>
        <v/>
      </c>
      <c r="W220" s="30">
        <f>IF(U220=1,SUMPRODUCT(MIN(((($N$12:$N$267-N220)*($U$12:$U$267*($M$12:$M$267&gt;M220)))/(($M$12:$M$267-M220)*($U$12:$U$267*($M$12:$M$267&gt;M220))+1-($U$12:$U$267*($M$12:$M$267&gt;M220)))+(1-($U$12:$U$267*($M$12:$M$267&gt;M220)))*1E+300))),0)</f>
        <v/>
      </c>
      <c r="X220" s="10">
        <f>IF(C220=0,0,IF(R220=1,1,IF(AND(U220=1,V220&lt;=W220),1,0)))</f>
        <v/>
      </c>
      <c r="Y220" s="10">
        <f>IF(X220=1,1+SUMPRODUCT($X$12:$X$267*(($M$12:$M$267&lt;M220)+($M$12:$M$267=M220)*($A$12:$A$267&lt;A220))),0)</f>
        <v/>
      </c>
      <c r="Z220" s="10">
        <f>IF(Y220&lt;=1,0,SUMPRODUCT(($Y$12:$Y$267=Y220-1)*$M$12:$M$267))</f>
        <v/>
      </c>
      <c r="AA220" s="10">
        <f>IF(Y220&lt;=1,0,SUMPRODUCT(($Y$12:$Y$267=Y220-1)*$N$12:$N$267))</f>
        <v/>
      </c>
      <c r="AB220" s="21">
        <f>IF(Y220=0,"",(M220-Z220)/10^in_out_dp)</f>
        <v/>
      </c>
      <c r="AC220" s="26">
        <f>IF(Y220=0,"",(N220-AA220)/10^in_cost_dp)</f>
        <v/>
      </c>
      <c r="AD220" s="26">
        <f>IF(Y220=0,"",IF(M220=Z220,0,AC220/AB220))</f>
        <v/>
      </c>
      <c r="AE220" s="26">
        <f>IF(AND(C220=1,M220&gt;0),Q220/P220,"n/a")</f>
        <v/>
      </c>
      <c r="AF220" s="15" t="n">
        <v>0</v>
      </c>
      <c r="AG220" s="6">
        <f>IF(AND(C220=1,AF220=1),1+SUMPRODUCT($C$12:$C$267*$AF$12:$AF$267*(($M$12:$M$267&lt;M220)+($M$12:$M$267=M220)*($N$12:$N$267&lt;N220)+($M$12:$M$267=M220)*($N$12:$N$267=N220)*($A$12:$A$267&lt;A220))),0)</f>
        <v/>
      </c>
    </row>
    <row r="221">
      <c r="A221" s="4" t="n">
        <v>210</v>
      </c>
      <c r="B221" s="4" t="inlineStr">
        <is>
          <t>17F2M + 17D2E + 2A + 19A</t>
        </is>
      </c>
      <c r="C221" s="10">
        <f>IF(SUMPRODUCT(D221:K221,1-$D$5:$K$5)=0,1,0)</f>
        <v/>
      </c>
      <c r="D221" s="4" t="n">
        <v>1</v>
      </c>
      <c r="E221" s="4" t="n">
        <v>1</v>
      </c>
      <c r="F221" s="4" t="n">
        <v>0</v>
      </c>
      <c r="G221" s="4" t="n">
        <v>1</v>
      </c>
      <c r="H221" s="4" t="n">
        <v>0</v>
      </c>
      <c r="I221" s="4" t="n">
        <v>0</v>
      </c>
      <c r="J221" s="4" t="n">
        <v>0</v>
      </c>
      <c r="K221" s="4" t="n">
        <v>1</v>
      </c>
      <c r="L221" s="6">
        <f>IF(C221=1,1+SUMPRODUCT(D221:K221,$D$9:$K$9),"")</f>
        <v/>
      </c>
      <c r="M221" s="6">
        <f>SUMPRODUCT(D221:K221,$D$6:$K$6)</f>
        <v/>
      </c>
      <c r="N221" s="6">
        <f>SUMPRODUCT(D221:K221,$D$7:$K$7)</f>
        <v/>
      </c>
      <c r="O221" s="25">
        <f>SUMPRODUCT(D221:K221,$D$8:$K$8)</f>
        <v/>
      </c>
      <c r="P221" s="21">
        <f>M221/10^in_out_dp</f>
        <v/>
      </c>
      <c r="Q221" s="26">
        <f>N221/10^in_cost_dp</f>
        <v/>
      </c>
      <c r="R221" s="10">
        <f>IF(SUM(D221:K221)=0,1,0)</f>
        <v/>
      </c>
      <c r="S221" s="10">
        <f>SUMPRODUCT($C$12:$C$267*(($M$12:$M$267=M221)*($N$12:$N$267&lt;N221)+($M$12:$M$267&gt;M221)*($N$12:$N$267&lt;=N221)))</f>
        <v/>
      </c>
      <c r="T221" s="10">
        <f>IF(C221=0,0,IF(OR(R221=1,S221=0),1,0))</f>
        <v/>
      </c>
      <c r="U221" s="10">
        <f>IF(AND(T221=1,R221=0,M221&gt;0),1,0)</f>
        <v/>
      </c>
      <c r="V221" s="30">
        <f>IF(U221=1,MAX(N221/M221,SUMPRODUCT(MAX(((N221-$N$12:$N$267)*($U$12:$U$267*($M$12:$M$267&lt;M221)))/((M221-$M$12:$M$267)*($U$12:$U$267*($M$12:$M$267&lt;M221))+1-($U$12:$U$267*($M$12:$M$267&lt;M221)))-(1-($U$12:$U$267*($M$12:$M$267&lt;M221)))*1E+300))),0)</f>
        <v/>
      </c>
      <c r="W221" s="30">
        <f>IF(U221=1,SUMPRODUCT(MIN(((($N$12:$N$267-N221)*($U$12:$U$267*($M$12:$M$267&gt;M221)))/(($M$12:$M$267-M221)*($U$12:$U$267*($M$12:$M$267&gt;M221))+1-($U$12:$U$267*($M$12:$M$267&gt;M221)))+(1-($U$12:$U$267*($M$12:$M$267&gt;M221)))*1E+300))),0)</f>
        <v/>
      </c>
      <c r="X221" s="10">
        <f>IF(C221=0,0,IF(R221=1,1,IF(AND(U221=1,V221&lt;=W221),1,0)))</f>
        <v/>
      </c>
      <c r="Y221" s="10">
        <f>IF(X221=1,1+SUMPRODUCT($X$12:$X$267*(($M$12:$M$267&lt;M221)+($M$12:$M$267=M221)*($A$12:$A$267&lt;A221))),0)</f>
        <v/>
      </c>
      <c r="Z221" s="10">
        <f>IF(Y221&lt;=1,0,SUMPRODUCT(($Y$12:$Y$267=Y221-1)*$M$12:$M$267))</f>
        <v/>
      </c>
      <c r="AA221" s="10">
        <f>IF(Y221&lt;=1,0,SUMPRODUCT(($Y$12:$Y$267=Y221-1)*$N$12:$N$267))</f>
        <v/>
      </c>
      <c r="AB221" s="21">
        <f>IF(Y221=0,"",(M221-Z221)/10^in_out_dp)</f>
        <v/>
      </c>
      <c r="AC221" s="26">
        <f>IF(Y221=0,"",(N221-AA221)/10^in_cost_dp)</f>
        <v/>
      </c>
      <c r="AD221" s="26">
        <f>IF(Y221=0,"",IF(M221=Z221,0,AC221/AB221))</f>
        <v/>
      </c>
      <c r="AE221" s="26">
        <f>IF(AND(C221=1,M221&gt;0),Q221/P221,"n/a")</f>
        <v/>
      </c>
      <c r="AF221" s="15" t="n">
        <v>0</v>
      </c>
      <c r="AG221" s="6">
        <f>IF(AND(C221=1,AF221=1),1+SUMPRODUCT($C$12:$C$267*$AF$12:$AF$267*(($M$12:$M$267&lt;M221)+($M$12:$M$267=M221)*($N$12:$N$267&lt;N221)+($M$12:$M$267=M221)*($N$12:$N$267=N221)*($A$12:$A$267&lt;A221))),0)</f>
        <v/>
      </c>
    </row>
    <row r="222">
      <c r="A222" s="4" t="n">
        <v>211</v>
      </c>
      <c r="B222" s="4" t="inlineStr">
        <is>
          <t>17F2M + 17D2E + 2A + 3F</t>
        </is>
      </c>
      <c r="C222" s="10">
        <f>IF(SUMPRODUCT(D222:K222,1-$D$5:$K$5)=0,1,0)</f>
        <v/>
      </c>
      <c r="D222" s="4" t="n">
        <v>1</v>
      </c>
      <c r="E222" s="4" t="n">
        <v>1</v>
      </c>
      <c r="F222" s="4" t="n">
        <v>0</v>
      </c>
      <c r="G222" s="4" t="n">
        <v>1</v>
      </c>
      <c r="H222" s="4" t="n">
        <v>0</v>
      </c>
      <c r="I222" s="4" t="n">
        <v>0</v>
      </c>
      <c r="J222" s="4" t="n">
        <v>1</v>
      </c>
      <c r="K222" s="4" t="n">
        <v>0</v>
      </c>
      <c r="L222" s="6">
        <f>IF(C222=1,1+SUMPRODUCT(D222:K222,$D$9:$K$9),"")</f>
        <v/>
      </c>
      <c r="M222" s="6">
        <f>SUMPRODUCT(D222:K222,$D$6:$K$6)</f>
        <v/>
      </c>
      <c r="N222" s="6">
        <f>SUMPRODUCT(D222:K222,$D$7:$K$7)</f>
        <v/>
      </c>
      <c r="O222" s="25">
        <f>SUMPRODUCT(D222:K222,$D$8:$K$8)</f>
        <v/>
      </c>
      <c r="P222" s="21">
        <f>M222/10^in_out_dp</f>
        <v/>
      </c>
      <c r="Q222" s="26">
        <f>N222/10^in_cost_dp</f>
        <v/>
      </c>
      <c r="R222" s="10">
        <f>IF(SUM(D222:K222)=0,1,0)</f>
        <v/>
      </c>
      <c r="S222" s="10">
        <f>SUMPRODUCT($C$12:$C$267*(($M$12:$M$267=M222)*($N$12:$N$267&lt;N222)+($M$12:$M$267&gt;M222)*($N$12:$N$267&lt;=N222)))</f>
        <v/>
      </c>
      <c r="T222" s="10">
        <f>IF(C222=0,0,IF(OR(R222=1,S222=0),1,0))</f>
        <v/>
      </c>
      <c r="U222" s="10">
        <f>IF(AND(T222=1,R222=0,M222&gt;0),1,0)</f>
        <v/>
      </c>
      <c r="V222" s="30">
        <f>IF(U222=1,MAX(N222/M222,SUMPRODUCT(MAX(((N222-$N$12:$N$267)*($U$12:$U$267*($M$12:$M$267&lt;M222)))/((M222-$M$12:$M$267)*($U$12:$U$267*($M$12:$M$267&lt;M222))+1-($U$12:$U$267*($M$12:$M$267&lt;M222)))-(1-($U$12:$U$267*($M$12:$M$267&lt;M222)))*1E+300))),0)</f>
        <v/>
      </c>
      <c r="W222" s="30">
        <f>IF(U222=1,SUMPRODUCT(MIN(((($N$12:$N$267-N222)*($U$12:$U$267*($M$12:$M$267&gt;M222)))/(($M$12:$M$267-M222)*($U$12:$U$267*($M$12:$M$267&gt;M222))+1-($U$12:$U$267*($M$12:$M$267&gt;M222)))+(1-($U$12:$U$267*($M$12:$M$267&gt;M222)))*1E+300))),0)</f>
        <v/>
      </c>
      <c r="X222" s="10">
        <f>IF(C222=0,0,IF(R222=1,1,IF(AND(U222=1,V222&lt;=W222),1,0)))</f>
        <v/>
      </c>
      <c r="Y222" s="10">
        <f>IF(X222=1,1+SUMPRODUCT($X$12:$X$267*(($M$12:$M$267&lt;M222)+($M$12:$M$267=M222)*($A$12:$A$267&lt;A222))),0)</f>
        <v/>
      </c>
      <c r="Z222" s="10">
        <f>IF(Y222&lt;=1,0,SUMPRODUCT(($Y$12:$Y$267=Y222-1)*$M$12:$M$267))</f>
        <v/>
      </c>
      <c r="AA222" s="10">
        <f>IF(Y222&lt;=1,0,SUMPRODUCT(($Y$12:$Y$267=Y222-1)*$N$12:$N$267))</f>
        <v/>
      </c>
      <c r="AB222" s="21">
        <f>IF(Y222=0,"",(M222-Z222)/10^in_out_dp)</f>
        <v/>
      </c>
      <c r="AC222" s="26">
        <f>IF(Y222=0,"",(N222-AA222)/10^in_cost_dp)</f>
        <v/>
      </c>
      <c r="AD222" s="26">
        <f>IF(Y222=0,"",IF(M222=Z222,0,AC222/AB222))</f>
        <v/>
      </c>
      <c r="AE222" s="26">
        <f>IF(AND(C222=1,M222&gt;0),Q222/P222,"n/a")</f>
        <v/>
      </c>
      <c r="AF222" s="15" t="n">
        <v>0</v>
      </c>
      <c r="AG222" s="6">
        <f>IF(AND(C222=1,AF222=1),1+SUMPRODUCT($C$12:$C$267*$AF$12:$AF$267*(($M$12:$M$267&lt;M222)+($M$12:$M$267=M222)*($N$12:$N$267&lt;N222)+($M$12:$M$267=M222)*($N$12:$N$267=N222)*($A$12:$A$267&lt;A222))),0)</f>
        <v/>
      </c>
    </row>
    <row r="223">
      <c r="A223" s="4" t="n">
        <v>212</v>
      </c>
      <c r="B223" s="4" t="inlineStr">
        <is>
          <t>17F2M + 17D2E + 2A + 3F + 19A</t>
        </is>
      </c>
      <c r="C223" s="10">
        <f>IF(SUMPRODUCT(D223:K223,1-$D$5:$K$5)=0,1,0)</f>
        <v/>
      </c>
      <c r="D223" s="4" t="n">
        <v>1</v>
      </c>
      <c r="E223" s="4" t="n">
        <v>1</v>
      </c>
      <c r="F223" s="4" t="n">
        <v>0</v>
      </c>
      <c r="G223" s="4" t="n">
        <v>1</v>
      </c>
      <c r="H223" s="4" t="n">
        <v>0</v>
      </c>
      <c r="I223" s="4" t="n">
        <v>0</v>
      </c>
      <c r="J223" s="4" t="n">
        <v>1</v>
      </c>
      <c r="K223" s="4" t="n">
        <v>1</v>
      </c>
      <c r="L223" s="6">
        <f>IF(C223=1,1+SUMPRODUCT(D223:K223,$D$9:$K$9),"")</f>
        <v/>
      </c>
      <c r="M223" s="6">
        <f>SUMPRODUCT(D223:K223,$D$6:$K$6)</f>
        <v/>
      </c>
      <c r="N223" s="6">
        <f>SUMPRODUCT(D223:K223,$D$7:$K$7)</f>
        <v/>
      </c>
      <c r="O223" s="25">
        <f>SUMPRODUCT(D223:K223,$D$8:$K$8)</f>
        <v/>
      </c>
      <c r="P223" s="21">
        <f>M223/10^in_out_dp</f>
        <v/>
      </c>
      <c r="Q223" s="26">
        <f>N223/10^in_cost_dp</f>
        <v/>
      </c>
      <c r="R223" s="10">
        <f>IF(SUM(D223:K223)=0,1,0)</f>
        <v/>
      </c>
      <c r="S223" s="10">
        <f>SUMPRODUCT($C$12:$C$267*(($M$12:$M$267=M223)*($N$12:$N$267&lt;N223)+($M$12:$M$267&gt;M223)*($N$12:$N$267&lt;=N223)))</f>
        <v/>
      </c>
      <c r="T223" s="10">
        <f>IF(C223=0,0,IF(OR(R223=1,S223=0),1,0))</f>
        <v/>
      </c>
      <c r="U223" s="10">
        <f>IF(AND(T223=1,R223=0,M223&gt;0),1,0)</f>
        <v/>
      </c>
      <c r="V223" s="30">
        <f>IF(U223=1,MAX(N223/M223,SUMPRODUCT(MAX(((N223-$N$12:$N$267)*($U$12:$U$267*($M$12:$M$267&lt;M223)))/((M223-$M$12:$M$267)*($U$12:$U$267*($M$12:$M$267&lt;M223))+1-($U$12:$U$267*($M$12:$M$267&lt;M223)))-(1-($U$12:$U$267*($M$12:$M$267&lt;M223)))*1E+300))),0)</f>
        <v/>
      </c>
      <c r="W223" s="30">
        <f>IF(U223=1,SUMPRODUCT(MIN(((($N$12:$N$267-N223)*($U$12:$U$267*($M$12:$M$267&gt;M223)))/(($M$12:$M$267-M223)*($U$12:$U$267*($M$12:$M$267&gt;M223))+1-($U$12:$U$267*($M$12:$M$267&gt;M223)))+(1-($U$12:$U$267*($M$12:$M$267&gt;M223)))*1E+300))),0)</f>
        <v/>
      </c>
      <c r="X223" s="10">
        <f>IF(C223=0,0,IF(R223=1,1,IF(AND(U223=1,V223&lt;=W223),1,0)))</f>
        <v/>
      </c>
      <c r="Y223" s="10">
        <f>IF(X223=1,1+SUMPRODUCT($X$12:$X$267*(($M$12:$M$267&lt;M223)+($M$12:$M$267=M223)*($A$12:$A$267&lt;A223))),0)</f>
        <v/>
      </c>
      <c r="Z223" s="10">
        <f>IF(Y223&lt;=1,0,SUMPRODUCT(($Y$12:$Y$267=Y223-1)*$M$12:$M$267))</f>
        <v/>
      </c>
      <c r="AA223" s="10">
        <f>IF(Y223&lt;=1,0,SUMPRODUCT(($Y$12:$Y$267=Y223-1)*$N$12:$N$267))</f>
        <v/>
      </c>
      <c r="AB223" s="21">
        <f>IF(Y223=0,"",(M223-Z223)/10^in_out_dp)</f>
        <v/>
      </c>
      <c r="AC223" s="26">
        <f>IF(Y223=0,"",(N223-AA223)/10^in_cost_dp)</f>
        <v/>
      </c>
      <c r="AD223" s="26">
        <f>IF(Y223=0,"",IF(M223=Z223,0,AC223/AB223))</f>
        <v/>
      </c>
      <c r="AE223" s="26">
        <f>IF(AND(C223=1,M223&gt;0),Q223/P223,"n/a")</f>
        <v/>
      </c>
      <c r="AF223" s="15" t="n">
        <v>0</v>
      </c>
      <c r="AG223" s="6">
        <f>IF(AND(C223=1,AF223=1),1+SUMPRODUCT($C$12:$C$267*$AF$12:$AF$267*(($M$12:$M$267&lt;M223)+($M$12:$M$267=M223)*($N$12:$N$267&lt;N223)+($M$12:$M$267=M223)*($N$12:$N$267=N223)*($A$12:$A$267&lt;A223))),0)</f>
        <v/>
      </c>
    </row>
    <row r="224">
      <c r="A224" s="4" t="n">
        <v>213</v>
      </c>
      <c r="B224" s="4" t="inlineStr">
        <is>
          <t>17F2M + 17D2E + 2A + 3E</t>
        </is>
      </c>
      <c r="C224" s="10">
        <f>IF(SUMPRODUCT(D224:K224,1-$D$5:$K$5)=0,1,0)</f>
        <v/>
      </c>
      <c r="D224" s="4" t="n">
        <v>1</v>
      </c>
      <c r="E224" s="4" t="n">
        <v>1</v>
      </c>
      <c r="F224" s="4" t="n">
        <v>0</v>
      </c>
      <c r="G224" s="4" t="n">
        <v>1</v>
      </c>
      <c r="H224" s="4" t="n">
        <v>0</v>
      </c>
      <c r="I224" s="4" t="n">
        <v>1</v>
      </c>
      <c r="J224" s="4" t="n">
        <v>0</v>
      </c>
      <c r="K224" s="4" t="n">
        <v>0</v>
      </c>
      <c r="L224" s="6">
        <f>IF(C224=1,1+SUMPRODUCT(D224:K224,$D$9:$K$9),"")</f>
        <v/>
      </c>
      <c r="M224" s="6">
        <f>SUMPRODUCT(D224:K224,$D$6:$K$6)</f>
        <v/>
      </c>
      <c r="N224" s="6">
        <f>SUMPRODUCT(D224:K224,$D$7:$K$7)</f>
        <v/>
      </c>
      <c r="O224" s="25">
        <f>SUMPRODUCT(D224:K224,$D$8:$K$8)</f>
        <v/>
      </c>
      <c r="P224" s="21">
        <f>M224/10^in_out_dp</f>
        <v/>
      </c>
      <c r="Q224" s="26">
        <f>N224/10^in_cost_dp</f>
        <v/>
      </c>
      <c r="R224" s="10">
        <f>IF(SUM(D224:K224)=0,1,0)</f>
        <v/>
      </c>
      <c r="S224" s="10">
        <f>SUMPRODUCT($C$12:$C$267*(($M$12:$M$267=M224)*($N$12:$N$267&lt;N224)+($M$12:$M$267&gt;M224)*($N$12:$N$267&lt;=N224)))</f>
        <v/>
      </c>
      <c r="T224" s="10">
        <f>IF(C224=0,0,IF(OR(R224=1,S224=0),1,0))</f>
        <v/>
      </c>
      <c r="U224" s="10">
        <f>IF(AND(T224=1,R224=0,M224&gt;0),1,0)</f>
        <v/>
      </c>
      <c r="V224" s="30">
        <f>IF(U224=1,MAX(N224/M224,SUMPRODUCT(MAX(((N224-$N$12:$N$267)*($U$12:$U$267*($M$12:$M$267&lt;M224)))/((M224-$M$12:$M$267)*($U$12:$U$267*($M$12:$M$267&lt;M224))+1-($U$12:$U$267*($M$12:$M$267&lt;M224)))-(1-($U$12:$U$267*($M$12:$M$267&lt;M224)))*1E+300))),0)</f>
        <v/>
      </c>
      <c r="W224" s="30">
        <f>IF(U224=1,SUMPRODUCT(MIN(((($N$12:$N$267-N224)*($U$12:$U$267*($M$12:$M$267&gt;M224)))/(($M$12:$M$267-M224)*($U$12:$U$267*($M$12:$M$267&gt;M224))+1-($U$12:$U$267*($M$12:$M$267&gt;M224)))+(1-($U$12:$U$267*($M$12:$M$267&gt;M224)))*1E+300))),0)</f>
        <v/>
      </c>
      <c r="X224" s="10">
        <f>IF(C224=0,0,IF(R224=1,1,IF(AND(U224=1,V224&lt;=W224),1,0)))</f>
        <v/>
      </c>
      <c r="Y224" s="10">
        <f>IF(X224=1,1+SUMPRODUCT($X$12:$X$267*(($M$12:$M$267&lt;M224)+($M$12:$M$267=M224)*($A$12:$A$267&lt;A224))),0)</f>
        <v/>
      </c>
      <c r="Z224" s="10">
        <f>IF(Y224&lt;=1,0,SUMPRODUCT(($Y$12:$Y$267=Y224-1)*$M$12:$M$267))</f>
        <v/>
      </c>
      <c r="AA224" s="10">
        <f>IF(Y224&lt;=1,0,SUMPRODUCT(($Y$12:$Y$267=Y224-1)*$N$12:$N$267))</f>
        <v/>
      </c>
      <c r="AB224" s="21">
        <f>IF(Y224=0,"",(M224-Z224)/10^in_out_dp)</f>
        <v/>
      </c>
      <c r="AC224" s="26">
        <f>IF(Y224=0,"",(N224-AA224)/10^in_cost_dp)</f>
        <v/>
      </c>
      <c r="AD224" s="26">
        <f>IF(Y224=0,"",IF(M224=Z224,0,AC224/AB224))</f>
        <v/>
      </c>
      <c r="AE224" s="26">
        <f>IF(AND(C224=1,M224&gt;0),Q224/P224,"n/a")</f>
        <v/>
      </c>
      <c r="AF224" s="15" t="n">
        <v>0</v>
      </c>
      <c r="AG224" s="6">
        <f>IF(AND(C224=1,AF224=1),1+SUMPRODUCT($C$12:$C$267*$AF$12:$AF$267*(($M$12:$M$267&lt;M224)+($M$12:$M$267=M224)*($N$12:$N$267&lt;N224)+($M$12:$M$267=M224)*($N$12:$N$267=N224)*($A$12:$A$267&lt;A224))),0)</f>
        <v/>
      </c>
    </row>
    <row r="225">
      <c r="A225" s="4" t="n">
        <v>214</v>
      </c>
      <c r="B225" s="4" t="inlineStr">
        <is>
          <t>17F2M + 17D2E + 2A + 3E + 19A</t>
        </is>
      </c>
      <c r="C225" s="10">
        <f>IF(SUMPRODUCT(D225:K225,1-$D$5:$K$5)=0,1,0)</f>
        <v/>
      </c>
      <c r="D225" s="4" t="n">
        <v>1</v>
      </c>
      <c r="E225" s="4" t="n">
        <v>1</v>
      </c>
      <c r="F225" s="4" t="n">
        <v>0</v>
      </c>
      <c r="G225" s="4" t="n">
        <v>1</v>
      </c>
      <c r="H225" s="4" t="n">
        <v>0</v>
      </c>
      <c r="I225" s="4" t="n">
        <v>1</v>
      </c>
      <c r="J225" s="4" t="n">
        <v>0</v>
      </c>
      <c r="K225" s="4" t="n">
        <v>1</v>
      </c>
      <c r="L225" s="6">
        <f>IF(C225=1,1+SUMPRODUCT(D225:K225,$D$9:$K$9),"")</f>
        <v/>
      </c>
      <c r="M225" s="6">
        <f>SUMPRODUCT(D225:K225,$D$6:$K$6)</f>
        <v/>
      </c>
      <c r="N225" s="6">
        <f>SUMPRODUCT(D225:K225,$D$7:$K$7)</f>
        <v/>
      </c>
      <c r="O225" s="25">
        <f>SUMPRODUCT(D225:K225,$D$8:$K$8)</f>
        <v/>
      </c>
      <c r="P225" s="21">
        <f>M225/10^in_out_dp</f>
        <v/>
      </c>
      <c r="Q225" s="26">
        <f>N225/10^in_cost_dp</f>
        <v/>
      </c>
      <c r="R225" s="10">
        <f>IF(SUM(D225:K225)=0,1,0)</f>
        <v/>
      </c>
      <c r="S225" s="10">
        <f>SUMPRODUCT($C$12:$C$267*(($M$12:$M$267=M225)*($N$12:$N$267&lt;N225)+($M$12:$M$267&gt;M225)*($N$12:$N$267&lt;=N225)))</f>
        <v/>
      </c>
      <c r="T225" s="10">
        <f>IF(C225=0,0,IF(OR(R225=1,S225=0),1,0))</f>
        <v/>
      </c>
      <c r="U225" s="10">
        <f>IF(AND(T225=1,R225=0,M225&gt;0),1,0)</f>
        <v/>
      </c>
      <c r="V225" s="30">
        <f>IF(U225=1,MAX(N225/M225,SUMPRODUCT(MAX(((N225-$N$12:$N$267)*($U$12:$U$267*($M$12:$M$267&lt;M225)))/((M225-$M$12:$M$267)*($U$12:$U$267*($M$12:$M$267&lt;M225))+1-($U$12:$U$267*($M$12:$M$267&lt;M225)))-(1-($U$12:$U$267*($M$12:$M$267&lt;M225)))*1E+300))),0)</f>
        <v/>
      </c>
      <c r="W225" s="30">
        <f>IF(U225=1,SUMPRODUCT(MIN(((($N$12:$N$267-N225)*($U$12:$U$267*($M$12:$M$267&gt;M225)))/(($M$12:$M$267-M225)*($U$12:$U$267*($M$12:$M$267&gt;M225))+1-($U$12:$U$267*($M$12:$M$267&gt;M225)))+(1-($U$12:$U$267*($M$12:$M$267&gt;M225)))*1E+300))),0)</f>
        <v/>
      </c>
      <c r="X225" s="10">
        <f>IF(C225=0,0,IF(R225=1,1,IF(AND(U225=1,V225&lt;=W225),1,0)))</f>
        <v/>
      </c>
      <c r="Y225" s="10">
        <f>IF(X225=1,1+SUMPRODUCT($X$12:$X$267*(($M$12:$M$267&lt;M225)+($M$12:$M$267=M225)*($A$12:$A$267&lt;A225))),0)</f>
        <v/>
      </c>
      <c r="Z225" s="10">
        <f>IF(Y225&lt;=1,0,SUMPRODUCT(($Y$12:$Y$267=Y225-1)*$M$12:$M$267))</f>
        <v/>
      </c>
      <c r="AA225" s="10">
        <f>IF(Y225&lt;=1,0,SUMPRODUCT(($Y$12:$Y$267=Y225-1)*$N$12:$N$267))</f>
        <v/>
      </c>
      <c r="AB225" s="21">
        <f>IF(Y225=0,"",(M225-Z225)/10^in_out_dp)</f>
        <v/>
      </c>
      <c r="AC225" s="26">
        <f>IF(Y225=0,"",(N225-AA225)/10^in_cost_dp)</f>
        <v/>
      </c>
      <c r="AD225" s="26">
        <f>IF(Y225=0,"",IF(M225=Z225,0,AC225/AB225))</f>
        <v/>
      </c>
      <c r="AE225" s="26">
        <f>IF(AND(C225=1,M225&gt;0),Q225/P225,"n/a")</f>
        <v/>
      </c>
      <c r="AF225" s="15" t="n">
        <v>0</v>
      </c>
      <c r="AG225" s="6">
        <f>IF(AND(C225=1,AF225=1),1+SUMPRODUCT($C$12:$C$267*$AF$12:$AF$267*(($M$12:$M$267&lt;M225)+($M$12:$M$267=M225)*($N$12:$N$267&lt;N225)+($M$12:$M$267=M225)*($N$12:$N$267=N225)*($A$12:$A$267&lt;A225))),0)</f>
        <v/>
      </c>
    </row>
    <row r="226">
      <c r="A226" s="4" t="n">
        <v>215</v>
      </c>
      <c r="B226" s="4" t="inlineStr">
        <is>
          <t>17F2M + 17D2E + 2A + 3E + 3F</t>
        </is>
      </c>
      <c r="C226" s="10">
        <f>IF(SUMPRODUCT(D226:K226,1-$D$5:$K$5)=0,1,0)</f>
        <v/>
      </c>
      <c r="D226" s="4" t="n">
        <v>1</v>
      </c>
      <c r="E226" s="4" t="n">
        <v>1</v>
      </c>
      <c r="F226" s="4" t="n">
        <v>0</v>
      </c>
      <c r="G226" s="4" t="n">
        <v>1</v>
      </c>
      <c r="H226" s="4" t="n">
        <v>0</v>
      </c>
      <c r="I226" s="4" t="n">
        <v>1</v>
      </c>
      <c r="J226" s="4" t="n">
        <v>1</v>
      </c>
      <c r="K226" s="4" t="n">
        <v>0</v>
      </c>
      <c r="L226" s="6">
        <f>IF(C226=1,1+SUMPRODUCT(D226:K226,$D$9:$K$9),"")</f>
        <v/>
      </c>
      <c r="M226" s="6">
        <f>SUMPRODUCT(D226:K226,$D$6:$K$6)</f>
        <v/>
      </c>
      <c r="N226" s="6">
        <f>SUMPRODUCT(D226:K226,$D$7:$K$7)</f>
        <v/>
      </c>
      <c r="O226" s="25">
        <f>SUMPRODUCT(D226:K226,$D$8:$K$8)</f>
        <v/>
      </c>
      <c r="P226" s="21">
        <f>M226/10^in_out_dp</f>
        <v/>
      </c>
      <c r="Q226" s="26">
        <f>N226/10^in_cost_dp</f>
        <v/>
      </c>
      <c r="R226" s="10">
        <f>IF(SUM(D226:K226)=0,1,0)</f>
        <v/>
      </c>
      <c r="S226" s="10">
        <f>SUMPRODUCT($C$12:$C$267*(($M$12:$M$267=M226)*($N$12:$N$267&lt;N226)+($M$12:$M$267&gt;M226)*($N$12:$N$267&lt;=N226)))</f>
        <v/>
      </c>
      <c r="T226" s="10">
        <f>IF(C226=0,0,IF(OR(R226=1,S226=0),1,0))</f>
        <v/>
      </c>
      <c r="U226" s="10">
        <f>IF(AND(T226=1,R226=0,M226&gt;0),1,0)</f>
        <v/>
      </c>
      <c r="V226" s="30">
        <f>IF(U226=1,MAX(N226/M226,SUMPRODUCT(MAX(((N226-$N$12:$N$267)*($U$12:$U$267*($M$12:$M$267&lt;M226)))/((M226-$M$12:$M$267)*($U$12:$U$267*($M$12:$M$267&lt;M226))+1-($U$12:$U$267*($M$12:$M$267&lt;M226)))-(1-($U$12:$U$267*($M$12:$M$267&lt;M226)))*1E+300))),0)</f>
        <v/>
      </c>
      <c r="W226" s="30">
        <f>IF(U226=1,SUMPRODUCT(MIN(((($N$12:$N$267-N226)*($U$12:$U$267*($M$12:$M$267&gt;M226)))/(($M$12:$M$267-M226)*($U$12:$U$267*($M$12:$M$267&gt;M226))+1-($U$12:$U$267*($M$12:$M$267&gt;M226)))+(1-($U$12:$U$267*($M$12:$M$267&gt;M226)))*1E+300))),0)</f>
        <v/>
      </c>
      <c r="X226" s="10">
        <f>IF(C226=0,0,IF(R226=1,1,IF(AND(U226=1,V226&lt;=W226),1,0)))</f>
        <v/>
      </c>
      <c r="Y226" s="10">
        <f>IF(X226=1,1+SUMPRODUCT($X$12:$X$267*(($M$12:$M$267&lt;M226)+($M$12:$M$267=M226)*($A$12:$A$267&lt;A226))),0)</f>
        <v/>
      </c>
      <c r="Z226" s="10">
        <f>IF(Y226&lt;=1,0,SUMPRODUCT(($Y$12:$Y$267=Y226-1)*$M$12:$M$267))</f>
        <v/>
      </c>
      <c r="AA226" s="10">
        <f>IF(Y226&lt;=1,0,SUMPRODUCT(($Y$12:$Y$267=Y226-1)*$N$12:$N$267))</f>
        <v/>
      </c>
      <c r="AB226" s="21">
        <f>IF(Y226=0,"",(M226-Z226)/10^in_out_dp)</f>
        <v/>
      </c>
      <c r="AC226" s="26">
        <f>IF(Y226=0,"",(N226-AA226)/10^in_cost_dp)</f>
        <v/>
      </c>
      <c r="AD226" s="26">
        <f>IF(Y226=0,"",IF(M226=Z226,0,AC226/AB226))</f>
        <v/>
      </c>
      <c r="AE226" s="26">
        <f>IF(AND(C226=1,M226&gt;0),Q226/P226,"n/a")</f>
        <v/>
      </c>
      <c r="AF226" s="15" t="n">
        <v>0</v>
      </c>
      <c r="AG226" s="6">
        <f>IF(AND(C226=1,AF226=1),1+SUMPRODUCT($C$12:$C$267*$AF$12:$AF$267*(($M$12:$M$267&lt;M226)+($M$12:$M$267=M226)*($N$12:$N$267&lt;N226)+($M$12:$M$267=M226)*($N$12:$N$267=N226)*($A$12:$A$267&lt;A226))),0)</f>
        <v/>
      </c>
    </row>
    <row r="227">
      <c r="A227" s="4" t="n">
        <v>216</v>
      </c>
      <c r="B227" s="4" t="inlineStr">
        <is>
          <t>17F2M + 17D2E + 2A + 3E + 3F + 19A</t>
        </is>
      </c>
      <c r="C227" s="10">
        <f>IF(SUMPRODUCT(D227:K227,1-$D$5:$K$5)=0,1,0)</f>
        <v/>
      </c>
      <c r="D227" s="4" t="n">
        <v>1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1</v>
      </c>
      <c r="J227" s="4" t="n">
        <v>1</v>
      </c>
      <c r="K227" s="4" t="n">
        <v>1</v>
      </c>
      <c r="L227" s="6">
        <f>IF(C227=1,1+SUMPRODUCT(D227:K227,$D$9:$K$9),"")</f>
        <v/>
      </c>
      <c r="M227" s="6">
        <f>SUMPRODUCT(D227:K227,$D$6:$K$6)</f>
        <v/>
      </c>
      <c r="N227" s="6">
        <f>SUMPRODUCT(D227:K227,$D$7:$K$7)</f>
        <v/>
      </c>
      <c r="O227" s="25">
        <f>SUMPRODUCT(D227:K227,$D$8:$K$8)</f>
        <v/>
      </c>
      <c r="P227" s="21">
        <f>M227/10^in_out_dp</f>
        <v/>
      </c>
      <c r="Q227" s="26">
        <f>N227/10^in_cost_dp</f>
        <v/>
      </c>
      <c r="R227" s="10">
        <f>IF(SUM(D227:K227)=0,1,0)</f>
        <v/>
      </c>
      <c r="S227" s="10">
        <f>SUMPRODUCT($C$12:$C$267*(($M$12:$M$267=M227)*($N$12:$N$267&lt;N227)+($M$12:$M$267&gt;M227)*($N$12:$N$267&lt;=N227)))</f>
        <v/>
      </c>
      <c r="T227" s="10">
        <f>IF(C227=0,0,IF(OR(R227=1,S227=0),1,0))</f>
        <v/>
      </c>
      <c r="U227" s="10">
        <f>IF(AND(T227=1,R227=0,M227&gt;0),1,0)</f>
        <v/>
      </c>
      <c r="V227" s="30">
        <f>IF(U227=1,MAX(N227/M227,SUMPRODUCT(MAX(((N227-$N$12:$N$267)*($U$12:$U$267*($M$12:$M$267&lt;M227)))/((M227-$M$12:$M$267)*($U$12:$U$267*($M$12:$M$267&lt;M227))+1-($U$12:$U$267*($M$12:$M$267&lt;M227)))-(1-($U$12:$U$267*($M$12:$M$267&lt;M227)))*1E+300))),0)</f>
        <v/>
      </c>
      <c r="W227" s="30">
        <f>IF(U227=1,SUMPRODUCT(MIN(((($N$12:$N$267-N227)*($U$12:$U$267*($M$12:$M$267&gt;M227)))/(($M$12:$M$267-M227)*($U$12:$U$267*($M$12:$M$267&gt;M227))+1-($U$12:$U$267*($M$12:$M$267&gt;M227)))+(1-($U$12:$U$267*($M$12:$M$267&gt;M227)))*1E+300))),0)</f>
        <v/>
      </c>
      <c r="X227" s="10">
        <f>IF(C227=0,0,IF(R227=1,1,IF(AND(U227=1,V227&lt;=W227),1,0)))</f>
        <v/>
      </c>
      <c r="Y227" s="10">
        <f>IF(X227=1,1+SUMPRODUCT($X$12:$X$267*(($M$12:$M$267&lt;M227)+($M$12:$M$267=M227)*($A$12:$A$267&lt;A227))),0)</f>
        <v/>
      </c>
      <c r="Z227" s="10">
        <f>IF(Y227&lt;=1,0,SUMPRODUCT(($Y$12:$Y$267=Y227-1)*$M$12:$M$267))</f>
        <v/>
      </c>
      <c r="AA227" s="10">
        <f>IF(Y227&lt;=1,0,SUMPRODUCT(($Y$12:$Y$267=Y227-1)*$N$12:$N$267))</f>
        <v/>
      </c>
      <c r="AB227" s="21">
        <f>IF(Y227=0,"",(M227-Z227)/10^in_out_dp)</f>
        <v/>
      </c>
      <c r="AC227" s="26">
        <f>IF(Y227=0,"",(N227-AA227)/10^in_cost_dp)</f>
        <v/>
      </c>
      <c r="AD227" s="26">
        <f>IF(Y227=0,"",IF(M227=Z227,0,AC227/AB227))</f>
        <v/>
      </c>
      <c r="AE227" s="26">
        <f>IF(AND(C227=1,M227&gt;0),Q227/P227,"n/a")</f>
        <v/>
      </c>
      <c r="AF227" s="15" t="n">
        <v>0</v>
      </c>
      <c r="AG227" s="6">
        <f>IF(AND(C227=1,AF227=1),1+SUMPRODUCT($C$12:$C$267*$AF$12:$AF$267*(($M$12:$M$267&lt;M227)+($M$12:$M$267=M227)*($N$12:$N$267&lt;N227)+($M$12:$M$267=M227)*($N$12:$N$267=N227)*($A$12:$A$267&lt;A227))),0)</f>
        <v/>
      </c>
    </row>
    <row r="228">
      <c r="A228" s="4" t="n">
        <v>217</v>
      </c>
      <c r="B228" s="4" t="inlineStr">
        <is>
          <t>17F2M + 17D2E + 2A + 2B</t>
        </is>
      </c>
      <c r="C228" s="10">
        <f>IF(SUMPRODUCT(D228:K228,1-$D$5:$K$5)=0,1,0)</f>
        <v/>
      </c>
      <c r="D228" s="4" t="n">
        <v>1</v>
      </c>
      <c r="E228" s="4" t="n">
        <v>1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6">
        <f>IF(C228=1,1+SUMPRODUCT(D228:K228,$D$9:$K$9),"")</f>
        <v/>
      </c>
      <c r="M228" s="6">
        <f>SUMPRODUCT(D228:K228,$D$6:$K$6)</f>
        <v/>
      </c>
      <c r="N228" s="6">
        <f>SUMPRODUCT(D228:K228,$D$7:$K$7)</f>
        <v/>
      </c>
      <c r="O228" s="25">
        <f>SUMPRODUCT(D228:K228,$D$8:$K$8)</f>
        <v/>
      </c>
      <c r="P228" s="21">
        <f>M228/10^in_out_dp</f>
        <v/>
      </c>
      <c r="Q228" s="26">
        <f>N228/10^in_cost_dp</f>
        <v/>
      </c>
      <c r="R228" s="10">
        <f>IF(SUM(D228:K228)=0,1,0)</f>
        <v/>
      </c>
      <c r="S228" s="10">
        <f>SUMPRODUCT($C$12:$C$267*(($M$12:$M$267=M228)*($N$12:$N$267&lt;N228)+($M$12:$M$267&gt;M228)*($N$12:$N$267&lt;=N228)))</f>
        <v/>
      </c>
      <c r="T228" s="10">
        <f>IF(C228=0,0,IF(OR(R228=1,S228=0),1,0))</f>
        <v/>
      </c>
      <c r="U228" s="10">
        <f>IF(AND(T228=1,R228=0,M228&gt;0),1,0)</f>
        <v/>
      </c>
      <c r="V228" s="30">
        <f>IF(U228=1,MAX(N228/M228,SUMPRODUCT(MAX(((N228-$N$12:$N$267)*($U$12:$U$267*($M$12:$M$267&lt;M228)))/((M228-$M$12:$M$267)*($U$12:$U$267*($M$12:$M$267&lt;M228))+1-($U$12:$U$267*($M$12:$M$267&lt;M228)))-(1-($U$12:$U$267*($M$12:$M$267&lt;M228)))*1E+300))),0)</f>
        <v/>
      </c>
      <c r="W228" s="30">
        <f>IF(U228=1,SUMPRODUCT(MIN(((($N$12:$N$267-N228)*($U$12:$U$267*($M$12:$M$267&gt;M228)))/(($M$12:$M$267-M228)*($U$12:$U$267*($M$12:$M$267&gt;M228))+1-($U$12:$U$267*($M$12:$M$267&gt;M228)))+(1-($U$12:$U$267*($M$12:$M$267&gt;M228)))*1E+300))),0)</f>
        <v/>
      </c>
      <c r="X228" s="10">
        <f>IF(C228=0,0,IF(R228=1,1,IF(AND(U228=1,V228&lt;=W228),1,0)))</f>
        <v/>
      </c>
      <c r="Y228" s="10">
        <f>IF(X228=1,1+SUMPRODUCT($X$12:$X$267*(($M$12:$M$267&lt;M228)+($M$12:$M$267=M228)*($A$12:$A$267&lt;A228))),0)</f>
        <v/>
      </c>
      <c r="Z228" s="10">
        <f>IF(Y228&lt;=1,0,SUMPRODUCT(($Y$12:$Y$267=Y228-1)*$M$12:$M$267))</f>
        <v/>
      </c>
      <c r="AA228" s="10">
        <f>IF(Y228&lt;=1,0,SUMPRODUCT(($Y$12:$Y$267=Y228-1)*$N$12:$N$267))</f>
        <v/>
      </c>
      <c r="AB228" s="21">
        <f>IF(Y228=0,"",(M228-Z228)/10^in_out_dp)</f>
        <v/>
      </c>
      <c r="AC228" s="26">
        <f>IF(Y228=0,"",(N228-AA228)/10^in_cost_dp)</f>
        <v/>
      </c>
      <c r="AD228" s="26">
        <f>IF(Y228=0,"",IF(M228=Z228,0,AC228/AB228))</f>
        <v/>
      </c>
      <c r="AE228" s="26">
        <f>IF(AND(C228=1,M228&gt;0),Q228/P228,"n/a")</f>
        <v/>
      </c>
      <c r="AF228" s="15" t="n">
        <v>0</v>
      </c>
      <c r="AG228" s="6">
        <f>IF(AND(C228=1,AF228=1),1+SUMPRODUCT($C$12:$C$267*$AF$12:$AF$267*(($M$12:$M$267&lt;M228)+($M$12:$M$267=M228)*($N$12:$N$267&lt;N228)+($M$12:$M$267=M228)*($N$12:$N$267=N228)*($A$12:$A$267&lt;A228))),0)</f>
        <v/>
      </c>
    </row>
    <row r="229">
      <c r="A229" s="4" t="n">
        <v>218</v>
      </c>
      <c r="B229" s="4" t="inlineStr">
        <is>
          <t>17F2M + 17D2E + 2A + 2B + 19A</t>
        </is>
      </c>
      <c r="C229" s="10">
        <f>IF(SUMPRODUCT(D229:K229,1-$D$5:$K$5)=0,1,0)</f>
        <v/>
      </c>
      <c r="D229" s="4" t="n">
        <v>1</v>
      </c>
      <c r="E229" s="4" t="n">
        <v>1</v>
      </c>
      <c r="F229" s="4" t="n">
        <v>0</v>
      </c>
      <c r="G229" s="4" t="n">
        <v>1</v>
      </c>
      <c r="H229" s="4" t="n">
        <v>1</v>
      </c>
      <c r="I229" s="4" t="n">
        <v>0</v>
      </c>
      <c r="J229" s="4" t="n">
        <v>0</v>
      </c>
      <c r="K229" s="4" t="n">
        <v>1</v>
      </c>
      <c r="L229" s="6">
        <f>IF(C229=1,1+SUMPRODUCT(D229:K229,$D$9:$K$9),"")</f>
        <v/>
      </c>
      <c r="M229" s="6">
        <f>SUMPRODUCT(D229:K229,$D$6:$K$6)</f>
        <v/>
      </c>
      <c r="N229" s="6">
        <f>SUMPRODUCT(D229:K229,$D$7:$K$7)</f>
        <v/>
      </c>
      <c r="O229" s="25">
        <f>SUMPRODUCT(D229:K229,$D$8:$K$8)</f>
        <v/>
      </c>
      <c r="P229" s="21">
        <f>M229/10^in_out_dp</f>
        <v/>
      </c>
      <c r="Q229" s="26">
        <f>N229/10^in_cost_dp</f>
        <v/>
      </c>
      <c r="R229" s="10">
        <f>IF(SUM(D229:K229)=0,1,0)</f>
        <v/>
      </c>
      <c r="S229" s="10">
        <f>SUMPRODUCT($C$12:$C$267*(($M$12:$M$267=M229)*($N$12:$N$267&lt;N229)+($M$12:$M$267&gt;M229)*($N$12:$N$267&lt;=N229)))</f>
        <v/>
      </c>
      <c r="T229" s="10">
        <f>IF(C229=0,0,IF(OR(R229=1,S229=0),1,0))</f>
        <v/>
      </c>
      <c r="U229" s="10">
        <f>IF(AND(T229=1,R229=0,M229&gt;0),1,0)</f>
        <v/>
      </c>
      <c r="V229" s="30">
        <f>IF(U229=1,MAX(N229/M229,SUMPRODUCT(MAX(((N229-$N$12:$N$267)*($U$12:$U$267*($M$12:$M$267&lt;M229)))/((M229-$M$12:$M$267)*($U$12:$U$267*($M$12:$M$267&lt;M229))+1-($U$12:$U$267*($M$12:$M$267&lt;M229)))-(1-($U$12:$U$267*($M$12:$M$267&lt;M229)))*1E+300))),0)</f>
        <v/>
      </c>
      <c r="W229" s="30">
        <f>IF(U229=1,SUMPRODUCT(MIN(((($N$12:$N$267-N229)*($U$12:$U$267*($M$12:$M$267&gt;M229)))/(($M$12:$M$267-M229)*($U$12:$U$267*($M$12:$M$267&gt;M229))+1-($U$12:$U$267*($M$12:$M$267&gt;M229)))+(1-($U$12:$U$267*($M$12:$M$267&gt;M229)))*1E+300))),0)</f>
        <v/>
      </c>
      <c r="X229" s="10">
        <f>IF(C229=0,0,IF(R229=1,1,IF(AND(U229=1,V229&lt;=W229),1,0)))</f>
        <v/>
      </c>
      <c r="Y229" s="10">
        <f>IF(X229=1,1+SUMPRODUCT($X$12:$X$267*(($M$12:$M$267&lt;M229)+($M$12:$M$267=M229)*($A$12:$A$267&lt;A229))),0)</f>
        <v/>
      </c>
      <c r="Z229" s="10">
        <f>IF(Y229&lt;=1,0,SUMPRODUCT(($Y$12:$Y$267=Y229-1)*$M$12:$M$267))</f>
        <v/>
      </c>
      <c r="AA229" s="10">
        <f>IF(Y229&lt;=1,0,SUMPRODUCT(($Y$12:$Y$267=Y229-1)*$N$12:$N$267))</f>
        <v/>
      </c>
      <c r="AB229" s="21">
        <f>IF(Y229=0,"",(M229-Z229)/10^in_out_dp)</f>
        <v/>
      </c>
      <c r="AC229" s="26">
        <f>IF(Y229=0,"",(N229-AA229)/10^in_cost_dp)</f>
        <v/>
      </c>
      <c r="AD229" s="26">
        <f>IF(Y229=0,"",IF(M229=Z229,0,AC229/AB229))</f>
        <v/>
      </c>
      <c r="AE229" s="26">
        <f>IF(AND(C229=1,M229&gt;0),Q229/P229,"n/a")</f>
        <v/>
      </c>
      <c r="AF229" s="15" t="n">
        <v>0</v>
      </c>
      <c r="AG229" s="6">
        <f>IF(AND(C229=1,AF229=1),1+SUMPRODUCT($C$12:$C$267*$AF$12:$AF$267*(($M$12:$M$267&lt;M229)+($M$12:$M$267=M229)*($N$12:$N$267&lt;N229)+($M$12:$M$267=M229)*($N$12:$N$267=N229)*($A$12:$A$267&lt;A229))),0)</f>
        <v/>
      </c>
    </row>
    <row r="230">
      <c r="A230" s="4" t="n">
        <v>219</v>
      </c>
      <c r="B230" s="4" t="inlineStr">
        <is>
          <t>17F2M + 17D2E + 2A + 2B + 3F</t>
        </is>
      </c>
      <c r="C230" s="10">
        <f>IF(SUMPRODUCT(D230:K230,1-$D$5:$K$5)=0,1,0)</f>
        <v/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1</v>
      </c>
      <c r="I230" s="4" t="n">
        <v>0</v>
      </c>
      <c r="J230" s="4" t="n">
        <v>1</v>
      </c>
      <c r="K230" s="4" t="n">
        <v>0</v>
      </c>
      <c r="L230" s="6">
        <f>IF(C230=1,1+SUMPRODUCT(D230:K230,$D$9:$K$9),"")</f>
        <v/>
      </c>
      <c r="M230" s="6">
        <f>SUMPRODUCT(D230:K230,$D$6:$K$6)</f>
        <v/>
      </c>
      <c r="N230" s="6">
        <f>SUMPRODUCT(D230:K230,$D$7:$K$7)</f>
        <v/>
      </c>
      <c r="O230" s="25">
        <f>SUMPRODUCT(D230:K230,$D$8:$K$8)</f>
        <v/>
      </c>
      <c r="P230" s="21">
        <f>M230/10^in_out_dp</f>
        <v/>
      </c>
      <c r="Q230" s="26">
        <f>N230/10^in_cost_dp</f>
        <v/>
      </c>
      <c r="R230" s="10">
        <f>IF(SUM(D230:K230)=0,1,0)</f>
        <v/>
      </c>
      <c r="S230" s="10">
        <f>SUMPRODUCT($C$12:$C$267*(($M$12:$M$267=M230)*($N$12:$N$267&lt;N230)+($M$12:$M$267&gt;M230)*($N$12:$N$267&lt;=N230)))</f>
        <v/>
      </c>
      <c r="T230" s="10">
        <f>IF(C230=0,0,IF(OR(R230=1,S230=0),1,0))</f>
        <v/>
      </c>
      <c r="U230" s="10">
        <f>IF(AND(T230=1,R230=0,M230&gt;0),1,0)</f>
        <v/>
      </c>
      <c r="V230" s="30">
        <f>IF(U230=1,MAX(N230/M230,SUMPRODUCT(MAX(((N230-$N$12:$N$267)*($U$12:$U$267*($M$12:$M$267&lt;M230)))/((M230-$M$12:$M$267)*($U$12:$U$267*($M$12:$M$267&lt;M230))+1-($U$12:$U$267*($M$12:$M$267&lt;M230)))-(1-($U$12:$U$267*($M$12:$M$267&lt;M230)))*1E+300))),0)</f>
        <v/>
      </c>
      <c r="W230" s="30">
        <f>IF(U230=1,SUMPRODUCT(MIN(((($N$12:$N$267-N230)*($U$12:$U$267*($M$12:$M$267&gt;M230)))/(($M$12:$M$267-M230)*($U$12:$U$267*($M$12:$M$267&gt;M230))+1-($U$12:$U$267*($M$12:$M$267&gt;M230)))+(1-($U$12:$U$267*($M$12:$M$267&gt;M230)))*1E+300))),0)</f>
        <v/>
      </c>
      <c r="X230" s="10">
        <f>IF(C230=0,0,IF(R230=1,1,IF(AND(U230=1,V230&lt;=W230),1,0)))</f>
        <v/>
      </c>
      <c r="Y230" s="10">
        <f>IF(X230=1,1+SUMPRODUCT($X$12:$X$267*(($M$12:$M$267&lt;M230)+($M$12:$M$267=M230)*($A$12:$A$267&lt;A230))),0)</f>
        <v/>
      </c>
      <c r="Z230" s="10">
        <f>IF(Y230&lt;=1,0,SUMPRODUCT(($Y$12:$Y$267=Y230-1)*$M$12:$M$267))</f>
        <v/>
      </c>
      <c r="AA230" s="10">
        <f>IF(Y230&lt;=1,0,SUMPRODUCT(($Y$12:$Y$267=Y230-1)*$N$12:$N$267))</f>
        <v/>
      </c>
      <c r="AB230" s="21">
        <f>IF(Y230=0,"",(M230-Z230)/10^in_out_dp)</f>
        <v/>
      </c>
      <c r="AC230" s="26">
        <f>IF(Y230=0,"",(N230-AA230)/10^in_cost_dp)</f>
        <v/>
      </c>
      <c r="AD230" s="26">
        <f>IF(Y230=0,"",IF(M230=Z230,0,AC230/AB230))</f>
        <v/>
      </c>
      <c r="AE230" s="26">
        <f>IF(AND(C230=1,M230&gt;0),Q230/P230,"n/a")</f>
        <v/>
      </c>
      <c r="AF230" s="15" t="n">
        <v>0</v>
      </c>
      <c r="AG230" s="6">
        <f>IF(AND(C230=1,AF230=1),1+SUMPRODUCT($C$12:$C$267*$AF$12:$AF$267*(($M$12:$M$267&lt;M230)+($M$12:$M$267=M230)*($N$12:$N$267&lt;N230)+($M$12:$M$267=M230)*($N$12:$N$267=N230)*($A$12:$A$267&lt;A230))),0)</f>
        <v/>
      </c>
    </row>
    <row r="231">
      <c r="A231" s="4" t="n">
        <v>220</v>
      </c>
      <c r="B231" s="4" t="inlineStr">
        <is>
          <t>17F2M + 17D2E + 2A + 2B + 3F + 19A</t>
        </is>
      </c>
      <c r="C231" s="10">
        <f>IF(SUMPRODUCT(D231:K231,1-$D$5:$K$5)=0,1,0)</f>
        <v/>
      </c>
      <c r="D231" s="4" t="n">
        <v>1</v>
      </c>
      <c r="E231" s="4" t="n">
        <v>1</v>
      </c>
      <c r="F231" s="4" t="n">
        <v>0</v>
      </c>
      <c r="G231" s="4" t="n">
        <v>1</v>
      </c>
      <c r="H231" s="4" t="n">
        <v>1</v>
      </c>
      <c r="I231" s="4" t="n">
        <v>0</v>
      </c>
      <c r="J231" s="4" t="n">
        <v>1</v>
      </c>
      <c r="K231" s="4" t="n">
        <v>1</v>
      </c>
      <c r="L231" s="6">
        <f>IF(C231=1,1+SUMPRODUCT(D231:K231,$D$9:$K$9),"")</f>
        <v/>
      </c>
      <c r="M231" s="6">
        <f>SUMPRODUCT(D231:K231,$D$6:$K$6)</f>
        <v/>
      </c>
      <c r="N231" s="6">
        <f>SUMPRODUCT(D231:K231,$D$7:$K$7)</f>
        <v/>
      </c>
      <c r="O231" s="25">
        <f>SUMPRODUCT(D231:K231,$D$8:$K$8)</f>
        <v/>
      </c>
      <c r="P231" s="21">
        <f>M231/10^in_out_dp</f>
        <v/>
      </c>
      <c r="Q231" s="26">
        <f>N231/10^in_cost_dp</f>
        <v/>
      </c>
      <c r="R231" s="10">
        <f>IF(SUM(D231:K231)=0,1,0)</f>
        <v/>
      </c>
      <c r="S231" s="10">
        <f>SUMPRODUCT($C$12:$C$267*(($M$12:$M$267=M231)*($N$12:$N$267&lt;N231)+($M$12:$M$267&gt;M231)*($N$12:$N$267&lt;=N231)))</f>
        <v/>
      </c>
      <c r="T231" s="10">
        <f>IF(C231=0,0,IF(OR(R231=1,S231=0),1,0))</f>
        <v/>
      </c>
      <c r="U231" s="10">
        <f>IF(AND(T231=1,R231=0,M231&gt;0),1,0)</f>
        <v/>
      </c>
      <c r="V231" s="30">
        <f>IF(U231=1,MAX(N231/M231,SUMPRODUCT(MAX(((N231-$N$12:$N$267)*($U$12:$U$267*($M$12:$M$267&lt;M231)))/((M231-$M$12:$M$267)*($U$12:$U$267*($M$12:$M$267&lt;M231))+1-($U$12:$U$267*($M$12:$M$267&lt;M231)))-(1-($U$12:$U$267*($M$12:$M$267&lt;M231)))*1E+300))),0)</f>
        <v/>
      </c>
      <c r="W231" s="30">
        <f>IF(U231=1,SUMPRODUCT(MIN(((($N$12:$N$267-N231)*($U$12:$U$267*($M$12:$M$267&gt;M231)))/(($M$12:$M$267-M231)*($U$12:$U$267*($M$12:$M$267&gt;M231))+1-($U$12:$U$267*($M$12:$M$267&gt;M231)))+(1-($U$12:$U$267*($M$12:$M$267&gt;M231)))*1E+300))),0)</f>
        <v/>
      </c>
      <c r="X231" s="10">
        <f>IF(C231=0,0,IF(R231=1,1,IF(AND(U231=1,V231&lt;=W231),1,0)))</f>
        <v/>
      </c>
      <c r="Y231" s="10">
        <f>IF(X231=1,1+SUMPRODUCT($X$12:$X$267*(($M$12:$M$267&lt;M231)+($M$12:$M$267=M231)*($A$12:$A$267&lt;A231))),0)</f>
        <v/>
      </c>
      <c r="Z231" s="10">
        <f>IF(Y231&lt;=1,0,SUMPRODUCT(($Y$12:$Y$267=Y231-1)*$M$12:$M$267))</f>
        <v/>
      </c>
      <c r="AA231" s="10">
        <f>IF(Y231&lt;=1,0,SUMPRODUCT(($Y$12:$Y$267=Y231-1)*$N$12:$N$267))</f>
        <v/>
      </c>
      <c r="AB231" s="21">
        <f>IF(Y231=0,"",(M231-Z231)/10^in_out_dp)</f>
        <v/>
      </c>
      <c r="AC231" s="26">
        <f>IF(Y231=0,"",(N231-AA231)/10^in_cost_dp)</f>
        <v/>
      </c>
      <c r="AD231" s="26">
        <f>IF(Y231=0,"",IF(M231=Z231,0,AC231/AB231))</f>
        <v/>
      </c>
      <c r="AE231" s="26">
        <f>IF(AND(C231=1,M231&gt;0),Q231/P231,"n/a")</f>
        <v/>
      </c>
      <c r="AF231" s="15" t="n">
        <v>0</v>
      </c>
      <c r="AG231" s="6">
        <f>IF(AND(C231=1,AF231=1),1+SUMPRODUCT($C$12:$C$267*$AF$12:$AF$267*(($M$12:$M$267&lt;M231)+($M$12:$M$267=M231)*($N$12:$N$267&lt;N231)+($M$12:$M$267=M231)*($N$12:$N$267=N231)*($A$12:$A$267&lt;A231))),0)</f>
        <v/>
      </c>
    </row>
    <row r="232">
      <c r="A232" s="4" t="n">
        <v>221</v>
      </c>
      <c r="B232" s="4" t="inlineStr">
        <is>
          <t>17F2M + 17D2E + 2A + 2B + 3E</t>
        </is>
      </c>
      <c r="C232" s="10">
        <f>IF(SUMPRODUCT(D232:K232,1-$D$5:$K$5)=0,1,0)</f>
        <v/>
      </c>
      <c r="D232" s="4" t="n">
        <v>1</v>
      </c>
      <c r="E232" s="4" t="n">
        <v>1</v>
      </c>
      <c r="F232" s="4" t="n">
        <v>0</v>
      </c>
      <c r="G232" s="4" t="n">
        <v>1</v>
      </c>
      <c r="H232" s="4" t="n">
        <v>1</v>
      </c>
      <c r="I232" s="4" t="n">
        <v>1</v>
      </c>
      <c r="J232" s="4" t="n">
        <v>0</v>
      </c>
      <c r="K232" s="4" t="n">
        <v>0</v>
      </c>
      <c r="L232" s="6">
        <f>IF(C232=1,1+SUMPRODUCT(D232:K232,$D$9:$K$9),"")</f>
        <v/>
      </c>
      <c r="M232" s="6">
        <f>SUMPRODUCT(D232:K232,$D$6:$K$6)</f>
        <v/>
      </c>
      <c r="N232" s="6">
        <f>SUMPRODUCT(D232:K232,$D$7:$K$7)</f>
        <v/>
      </c>
      <c r="O232" s="25">
        <f>SUMPRODUCT(D232:K232,$D$8:$K$8)</f>
        <v/>
      </c>
      <c r="P232" s="21">
        <f>M232/10^in_out_dp</f>
        <v/>
      </c>
      <c r="Q232" s="26">
        <f>N232/10^in_cost_dp</f>
        <v/>
      </c>
      <c r="R232" s="10">
        <f>IF(SUM(D232:K232)=0,1,0)</f>
        <v/>
      </c>
      <c r="S232" s="10">
        <f>SUMPRODUCT($C$12:$C$267*(($M$12:$M$267=M232)*($N$12:$N$267&lt;N232)+($M$12:$M$267&gt;M232)*($N$12:$N$267&lt;=N232)))</f>
        <v/>
      </c>
      <c r="T232" s="10">
        <f>IF(C232=0,0,IF(OR(R232=1,S232=0),1,0))</f>
        <v/>
      </c>
      <c r="U232" s="10">
        <f>IF(AND(T232=1,R232=0,M232&gt;0),1,0)</f>
        <v/>
      </c>
      <c r="V232" s="30">
        <f>IF(U232=1,MAX(N232/M232,SUMPRODUCT(MAX(((N232-$N$12:$N$267)*($U$12:$U$267*($M$12:$M$267&lt;M232)))/((M232-$M$12:$M$267)*($U$12:$U$267*($M$12:$M$267&lt;M232))+1-($U$12:$U$267*($M$12:$M$267&lt;M232)))-(1-($U$12:$U$267*($M$12:$M$267&lt;M232)))*1E+300))),0)</f>
        <v/>
      </c>
      <c r="W232" s="30">
        <f>IF(U232=1,SUMPRODUCT(MIN(((($N$12:$N$267-N232)*($U$12:$U$267*($M$12:$M$267&gt;M232)))/(($M$12:$M$267-M232)*($U$12:$U$267*($M$12:$M$267&gt;M232))+1-($U$12:$U$267*($M$12:$M$267&gt;M232)))+(1-($U$12:$U$267*($M$12:$M$267&gt;M232)))*1E+300))),0)</f>
        <v/>
      </c>
      <c r="X232" s="10">
        <f>IF(C232=0,0,IF(R232=1,1,IF(AND(U232=1,V232&lt;=W232),1,0)))</f>
        <v/>
      </c>
      <c r="Y232" s="10">
        <f>IF(X232=1,1+SUMPRODUCT($X$12:$X$267*(($M$12:$M$267&lt;M232)+($M$12:$M$267=M232)*($A$12:$A$267&lt;A232))),0)</f>
        <v/>
      </c>
      <c r="Z232" s="10">
        <f>IF(Y232&lt;=1,0,SUMPRODUCT(($Y$12:$Y$267=Y232-1)*$M$12:$M$267))</f>
        <v/>
      </c>
      <c r="AA232" s="10">
        <f>IF(Y232&lt;=1,0,SUMPRODUCT(($Y$12:$Y$267=Y232-1)*$N$12:$N$267))</f>
        <v/>
      </c>
      <c r="AB232" s="21">
        <f>IF(Y232=0,"",(M232-Z232)/10^in_out_dp)</f>
        <v/>
      </c>
      <c r="AC232" s="26">
        <f>IF(Y232=0,"",(N232-AA232)/10^in_cost_dp)</f>
        <v/>
      </c>
      <c r="AD232" s="26">
        <f>IF(Y232=0,"",IF(M232=Z232,0,AC232/AB232))</f>
        <v/>
      </c>
      <c r="AE232" s="26">
        <f>IF(AND(C232=1,M232&gt;0),Q232/P232,"n/a")</f>
        <v/>
      </c>
      <c r="AF232" s="15" t="n">
        <v>0</v>
      </c>
      <c r="AG232" s="6">
        <f>IF(AND(C232=1,AF232=1),1+SUMPRODUCT($C$12:$C$267*$AF$12:$AF$267*(($M$12:$M$267&lt;M232)+($M$12:$M$267=M232)*($N$12:$N$267&lt;N232)+($M$12:$M$267=M232)*($N$12:$N$267=N232)*($A$12:$A$267&lt;A232))),0)</f>
        <v/>
      </c>
    </row>
    <row r="233">
      <c r="A233" s="4" t="n">
        <v>222</v>
      </c>
      <c r="B233" s="4" t="inlineStr">
        <is>
          <t>17F2M + 17D2E + 2A + 2B + 3E + 19A</t>
        </is>
      </c>
      <c r="C233" s="10">
        <f>IF(SUMPRODUCT(D233:K233,1-$D$5:$K$5)=0,1,0)</f>
        <v/>
      </c>
      <c r="D233" s="4" t="n">
        <v>1</v>
      </c>
      <c r="E233" s="4" t="n">
        <v>1</v>
      </c>
      <c r="F233" s="4" t="n">
        <v>0</v>
      </c>
      <c r="G233" s="4" t="n">
        <v>1</v>
      </c>
      <c r="H233" s="4" t="n">
        <v>1</v>
      </c>
      <c r="I233" s="4" t="n">
        <v>1</v>
      </c>
      <c r="J233" s="4" t="n">
        <v>0</v>
      </c>
      <c r="K233" s="4" t="n">
        <v>1</v>
      </c>
      <c r="L233" s="6">
        <f>IF(C233=1,1+SUMPRODUCT(D233:K233,$D$9:$K$9),"")</f>
        <v/>
      </c>
      <c r="M233" s="6">
        <f>SUMPRODUCT(D233:K233,$D$6:$K$6)</f>
        <v/>
      </c>
      <c r="N233" s="6">
        <f>SUMPRODUCT(D233:K233,$D$7:$K$7)</f>
        <v/>
      </c>
      <c r="O233" s="25">
        <f>SUMPRODUCT(D233:K233,$D$8:$K$8)</f>
        <v/>
      </c>
      <c r="P233" s="21">
        <f>M233/10^in_out_dp</f>
        <v/>
      </c>
      <c r="Q233" s="26">
        <f>N233/10^in_cost_dp</f>
        <v/>
      </c>
      <c r="R233" s="10">
        <f>IF(SUM(D233:K233)=0,1,0)</f>
        <v/>
      </c>
      <c r="S233" s="10">
        <f>SUMPRODUCT($C$12:$C$267*(($M$12:$M$267=M233)*($N$12:$N$267&lt;N233)+($M$12:$M$267&gt;M233)*($N$12:$N$267&lt;=N233)))</f>
        <v/>
      </c>
      <c r="T233" s="10">
        <f>IF(C233=0,0,IF(OR(R233=1,S233=0),1,0))</f>
        <v/>
      </c>
      <c r="U233" s="10">
        <f>IF(AND(T233=1,R233=0,M233&gt;0),1,0)</f>
        <v/>
      </c>
      <c r="V233" s="30">
        <f>IF(U233=1,MAX(N233/M233,SUMPRODUCT(MAX(((N233-$N$12:$N$267)*($U$12:$U$267*($M$12:$M$267&lt;M233)))/((M233-$M$12:$M$267)*($U$12:$U$267*($M$12:$M$267&lt;M233))+1-($U$12:$U$267*($M$12:$M$267&lt;M233)))-(1-($U$12:$U$267*($M$12:$M$267&lt;M233)))*1E+300))),0)</f>
        <v/>
      </c>
      <c r="W233" s="30">
        <f>IF(U233=1,SUMPRODUCT(MIN(((($N$12:$N$267-N233)*($U$12:$U$267*($M$12:$M$267&gt;M233)))/(($M$12:$M$267-M233)*($U$12:$U$267*($M$12:$M$267&gt;M233))+1-($U$12:$U$267*($M$12:$M$267&gt;M233)))+(1-($U$12:$U$267*($M$12:$M$267&gt;M233)))*1E+300))),0)</f>
        <v/>
      </c>
      <c r="X233" s="10">
        <f>IF(C233=0,0,IF(R233=1,1,IF(AND(U233=1,V233&lt;=W233),1,0)))</f>
        <v/>
      </c>
      <c r="Y233" s="10">
        <f>IF(X233=1,1+SUMPRODUCT($X$12:$X$267*(($M$12:$M$267&lt;M233)+($M$12:$M$267=M233)*($A$12:$A$267&lt;A233))),0)</f>
        <v/>
      </c>
      <c r="Z233" s="10">
        <f>IF(Y233&lt;=1,0,SUMPRODUCT(($Y$12:$Y$267=Y233-1)*$M$12:$M$267))</f>
        <v/>
      </c>
      <c r="AA233" s="10">
        <f>IF(Y233&lt;=1,0,SUMPRODUCT(($Y$12:$Y$267=Y233-1)*$N$12:$N$267))</f>
        <v/>
      </c>
      <c r="AB233" s="21">
        <f>IF(Y233=0,"",(M233-Z233)/10^in_out_dp)</f>
        <v/>
      </c>
      <c r="AC233" s="26">
        <f>IF(Y233=0,"",(N233-AA233)/10^in_cost_dp)</f>
        <v/>
      </c>
      <c r="AD233" s="26">
        <f>IF(Y233=0,"",IF(M233=Z233,0,AC233/AB233))</f>
        <v/>
      </c>
      <c r="AE233" s="26">
        <f>IF(AND(C233=1,M233&gt;0),Q233/P233,"n/a")</f>
        <v/>
      </c>
      <c r="AF233" s="15" t="n">
        <v>0</v>
      </c>
      <c r="AG233" s="6">
        <f>IF(AND(C233=1,AF233=1),1+SUMPRODUCT($C$12:$C$267*$AF$12:$AF$267*(($M$12:$M$267&lt;M233)+($M$12:$M$267=M233)*($N$12:$N$267&lt;N233)+($M$12:$M$267=M233)*($N$12:$N$267=N233)*($A$12:$A$267&lt;A233))),0)</f>
        <v/>
      </c>
    </row>
    <row r="234">
      <c r="A234" s="4" t="n">
        <v>223</v>
      </c>
      <c r="B234" s="4" t="inlineStr">
        <is>
          <t>17F2M + 17D2E + 2A + 2B + 3E + 3F</t>
        </is>
      </c>
      <c r="C234" s="10">
        <f>IF(SUMPRODUCT(D234:K234,1-$D$5:$K$5)=0,1,0)</f>
        <v/>
      </c>
      <c r="D234" s="4" t="n">
        <v>1</v>
      </c>
      <c r="E234" s="4" t="n">
        <v>1</v>
      </c>
      <c r="F234" s="4" t="n">
        <v>0</v>
      </c>
      <c r="G234" s="4" t="n">
        <v>1</v>
      </c>
      <c r="H234" s="4" t="n">
        <v>1</v>
      </c>
      <c r="I234" s="4" t="n">
        <v>1</v>
      </c>
      <c r="J234" s="4" t="n">
        <v>1</v>
      </c>
      <c r="K234" s="4" t="n">
        <v>0</v>
      </c>
      <c r="L234" s="6">
        <f>IF(C234=1,1+SUMPRODUCT(D234:K234,$D$9:$K$9),"")</f>
        <v/>
      </c>
      <c r="M234" s="6">
        <f>SUMPRODUCT(D234:K234,$D$6:$K$6)</f>
        <v/>
      </c>
      <c r="N234" s="6">
        <f>SUMPRODUCT(D234:K234,$D$7:$K$7)</f>
        <v/>
      </c>
      <c r="O234" s="25">
        <f>SUMPRODUCT(D234:K234,$D$8:$K$8)</f>
        <v/>
      </c>
      <c r="P234" s="21">
        <f>M234/10^in_out_dp</f>
        <v/>
      </c>
      <c r="Q234" s="26">
        <f>N234/10^in_cost_dp</f>
        <v/>
      </c>
      <c r="R234" s="10">
        <f>IF(SUM(D234:K234)=0,1,0)</f>
        <v/>
      </c>
      <c r="S234" s="10">
        <f>SUMPRODUCT($C$12:$C$267*(($M$12:$M$267=M234)*($N$12:$N$267&lt;N234)+($M$12:$M$267&gt;M234)*($N$12:$N$267&lt;=N234)))</f>
        <v/>
      </c>
      <c r="T234" s="10">
        <f>IF(C234=0,0,IF(OR(R234=1,S234=0),1,0))</f>
        <v/>
      </c>
      <c r="U234" s="10">
        <f>IF(AND(T234=1,R234=0,M234&gt;0),1,0)</f>
        <v/>
      </c>
      <c r="V234" s="30">
        <f>IF(U234=1,MAX(N234/M234,SUMPRODUCT(MAX(((N234-$N$12:$N$267)*($U$12:$U$267*($M$12:$M$267&lt;M234)))/((M234-$M$12:$M$267)*($U$12:$U$267*($M$12:$M$267&lt;M234))+1-($U$12:$U$267*($M$12:$M$267&lt;M234)))-(1-($U$12:$U$267*($M$12:$M$267&lt;M234)))*1E+300))),0)</f>
        <v/>
      </c>
      <c r="W234" s="30">
        <f>IF(U234=1,SUMPRODUCT(MIN(((($N$12:$N$267-N234)*($U$12:$U$267*($M$12:$M$267&gt;M234)))/(($M$12:$M$267-M234)*($U$12:$U$267*($M$12:$M$267&gt;M234))+1-($U$12:$U$267*($M$12:$M$267&gt;M234)))+(1-($U$12:$U$267*($M$12:$M$267&gt;M234)))*1E+300))),0)</f>
        <v/>
      </c>
      <c r="X234" s="10">
        <f>IF(C234=0,0,IF(R234=1,1,IF(AND(U234=1,V234&lt;=W234),1,0)))</f>
        <v/>
      </c>
      <c r="Y234" s="10">
        <f>IF(X234=1,1+SUMPRODUCT($X$12:$X$267*(($M$12:$M$267&lt;M234)+($M$12:$M$267=M234)*($A$12:$A$267&lt;A234))),0)</f>
        <v/>
      </c>
      <c r="Z234" s="10">
        <f>IF(Y234&lt;=1,0,SUMPRODUCT(($Y$12:$Y$267=Y234-1)*$M$12:$M$267))</f>
        <v/>
      </c>
      <c r="AA234" s="10">
        <f>IF(Y234&lt;=1,0,SUMPRODUCT(($Y$12:$Y$267=Y234-1)*$N$12:$N$267))</f>
        <v/>
      </c>
      <c r="AB234" s="21">
        <f>IF(Y234=0,"",(M234-Z234)/10^in_out_dp)</f>
        <v/>
      </c>
      <c r="AC234" s="26">
        <f>IF(Y234=0,"",(N234-AA234)/10^in_cost_dp)</f>
        <v/>
      </c>
      <c r="AD234" s="26">
        <f>IF(Y234=0,"",IF(M234=Z234,0,AC234/AB234))</f>
        <v/>
      </c>
      <c r="AE234" s="26">
        <f>IF(AND(C234=1,M234&gt;0),Q234/P234,"n/a")</f>
        <v/>
      </c>
      <c r="AF234" s="15" t="n">
        <v>0</v>
      </c>
      <c r="AG234" s="6">
        <f>IF(AND(C234=1,AF234=1),1+SUMPRODUCT($C$12:$C$267*$AF$12:$AF$267*(($M$12:$M$267&lt;M234)+($M$12:$M$267=M234)*($N$12:$N$267&lt;N234)+($M$12:$M$267=M234)*($N$12:$N$267=N234)*($A$12:$A$267&lt;A234))),0)</f>
        <v/>
      </c>
    </row>
    <row r="235">
      <c r="A235" s="4" t="n">
        <v>224</v>
      </c>
      <c r="B235" s="4" t="inlineStr">
        <is>
          <t>17F2M + 17D2E + 2A + 2B + 3E + 3F + 19A</t>
        </is>
      </c>
      <c r="C235" s="10">
        <f>IF(SUMPRODUCT(D235:K235,1-$D$5:$K$5)=0,1,0)</f>
        <v/>
      </c>
      <c r="D235" s="4" t="n">
        <v>1</v>
      </c>
      <c r="E235" s="4" t="n">
        <v>1</v>
      </c>
      <c r="F235" s="4" t="n">
        <v>0</v>
      </c>
      <c r="G235" s="4" t="n">
        <v>1</v>
      </c>
      <c r="H235" s="4" t="n">
        <v>1</v>
      </c>
      <c r="I235" s="4" t="n">
        <v>1</v>
      </c>
      <c r="J235" s="4" t="n">
        <v>1</v>
      </c>
      <c r="K235" s="4" t="n">
        <v>1</v>
      </c>
      <c r="L235" s="6">
        <f>IF(C235=1,1+SUMPRODUCT(D235:K235,$D$9:$K$9),"")</f>
        <v/>
      </c>
      <c r="M235" s="6">
        <f>SUMPRODUCT(D235:K235,$D$6:$K$6)</f>
        <v/>
      </c>
      <c r="N235" s="6">
        <f>SUMPRODUCT(D235:K235,$D$7:$K$7)</f>
        <v/>
      </c>
      <c r="O235" s="25">
        <f>SUMPRODUCT(D235:K235,$D$8:$K$8)</f>
        <v/>
      </c>
      <c r="P235" s="21">
        <f>M235/10^in_out_dp</f>
        <v/>
      </c>
      <c r="Q235" s="26">
        <f>N235/10^in_cost_dp</f>
        <v/>
      </c>
      <c r="R235" s="10">
        <f>IF(SUM(D235:K235)=0,1,0)</f>
        <v/>
      </c>
      <c r="S235" s="10">
        <f>SUMPRODUCT($C$12:$C$267*(($M$12:$M$267=M235)*($N$12:$N$267&lt;N235)+($M$12:$M$267&gt;M235)*($N$12:$N$267&lt;=N235)))</f>
        <v/>
      </c>
      <c r="T235" s="10">
        <f>IF(C235=0,0,IF(OR(R235=1,S235=0),1,0))</f>
        <v/>
      </c>
      <c r="U235" s="10">
        <f>IF(AND(T235=1,R235=0,M235&gt;0),1,0)</f>
        <v/>
      </c>
      <c r="V235" s="30">
        <f>IF(U235=1,MAX(N235/M235,SUMPRODUCT(MAX(((N235-$N$12:$N$267)*($U$12:$U$267*($M$12:$M$267&lt;M235)))/((M235-$M$12:$M$267)*($U$12:$U$267*($M$12:$M$267&lt;M235))+1-($U$12:$U$267*($M$12:$M$267&lt;M235)))-(1-($U$12:$U$267*($M$12:$M$267&lt;M235)))*1E+300))),0)</f>
        <v/>
      </c>
      <c r="W235" s="30">
        <f>IF(U235=1,SUMPRODUCT(MIN(((($N$12:$N$267-N235)*($U$12:$U$267*($M$12:$M$267&gt;M235)))/(($M$12:$M$267-M235)*($U$12:$U$267*($M$12:$M$267&gt;M235))+1-($U$12:$U$267*($M$12:$M$267&gt;M235)))+(1-($U$12:$U$267*($M$12:$M$267&gt;M235)))*1E+300))),0)</f>
        <v/>
      </c>
      <c r="X235" s="10">
        <f>IF(C235=0,0,IF(R235=1,1,IF(AND(U235=1,V235&lt;=W235),1,0)))</f>
        <v/>
      </c>
      <c r="Y235" s="10">
        <f>IF(X235=1,1+SUMPRODUCT($X$12:$X$267*(($M$12:$M$267&lt;M235)+($M$12:$M$267=M235)*($A$12:$A$267&lt;A235))),0)</f>
        <v/>
      </c>
      <c r="Z235" s="10">
        <f>IF(Y235&lt;=1,0,SUMPRODUCT(($Y$12:$Y$267=Y235-1)*$M$12:$M$267))</f>
        <v/>
      </c>
      <c r="AA235" s="10">
        <f>IF(Y235&lt;=1,0,SUMPRODUCT(($Y$12:$Y$267=Y235-1)*$N$12:$N$267))</f>
        <v/>
      </c>
      <c r="AB235" s="21">
        <f>IF(Y235=0,"",(M235-Z235)/10^in_out_dp)</f>
        <v/>
      </c>
      <c r="AC235" s="26">
        <f>IF(Y235=0,"",(N235-AA235)/10^in_cost_dp)</f>
        <v/>
      </c>
      <c r="AD235" s="26">
        <f>IF(Y235=0,"",IF(M235=Z235,0,AC235/AB235))</f>
        <v/>
      </c>
      <c r="AE235" s="26">
        <f>IF(AND(C235=1,M235&gt;0),Q235/P235,"n/a")</f>
        <v/>
      </c>
      <c r="AF235" s="15" t="n">
        <v>0</v>
      </c>
      <c r="AG235" s="6">
        <f>IF(AND(C235=1,AF235=1),1+SUMPRODUCT($C$12:$C$267*$AF$12:$AF$267*(($M$12:$M$267&lt;M235)+($M$12:$M$267=M235)*($N$12:$N$267&lt;N235)+($M$12:$M$267=M235)*($N$12:$N$267=N235)*($A$12:$A$267&lt;A235))),0)</f>
        <v/>
      </c>
    </row>
    <row r="236">
      <c r="A236" s="4" t="n">
        <v>225</v>
      </c>
      <c r="B236" s="4" t="inlineStr">
        <is>
          <t>17F2M + 17D2E + 17B</t>
        </is>
      </c>
      <c r="C236" s="10">
        <f>IF(SUMPRODUCT(D236:K236,1-$D$5:$K$5)=0,1,0)</f>
        <v/>
      </c>
      <c r="D236" s="4" t="n">
        <v>1</v>
      </c>
      <c r="E236" s="4" t="n">
        <v>1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6">
        <f>IF(C236=1,1+SUMPRODUCT(D236:K236,$D$9:$K$9),"")</f>
        <v/>
      </c>
      <c r="M236" s="6">
        <f>SUMPRODUCT(D236:K236,$D$6:$K$6)</f>
        <v/>
      </c>
      <c r="N236" s="6">
        <f>SUMPRODUCT(D236:K236,$D$7:$K$7)</f>
        <v/>
      </c>
      <c r="O236" s="25">
        <f>SUMPRODUCT(D236:K236,$D$8:$K$8)</f>
        <v/>
      </c>
      <c r="P236" s="21">
        <f>M236/10^in_out_dp</f>
        <v/>
      </c>
      <c r="Q236" s="26">
        <f>N236/10^in_cost_dp</f>
        <v/>
      </c>
      <c r="R236" s="10">
        <f>IF(SUM(D236:K236)=0,1,0)</f>
        <v/>
      </c>
      <c r="S236" s="10">
        <f>SUMPRODUCT($C$12:$C$267*(($M$12:$M$267=M236)*($N$12:$N$267&lt;N236)+($M$12:$M$267&gt;M236)*($N$12:$N$267&lt;=N236)))</f>
        <v/>
      </c>
      <c r="T236" s="10">
        <f>IF(C236=0,0,IF(OR(R236=1,S236=0),1,0))</f>
        <v/>
      </c>
      <c r="U236" s="10">
        <f>IF(AND(T236=1,R236=0,M236&gt;0),1,0)</f>
        <v/>
      </c>
      <c r="V236" s="30">
        <f>IF(U236=1,MAX(N236/M236,SUMPRODUCT(MAX(((N236-$N$12:$N$267)*($U$12:$U$267*($M$12:$M$267&lt;M236)))/((M236-$M$12:$M$267)*($U$12:$U$267*($M$12:$M$267&lt;M236))+1-($U$12:$U$267*($M$12:$M$267&lt;M236)))-(1-($U$12:$U$267*($M$12:$M$267&lt;M236)))*1E+300))),0)</f>
        <v/>
      </c>
      <c r="W236" s="30">
        <f>IF(U236=1,SUMPRODUCT(MIN(((($N$12:$N$267-N236)*($U$12:$U$267*($M$12:$M$267&gt;M236)))/(($M$12:$M$267-M236)*($U$12:$U$267*($M$12:$M$267&gt;M236))+1-($U$12:$U$267*($M$12:$M$267&gt;M236)))+(1-($U$12:$U$267*($M$12:$M$267&gt;M236)))*1E+300))),0)</f>
        <v/>
      </c>
      <c r="X236" s="10">
        <f>IF(C236=0,0,IF(R236=1,1,IF(AND(U236=1,V236&lt;=W236),1,0)))</f>
        <v/>
      </c>
      <c r="Y236" s="10">
        <f>IF(X236=1,1+SUMPRODUCT($X$12:$X$267*(($M$12:$M$267&lt;M236)+($M$12:$M$267=M236)*($A$12:$A$267&lt;A236))),0)</f>
        <v/>
      </c>
      <c r="Z236" s="10">
        <f>IF(Y236&lt;=1,0,SUMPRODUCT(($Y$12:$Y$267=Y236-1)*$M$12:$M$267))</f>
        <v/>
      </c>
      <c r="AA236" s="10">
        <f>IF(Y236&lt;=1,0,SUMPRODUCT(($Y$12:$Y$267=Y236-1)*$N$12:$N$267))</f>
        <v/>
      </c>
      <c r="AB236" s="21">
        <f>IF(Y236=0,"",(M236-Z236)/10^in_out_dp)</f>
        <v/>
      </c>
      <c r="AC236" s="26">
        <f>IF(Y236=0,"",(N236-AA236)/10^in_cost_dp)</f>
        <v/>
      </c>
      <c r="AD236" s="26">
        <f>IF(Y236=0,"",IF(M236=Z236,0,AC236/AB236))</f>
        <v/>
      </c>
      <c r="AE236" s="26">
        <f>IF(AND(C236=1,M236&gt;0),Q236/P236,"n/a")</f>
        <v/>
      </c>
      <c r="AF236" s="15" t="n">
        <v>0</v>
      </c>
      <c r="AG236" s="6">
        <f>IF(AND(C236=1,AF236=1),1+SUMPRODUCT($C$12:$C$267*$AF$12:$AF$267*(($M$12:$M$267&lt;M236)+($M$12:$M$267=M236)*($N$12:$N$267&lt;N236)+($M$12:$M$267=M236)*($N$12:$N$267=N236)*($A$12:$A$267&lt;A236))),0)</f>
        <v/>
      </c>
    </row>
    <row r="237">
      <c r="A237" s="4" t="n">
        <v>226</v>
      </c>
      <c r="B237" s="4" t="inlineStr">
        <is>
          <t>17F2M + 17D2E + 17B + 19A</t>
        </is>
      </c>
      <c r="C237" s="10">
        <f>IF(SUMPRODUCT(D237:K237,1-$D$5:$K$5)=0,1,0)</f>
        <v/>
      </c>
      <c r="D237" s="4" t="n">
        <v>1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1</v>
      </c>
      <c r="L237" s="6">
        <f>IF(C237=1,1+SUMPRODUCT(D237:K237,$D$9:$K$9),"")</f>
        <v/>
      </c>
      <c r="M237" s="6">
        <f>SUMPRODUCT(D237:K237,$D$6:$K$6)</f>
        <v/>
      </c>
      <c r="N237" s="6">
        <f>SUMPRODUCT(D237:K237,$D$7:$K$7)</f>
        <v/>
      </c>
      <c r="O237" s="25">
        <f>SUMPRODUCT(D237:K237,$D$8:$K$8)</f>
        <v/>
      </c>
      <c r="P237" s="21">
        <f>M237/10^in_out_dp</f>
        <v/>
      </c>
      <c r="Q237" s="26">
        <f>N237/10^in_cost_dp</f>
        <v/>
      </c>
      <c r="R237" s="10">
        <f>IF(SUM(D237:K237)=0,1,0)</f>
        <v/>
      </c>
      <c r="S237" s="10">
        <f>SUMPRODUCT($C$12:$C$267*(($M$12:$M$267=M237)*($N$12:$N$267&lt;N237)+($M$12:$M$267&gt;M237)*($N$12:$N$267&lt;=N237)))</f>
        <v/>
      </c>
      <c r="T237" s="10">
        <f>IF(C237=0,0,IF(OR(R237=1,S237=0),1,0))</f>
        <v/>
      </c>
      <c r="U237" s="10">
        <f>IF(AND(T237=1,R237=0,M237&gt;0),1,0)</f>
        <v/>
      </c>
      <c r="V237" s="30">
        <f>IF(U237=1,MAX(N237/M237,SUMPRODUCT(MAX(((N237-$N$12:$N$267)*($U$12:$U$267*($M$12:$M$267&lt;M237)))/((M237-$M$12:$M$267)*($U$12:$U$267*($M$12:$M$267&lt;M237))+1-($U$12:$U$267*($M$12:$M$267&lt;M237)))-(1-($U$12:$U$267*($M$12:$M$267&lt;M237)))*1E+300))),0)</f>
        <v/>
      </c>
      <c r="W237" s="30">
        <f>IF(U237=1,SUMPRODUCT(MIN(((($N$12:$N$267-N237)*($U$12:$U$267*($M$12:$M$267&gt;M237)))/(($M$12:$M$267-M237)*($U$12:$U$267*($M$12:$M$267&gt;M237))+1-($U$12:$U$267*($M$12:$M$267&gt;M237)))+(1-($U$12:$U$267*($M$12:$M$267&gt;M237)))*1E+300))),0)</f>
        <v/>
      </c>
      <c r="X237" s="10">
        <f>IF(C237=0,0,IF(R237=1,1,IF(AND(U237=1,V237&lt;=W237),1,0)))</f>
        <v/>
      </c>
      <c r="Y237" s="10">
        <f>IF(X237=1,1+SUMPRODUCT($X$12:$X$267*(($M$12:$M$267&lt;M237)+($M$12:$M$267=M237)*($A$12:$A$267&lt;A237))),0)</f>
        <v/>
      </c>
      <c r="Z237" s="10">
        <f>IF(Y237&lt;=1,0,SUMPRODUCT(($Y$12:$Y$267=Y237-1)*$M$12:$M$267))</f>
        <v/>
      </c>
      <c r="AA237" s="10">
        <f>IF(Y237&lt;=1,0,SUMPRODUCT(($Y$12:$Y$267=Y237-1)*$N$12:$N$267))</f>
        <v/>
      </c>
      <c r="AB237" s="21">
        <f>IF(Y237=0,"",(M237-Z237)/10^in_out_dp)</f>
        <v/>
      </c>
      <c r="AC237" s="26">
        <f>IF(Y237=0,"",(N237-AA237)/10^in_cost_dp)</f>
        <v/>
      </c>
      <c r="AD237" s="26">
        <f>IF(Y237=0,"",IF(M237=Z237,0,AC237/AB237))</f>
        <v/>
      </c>
      <c r="AE237" s="26">
        <f>IF(AND(C237=1,M237&gt;0),Q237/P237,"n/a")</f>
        <v/>
      </c>
      <c r="AF237" s="15" t="n">
        <v>0</v>
      </c>
      <c r="AG237" s="6">
        <f>IF(AND(C237=1,AF237=1),1+SUMPRODUCT($C$12:$C$267*$AF$12:$AF$267*(($M$12:$M$267&lt;M237)+($M$12:$M$267=M237)*($N$12:$N$267&lt;N237)+($M$12:$M$267=M237)*($N$12:$N$267=N237)*($A$12:$A$267&lt;A237))),0)</f>
        <v/>
      </c>
    </row>
    <row r="238">
      <c r="A238" s="4" t="n">
        <v>227</v>
      </c>
      <c r="B238" s="4" t="inlineStr">
        <is>
          <t>17F2M + 17D2E + 17B + 3F</t>
        </is>
      </c>
      <c r="C238" s="10">
        <f>IF(SUMPRODUCT(D238:K238,1-$D$5:$K$5)=0,1,0)</f>
        <v/>
      </c>
      <c r="D238" s="4" t="n">
        <v>1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0</v>
      </c>
      <c r="L238" s="6">
        <f>IF(C238=1,1+SUMPRODUCT(D238:K238,$D$9:$K$9),"")</f>
        <v/>
      </c>
      <c r="M238" s="6">
        <f>SUMPRODUCT(D238:K238,$D$6:$K$6)</f>
        <v/>
      </c>
      <c r="N238" s="6">
        <f>SUMPRODUCT(D238:K238,$D$7:$K$7)</f>
        <v/>
      </c>
      <c r="O238" s="25">
        <f>SUMPRODUCT(D238:K238,$D$8:$K$8)</f>
        <v/>
      </c>
      <c r="P238" s="21">
        <f>M238/10^in_out_dp</f>
        <v/>
      </c>
      <c r="Q238" s="26">
        <f>N238/10^in_cost_dp</f>
        <v/>
      </c>
      <c r="R238" s="10">
        <f>IF(SUM(D238:K238)=0,1,0)</f>
        <v/>
      </c>
      <c r="S238" s="10">
        <f>SUMPRODUCT($C$12:$C$267*(($M$12:$M$267=M238)*($N$12:$N$267&lt;N238)+($M$12:$M$267&gt;M238)*($N$12:$N$267&lt;=N238)))</f>
        <v/>
      </c>
      <c r="T238" s="10">
        <f>IF(C238=0,0,IF(OR(R238=1,S238=0),1,0))</f>
        <v/>
      </c>
      <c r="U238" s="10">
        <f>IF(AND(T238=1,R238=0,M238&gt;0),1,0)</f>
        <v/>
      </c>
      <c r="V238" s="30">
        <f>IF(U238=1,MAX(N238/M238,SUMPRODUCT(MAX(((N238-$N$12:$N$267)*($U$12:$U$267*($M$12:$M$267&lt;M238)))/((M238-$M$12:$M$267)*($U$12:$U$267*($M$12:$M$267&lt;M238))+1-($U$12:$U$267*($M$12:$M$267&lt;M238)))-(1-($U$12:$U$267*($M$12:$M$267&lt;M238)))*1E+300))),0)</f>
        <v/>
      </c>
      <c r="W238" s="30">
        <f>IF(U238=1,SUMPRODUCT(MIN(((($N$12:$N$267-N238)*($U$12:$U$267*($M$12:$M$267&gt;M238)))/(($M$12:$M$267-M238)*($U$12:$U$267*($M$12:$M$267&gt;M238))+1-($U$12:$U$267*($M$12:$M$267&gt;M238)))+(1-($U$12:$U$267*($M$12:$M$267&gt;M238)))*1E+300))),0)</f>
        <v/>
      </c>
      <c r="X238" s="10">
        <f>IF(C238=0,0,IF(R238=1,1,IF(AND(U238=1,V238&lt;=W238),1,0)))</f>
        <v/>
      </c>
      <c r="Y238" s="10">
        <f>IF(X238=1,1+SUMPRODUCT($X$12:$X$267*(($M$12:$M$267&lt;M238)+($M$12:$M$267=M238)*($A$12:$A$267&lt;A238))),0)</f>
        <v/>
      </c>
      <c r="Z238" s="10">
        <f>IF(Y238&lt;=1,0,SUMPRODUCT(($Y$12:$Y$267=Y238-1)*$M$12:$M$267))</f>
        <v/>
      </c>
      <c r="AA238" s="10">
        <f>IF(Y238&lt;=1,0,SUMPRODUCT(($Y$12:$Y$267=Y238-1)*$N$12:$N$267))</f>
        <v/>
      </c>
      <c r="AB238" s="21">
        <f>IF(Y238=0,"",(M238-Z238)/10^in_out_dp)</f>
        <v/>
      </c>
      <c r="AC238" s="26">
        <f>IF(Y238=0,"",(N238-AA238)/10^in_cost_dp)</f>
        <v/>
      </c>
      <c r="AD238" s="26">
        <f>IF(Y238=0,"",IF(M238=Z238,0,AC238/AB238))</f>
        <v/>
      </c>
      <c r="AE238" s="26">
        <f>IF(AND(C238=1,M238&gt;0),Q238/P238,"n/a")</f>
        <v/>
      </c>
      <c r="AF238" s="15" t="n">
        <v>0</v>
      </c>
      <c r="AG238" s="6">
        <f>IF(AND(C238=1,AF238=1),1+SUMPRODUCT($C$12:$C$267*$AF$12:$AF$267*(($M$12:$M$267&lt;M238)+($M$12:$M$267=M238)*($N$12:$N$267&lt;N238)+($M$12:$M$267=M238)*($N$12:$N$267=N238)*($A$12:$A$267&lt;A238))),0)</f>
        <v/>
      </c>
    </row>
    <row r="239">
      <c r="A239" s="4" t="n">
        <v>228</v>
      </c>
      <c r="B239" s="4" t="inlineStr">
        <is>
          <t>17F2M + 17D2E + 17B + 3F + 19A</t>
        </is>
      </c>
      <c r="C239" s="10">
        <f>IF(SUMPRODUCT(D239:K239,1-$D$5:$K$5)=0,1,0)</f>
        <v/>
      </c>
      <c r="D239" s="4" t="n">
        <v>1</v>
      </c>
      <c r="E239" s="4" t="n">
        <v>1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1</v>
      </c>
      <c r="K239" s="4" t="n">
        <v>1</v>
      </c>
      <c r="L239" s="6">
        <f>IF(C239=1,1+SUMPRODUCT(D239:K239,$D$9:$K$9),"")</f>
        <v/>
      </c>
      <c r="M239" s="6">
        <f>SUMPRODUCT(D239:K239,$D$6:$K$6)</f>
        <v/>
      </c>
      <c r="N239" s="6">
        <f>SUMPRODUCT(D239:K239,$D$7:$K$7)</f>
        <v/>
      </c>
      <c r="O239" s="25">
        <f>SUMPRODUCT(D239:K239,$D$8:$K$8)</f>
        <v/>
      </c>
      <c r="P239" s="21">
        <f>M239/10^in_out_dp</f>
        <v/>
      </c>
      <c r="Q239" s="26">
        <f>N239/10^in_cost_dp</f>
        <v/>
      </c>
      <c r="R239" s="10">
        <f>IF(SUM(D239:K239)=0,1,0)</f>
        <v/>
      </c>
      <c r="S239" s="10">
        <f>SUMPRODUCT($C$12:$C$267*(($M$12:$M$267=M239)*($N$12:$N$267&lt;N239)+($M$12:$M$267&gt;M239)*($N$12:$N$267&lt;=N239)))</f>
        <v/>
      </c>
      <c r="T239" s="10">
        <f>IF(C239=0,0,IF(OR(R239=1,S239=0),1,0))</f>
        <v/>
      </c>
      <c r="U239" s="10">
        <f>IF(AND(T239=1,R239=0,M239&gt;0),1,0)</f>
        <v/>
      </c>
      <c r="V239" s="30">
        <f>IF(U239=1,MAX(N239/M239,SUMPRODUCT(MAX(((N239-$N$12:$N$267)*($U$12:$U$267*($M$12:$M$267&lt;M239)))/((M239-$M$12:$M$267)*($U$12:$U$267*($M$12:$M$267&lt;M239))+1-($U$12:$U$267*($M$12:$M$267&lt;M239)))-(1-($U$12:$U$267*($M$12:$M$267&lt;M239)))*1E+300))),0)</f>
        <v/>
      </c>
      <c r="W239" s="30">
        <f>IF(U239=1,SUMPRODUCT(MIN(((($N$12:$N$267-N239)*($U$12:$U$267*($M$12:$M$267&gt;M239)))/(($M$12:$M$267-M239)*($U$12:$U$267*($M$12:$M$267&gt;M239))+1-($U$12:$U$267*($M$12:$M$267&gt;M239)))+(1-($U$12:$U$267*($M$12:$M$267&gt;M239)))*1E+300))),0)</f>
        <v/>
      </c>
      <c r="X239" s="10">
        <f>IF(C239=0,0,IF(R239=1,1,IF(AND(U239=1,V239&lt;=W239),1,0)))</f>
        <v/>
      </c>
      <c r="Y239" s="10">
        <f>IF(X239=1,1+SUMPRODUCT($X$12:$X$267*(($M$12:$M$267&lt;M239)+($M$12:$M$267=M239)*($A$12:$A$267&lt;A239))),0)</f>
        <v/>
      </c>
      <c r="Z239" s="10">
        <f>IF(Y239&lt;=1,0,SUMPRODUCT(($Y$12:$Y$267=Y239-1)*$M$12:$M$267))</f>
        <v/>
      </c>
      <c r="AA239" s="10">
        <f>IF(Y239&lt;=1,0,SUMPRODUCT(($Y$12:$Y$267=Y239-1)*$N$12:$N$267))</f>
        <v/>
      </c>
      <c r="AB239" s="21">
        <f>IF(Y239=0,"",(M239-Z239)/10^in_out_dp)</f>
        <v/>
      </c>
      <c r="AC239" s="26">
        <f>IF(Y239=0,"",(N239-AA239)/10^in_cost_dp)</f>
        <v/>
      </c>
      <c r="AD239" s="26">
        <f>IF(Y239=0,"",IF(M239=Z239,0,AC239/AB239))</f>
        <v/>
      </c>
      <c r="AE239" s="26">
        <f>IF(AND(C239=1,M239&gt;0),Q239/P239,"n/a")</f>
        <v/>
      </c>
      <c r="AF239" s="15" t="n">
        <v>0</v>
      </c>
      <c r="AG239" s="6">
        <f>IF(AND(C239=1,AF239=1),1+SUMPRODUCT($C$12:$C$267*$AF$12:$AF$267*(($M$12:$M$267&lt;M239)+($M$12:$M$267=M239)*($N$12:$N$267&lt;N239)+($M$12:$M$267=M239)*($N$12:$N$267=N239)*($A$12:$A$267&lt;A239))),0)</f>
        <v/>
      </c>
    </row>
    <row r="240">
      <c r="A240" s="4" t="n">
        <v>229</v>
      </c>
      <c r="B240" s="4" t="inlineStr">
        <is>
          <t>17F2M + 17D2E + 17B + 3E</t>
        </is>
      </c>
      <c r="C240" s="10">
        <f>IF(SUMPRODUCT(D240:K240,1-$D$5:$K$5)=0,1,0)</f>
        <v/>
      </c>
      <c r="D240" s="4" t="n">
        <v>1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6">
        <f>IF(C240=1,1+SUMPRODUCT(D240:K240,$D$9:$K$9),"")</f>
        <v/>
      </c>
      <c r="M240" s="6">
        <f>SUMPRODUCT(D240:K240,$D$6:$K$6)</f>
        <v/>
      </c>
      <c r="N240" s="6">
        <f>SUMPRODUCT(D240:K240,$D$7:$K$7)</f>
        <v/>
      </c>
      <c r="O240" s="25">
        <f>SUMPRODUCT(D240:K240,$D$8:$K$8)</f>
        <v/>
      </c>
      <c r="P240" s="21">
        <f>M240/10^in_out_dp</f>
        <v/>
      </c>
      <c r="Q240" s="26">
        <f>N240/10^in_cost_dp</f>
        <v/>
      </c>
      <c r="R240" s="10">
        <f>IF(SUM(D240:K240)=0,1,0)</f>
        <v/>
      </c>
      <c r="S240" s="10">
        <f>SUMPRODUCT($C$12:$C$267*(($M$12:$M$267=M240)*($N$12:$N$267&lt;N240)+($M$12:$M$267&gt;M240)*($N$12:$N$267&lt;=N240)))</f>
        <v/>
      </c>
      <c r="T240" s="10">
        <f>IF(C240=0,0,IF(OR(R240=1,S240=0),1,0))</f>
        <v/>
      </c>
      <c r="U240" s="10">
        <f>IF(AND(T240=1,R240=0,M240&gt;0),1,0)</f>
        <v/>
      </c>
      <c r="V240" s="30">
        <f>IF(U240=1,MAX(N240/M240,SUMPRODUCT(MAX(((N240-$N$12:$N$267)*($U$12:$U$267*($M$12:$M$267&lt;M240)))/((M240-$M$12:$M$267)*($U$12:$U$267*($M$12:$M$267&lt;M240))+1-($U$12:$U$267*($M$12:$M$267&lt;M240)))-(1-($U$12:$U$267*($M$12:$M$267&lt;M240)))*1E+300))),0)</f>
        <v/>
      </c>
      <c r="W240" s="30">
        <f>IF(U240=1,SUMPRODUCT(MIN(((($N$12:$N$267-N240)*($U$12:$U$267*($M$12:$M$267&gt;M240)))/(($M$12:$M$267-M240)*($U$12:$U$267*($M$12:$M$267&gt;M240))+1-($U$12:$U$267*($M$12:$M$267&gt;M240)))+(1-($U$12:$U$267*($M$12:$M$267&gt;M240)))*1E+300))),0)</f>
        <v/>
      </c>
      <c r="X240" s="10">
        <f>IF(C240=0,0,IF(R240=1,1,IF(AND(U240=1,V240&lt;=W240),1,0)))</f>
        <v/>
      </c>
      <c r="Y240" s="10">
        <f>IF(X240=1,1+SUMPRODUCT($X$12:$X$267*(($M$12:$M$267&lt;M240)+($M$12:$M$267=M240)*($A$12:$A$267&lt;A240))),0)</f>
        <v/>
      </c>
      <c r="Z240" s="10">
        <f>IF(Y240&lt;=1,0,SUMPRODUCT(($Y$12:$Y$267=Y240-1)*$M$12:$M$267))</f>
        <v/>
      </c>
      <c r="AA240" s="10">
        <f>IF(Y240&lt;=1,0,SUMPRODUCT(($Y$12:$Y$267=Y240-1)*$N$12:$N$267))</f>
        <v/>
      </c>
      <c r="AB240" s="21">
        <f>IF(Y240=0,"",(M240-Z240)/10^in_out_dp)</f>
        <v/>
      </c>
      <c r="AC240" s="26">
        <f>IF(Y240=0,"",(N240-AA240)/10^in_cost_dp)</f>
        <v/>
      </c>
      <c r="AD240" s="26">
        <f>IF(Y240=0,"",IF(M240=Z240,0,AC240/AB240))</f>
        <v/>
      </c>
      <c r="AE240" s="26">
        <f>IF(AND(C240=1,M240&gt;0),Q240/P240,"n/a")</f>
        <v/>
      </c>
      <c r="AF240" s="15" t="n">
        <v>0</v>
      </c>
      <c r="AG240" s="6">
        <f>IF(AND(C240=1,AF240=1),1+SUMPRODUCT($C$12:$C$267*$AF$12:$AF$267*(($M$12:$M$267&lt;M240)+($M$12:$M$267=M240)*($N$12:$N$267&lt;N240)+($M$12:$M$267=M240)*($N$12:$N$267=N240)*($A$12:$A$267&lt;A240))),0)</f>
        <v/>
      </c>
    </row>
    <row r="241">
      <c r="A241" s="4" t="n">
        <v>230</v>
      </c>
      <c r="B241" s="4" t="inlineStr">
        <is>
          <t>17F2M + 17D2E + 17B + 3E + 19A</t>
        </is>
      </c>
      <c r="C241" s="10">
        <f>IF(SUMPRODUCT(D241:K241,1-$D$5:$K$5)=0,1,0)</f>
        <v/>
      </c>
      <c r="D241" s="4" t="n">
        <v>1</v>
      </c>
      <c r="E241" s="4" t="n">
        <v>1</v>
      </c>
      <c r="F241" s="4" t="n">
        <v>1</v>
      </c>
      <c r="G241" s="4" t="n">
        <v>0</v>
      </c>
      <c r="H241" s="4" t="n">
        <v>0</v>
      </c>
      <c r="I241" s="4" t="n">
        <v>1</v>
      </c>
      <c r="J241" s="4" t="n">
        <v>0</v>
      </c>
      <c r="K241" s="4" t="n">
        <v>1</v>
      </c>
      <c r="L241" s="6">
        <f>IF(C241=1,1+SUMPRODUCT(D241:K241,$D$9:$K$9),"")</f>
        <v/>
      </c>
      <c r="M241" s="6">
        <f>SUMPRODUCT(D241:K241,$D$6:$K$6)</f>
        <v/>
      </c>
      <c r="N241" s="6">
        <f>SUMPRODUCT(D241:K241,$D$7:$K$7)</f>
        <v/>
      </c>
      <c r="O241" s="25">
        <f>SUMPRODUCT(D241:K241,$D$8:$K$8)</f>
        <v/>
      </c>
      <c r="P241" s="21">
        <f>M241/10^in_out_dp</f>
        <v/>
      </c>
      <c r="Q241" s="26">
        <f>N241/10^in_cost_dp</f>
        <v/>
      </c>
      <c r="R241" s="10">
        <f>IF(SUM(D241:K241)=0,1,0)</f>
        <v/>
      </c>
      <c r="S241" s="10">
        <f>SUMPRODUCT($C$12:$C$267*(($M$12:$M$267=M241)*($N$12:$N$267&lt;N241)+($M$12:$M$267&gt;M241)*($N$12:$N$267&lt;=N241)))</f>
        <v/>
      </c>
      <c r="T241" s="10">
        <f>IF(C241=0,0,IF(OR(R241=1,S241=0),1,0))</f>
        <v/>
      </c>
      <c r="U241" s="10">
        <f>IF(AND(T241=1,R241=0,M241&gt;0),1,0)</f>
        <v/>
      </c>
      <c r="V241" s="30">
        <f>IF(U241=1,MAX(N241/M241,SUMPRODUCT(MAX(((N241-$N$12:$N$267)*($U$12:$U$267*($M$12:$M$267&lt;M241)))/((M241-$M$12:$M$267)*($U$12:$U$267*($M$12:$M$267&lt;M241))+1-($U$12:$U$267*($M$12:$M$267&lt;M241)))-(1-($U$12:$U$267*($M$12:$M$267&lt;M241)))*1E+300))),0)</f>
        <v/>
      </c>
      <c r="W241" s="30">
        <f>IF(U241=1,SUMPRODUCT(MIN(((($N$12:$N$267-N241)*($U$12:$U$267*($M$12:$M$267&gt;M241)))/(($M$12:$M$267-M241)*($U$12:$U$267*($M$12:$M$267&gt;M241))+1-($U$12:$U$267*($M$12:$M$267&gt;M241)))+(1-($U$12:$U$267*($M$12:$M$267&gt;M241)))*1E+300))),0)</f>
        <v/>
      </c>
      <c r="X241" s="10">
        <f>IF(C241=0,0,IF(R241=1,1,IF(AND(U241=1,V241&lt;=W241),1,0)))</f>
        <v/>
      </c>
      <c r="Y241" s="10">
        <f>IF(X241=1,1+SUMPRODUCT($X$12:$X$267*(($M$12:$M$267&lt;M241)+($M$12:$M$267=M241)*($A$12:$A$267&lt;A241))),0)</f>
        <v/>
      </c>
      <c r="Z241" s="10">
        <f>IF(Y241&lt;=1,0,SUMPRODUCT(($Y$12:$Y$267=Y241-1)*$M$12:$M$267))</f>
        <v/>
      </c>
      <c r="AA241" s="10">
        <f>IF(Y241&lt;=1,0,SUMPRODUCT(($Y$12:$Y$267=Y241-1)*$N$12:$N$267))</f>
        <v/>
      </c>
      <c r="AB241" s="21">
        <f>IF(Y241=0,"",(M241-Z241)/10^in_out_dp)</f>
        <v/>
      </c>
      <c r="AC241" s="26">
        <f>IF(Y241=0,"",(N241-AA241)/10^in_cost_dp)</f>
        <v/>
      </c>
      <c r="AD241" s="26">
        <f>IF(Y241=0,"",IF(M241=Z241,0,AC241/AB241))</f>
        <v/>
      </c>
      <c r="AE241" s="26">
        <f>IF(AND(C241=1,M241&gt;0),Q241/P241,"n/a")</f>
        <v/>
      </c>
      <c r="AF241" s="15" t="n">
        <v>0</v>
      </c>
      <c r="AG241" s="6">
        <f>IF(AND(C241=1,AF241=1),1+SUMPRODUCT($C$12:$C$267*$AF$12:$AF$267*(($M$12:$M$267&lt;M241)+($M$12:$M$267=M241)*($N$12:$N$267&lt;N241)+($M$12:$M$267=M241)*($N$12:$N$267=N241)*($A$12:$A$267&lt;A241))),0)</f>
        <v/>
      </c>
    </row>
    <row r="242">
      <c r="A242" s="4" t="n">
        <v>231</v>
      </c>
      <c r="B242" s="4" t="inlineStr">
        <is>
          <t>17F2M + 17D2E + 17B + 3E + 3F</t>
        </is>
      </c>
      <c r="C242" s="10">
        <f>IF(SUMPRODUCT(D242:K242,1-$D$5:$K$5)=0,1,0)</f>
        <v/>
      </c>
      <c r="D242" s="4" t="n">
        <v>1</v>
      </c>
      <c r="E242" s="4" t="n">
        <v>1</v>
      </c>
      <c r="F242" s="4" t="n">
        <v>1</v>
      </c>
      <c r="G242" s="4" t="n">
        <v>0</v>
      </c>
      <c r="H242" s="4" t="n">
        <v>0</v>
      </c>
      <c r="I242" s="4" t="n">
        <v>1</v>
      </c>
      <c r="J242" s="4" t="n">
        <v>1</v>
      </c>
      <c r="K242" s="4" t="n">
        <v>0</v>
      </c>
      <c r="L242" s="6">
        <f>IF(C242=1,1+SUMPRODUCT(D242:K242,$D$9:$K$9),"")</f>
        <v/>
      </c>
      <c r="M242" s="6">
        <f>SUMPRODUCT(D242:K242,$D$6:$K$6)</f>
        <v/>
      </c>
      <c r="N242" s="6">
        <f>SUMPRODUCT(D242:K242,$D$7:$K$7)</f>
        <v/>
      </c>
      <c r="O242" s="25">
        <f>SUMPRODUCT(D242:K242,$D$8:$K$8)</f>
        <v/>
      </c>
      <c r="P242" s="21">
        <f>M242/10^in_out_dp</f>
        <v/>
      </c>
      <c r="Q242" s="26">
        <f>N242/10^in_cost_dp</f>
        <v/>
      </c>
      <c r="R242" s="10">
        <f>IF(SUM(D242:K242)=0,1,0)</f>
        <v/>
      </c>
      <c r="S242" s="10">
        <f>SUMPRODUCT($C$12:$C$267*(($M$12:$M$267=M242)*($N$12:$N$267&lt;N242)+($M$12:$M$267&gt;M242)*($N$12:$N$267&lt;=N242)))</f>
        <v/>
      </c>
      <c r="T242" s="10">
        <f>IF(C242=0,0,IF(OR(R242=1,S242=0),1,0))</f>
        <v/>
      </c>
      <c r="U242" s="10">
        <f>IF(AND(T242=1,R242=0,M242&gt;0),1,0)</f>
        <v/>
      </c>
      <c r="V242" s="30">
        <f>IF(U242=1,MAX(N242/M242,SUMPRODUCT(MAX(((N242-$N$12:$N$267)*($U$12:$U$267*($M$12:$M$267&lt;M242)))/((M242-$M$12:$M$267)*($U$12:$U$267*($M$12:$M$267&lt;M242))+1-($U$12:$U$267*($M$12:$M$267&lt;M242)))-(1-($U$12:$U$267*($M$12:$M$267&lt;M242)))*1E+300))),0)</f>
        <v/>
      </c>
      <c r="W242" s="30">
        <f>IF(U242=1,SUMPRODUCT(MIN(((($N$12:$N$267-N242)*($U$12:$U$267*($M$12:$M$267&gt;M242)))/(($M$12:$M$267-M242)*($U$12:$U$267*($M$12:$M$267&gt;M242))+1-($U$12:$U$267*($M$12:$M$267&gt;M242)))+(1-($U$12:$U$267*($M$12:$M$267&gt;M242)))*1E+300))),0)</f>
        <v/>
      </c>
      <c r="X242" s="10">
        <f>IF(C242=0,0,IF(R242=1,1,IF(AND(U242=1,V242&lt;=W242),1,0)))</f>
        <v/>
      </c>
      <c r="Y242" s="10">
        <f>IF(X242=1,1+SUMPRODUCT($X$12:$X$267*(($M$12:$M$267&lt;M242)+($M$12:$M$267=M242)*($A$12:$A$267&lt;A242))),0)</f>
        <v/>
      </c>
      <c r="Z242" s="10">
        <f>IF(Y242&lt;=1,0,SUMPRODUCT(($Y$12:$Y$267=Y242-1)*$M$12:$M$267))</f>
        <v/>
      </c>
      <c r="AA242" s="10">
        <f>IF(Y242&lt;=1,0,SUMPRODUCT(($Y$12:$Y$267=Y242-1)*$N$12:$N$267))</f>
        <v/>
      </c>
      <c r="AB242" s="21">
        <f>IF(Y242=0,"",(M242-Z242)/10^in_out_dp)</f>
        <v/>
      </c>
      <c r="AC242" s="26">
        <f>IF(Y242=0,"",(N242-AA242)/10^in_cost_dp)</f>
        <v/>
      </c>
      <c r="AD242" s="26">
        <f>IF(Y242=0,"",IF(M242=Z242,0,AC242/AB242))</f>
        <v/>
      </c>
      <c r="AE242" s="26">
        <f>IF(AND(C242=1,M242&gt;0),Q242/P242,"n/a")</f>
        <v/>
      </c>
      <c r="AF242" s="15" t="n">
        <v>0</v>
      </c>
      <c r="AG242" s="6">
        <f>IF(AND(C242=1,AF242=1),1+SUMPRODUCT($C$12:$C$267*$AF$12:$AF$267*(($M$12:$M$267&lt;M242)+($M$12:$M$267=M242)*($N$12:$N$267&lt;N242)+($M$12:$M$267=M242)*($N$12:$N$267=N242)*($A$12:$A$267&lt;A242))),0)</f>
        <v/>
      </c>
    </row>
    <row r="243">
      <c r="A243" s="4" t="n">
        <v>232</v>
      </c>
      <c r="B243" s="4" t="inlineStr">
        <is>
          <t>17F2M + 17D2E + 17B + 3E + 3F + 19A</t>
        </is>
      </c>
      <c r="C243" s="10">
        <f>IF(SUMPRODUCT(D243:K243,1-$D$5:$K$5)=0,1,0)</f>
        <v/>
      </c>
      <c r="D243" s="4" t="n">
        <v>1</v>
      </c>
      <c r="E243" s="4" t="n">
        <v>1</v>
      </c>
      <c r="F243" s="4" t="n">
        <v>1</v>
      </c>
      <c r="G243" s="4" t="n">
        <v>0</v>
      </c>
      <c r="H243" s="4" t="n">
        <v>0</v>
      </c>
      <c r="I243" s="4" t="n">
        <v>1</v>
      </c>
      <c r="J243" s="4" t="n">
        <v>1</v>
      </c>
      <c r="K243" s="4" t="n">
        <v>1</v>
      </c>
      <c r="L243" s="6">
        <f>IF(C243=1,1+SUMPRODUCT(D243:K243,$D$9:$K$9),"")</f>
        <v/>
      </c>
      <c r="M243" s="6">
        <f>SUMPRODUCT(D243:K243,$D$6:$K$6)</f>
        <v/>
      </c>
      <c r="N243" s="6">
        <f>SUMPRODUCT(D243:K243,$D$7:$K$7)</f>
        <v/>
      </c>
      <c r="O243" s="25">
        <f>SUMPRODUCT(D243:K243,$D$8:$K$8)</f>
        <v/>
      </c>
      <c r="P243" s="21">
        <f>M243/10^in_out_dp</f>
        <v/>
      </c>
      <c r="Q243" s="26">
        <f>N243/10^in_cost_dp</f>
        <v/>
      </c>
      <c r="R243" s="10">
        <f>IF(SUM(D243:K243)=0,1,0)</f>
        <v/>
      </c>
      <c r="S243" s="10">
        <f>SUMPRODUCT($C$12:$C$267*(($M$12:$M$267=M243)*($N$12:$N$267&lt;N243)+($M$12:$M$267&gt;M243)*($N$12:$N$267&lt;=N243)))</f>
        <v/>
      </c>
      <c r="T243" s="10">
        <f>IF(C243=0,0,IF(OR(R243=1,S243=0),1,0))</f>
        <v/>
      </c>
      <c r="U243" s="10">
        <f>IF(AND(T243=1,R243=0,M243&gt;0),1,0)</f>
        <v/>
      </c>
      <c r="V243" s="30">
        <f>IF(U243=1,MAX(N243/M243,SUMPRODUCT(MAX(((N243-$N$12:$N$267)*($U$12:$U$267*($M$12:$M$267&lt;M243)))/((M243-$M$12:$M$267)*($U$12:$U$267*($M$12:$M$267&lt;M243))+1-($U$12:$U$267*($M$12:$M$267&lt;M243)))-(1-($U$12:$U$267*($M$12:$M$267&lt;M243)))*1E+300))),0)</f>
        <v/>
      </c>
      <c r="W243" s="30">
        <f>IF(U243=1,SUMPRODUCT(MIN(((($N$12:$N$267-N243)*($U$12:$U$267*($M$12:$M$267&gt;M243)))/(($M$12:$M$267-M243)*($U$12:$U$267*($M$12:$M$267&gt;M243))+1-($U$12:$U$267*($M$12:$M$267&gt;M243)))+(1-($U$12:$U$267*($M$12:$M$267&gt;M243)))*1E+300))),0)</f>
        <v/>
      </c>
      <c r="X243" s="10">
        <f>IF(C243=0,0,IF(R243=1,1,IF(AND(U243=1,V243&lt;=W243),1,0)))</f>
        <v/>
      </c>
      <c r="Y243" s="10">
        <f>IF(X243=1,1+SUMPRODUCT($X$12:$X$267*(($M$12:$M$267&lt;M243)+($M$12:$M$267=M243)*($A$12:$A$267&lt;A243))),0)</f>
        <v/>
      </c>
      <c r="Z243" s="10">
        <f>IF(Y243&lt;=1,0,SUMPRODUCT(($Y$12:$Y$267=Y243-1)*$M$12:$M$267))</f>
        <v/>
      </c>
      <c r="AA243" s="10">
        <f>IF(Y243&lt;=1,0,SUMPRODUCT(($Y$12:$Y$267=Y243-1)*$N$12:$N$267))</f>
        <v/>
      </c>
      <c r="AB243" s="21">
        <f>IF(Y243=0,"",(M243-Z243)/10^in_out_dp)</f>
        <v/>
      </c>
      <c r="AC243" s="26">
        <f>IF(Y243=0,"",(N243-AA243)/10^in_cost_dp)</f>
        <v/>
      </c>
      <c r="AD243" s="26">
        <f>IF(Y243=0,"",IF(M243=Z243,0,AC243/AB243))</f>
        <v/>
      </c>
      <c r="AE243" s="26">
        <f>IF(AND(C243=1,M243&gt;0),Q243/P243,"n/a")</f>
        <v/>
      </c>
      <c r="AF243" s="15" t="n">
        <v>0</v>
      </c>
      <c r="AG243" s="6">
        <f>IF(AND(C243=1,AF243=1),1+SUMPRODUCT($C$12:$C$267*$AF$12:$AF$267*(($M$12:$M$267&lt;M243)+($M$12:$M$267=M243)*($N$12:$N$267&lt;N243)+($M$12:$M$267=M243)*($N$12:$N$267=N243)*($A$12:$A$267&lt;A243))),0)</f>
        <v/>
      </c>
    </row>
    <row r="244">
      <c r="A244" s="4" t="n">
        <v>233</v>
      </c>
      <c r="B244" s="4" t="inlineStr">
        <is>
          <t>17F2M + 17D2E + 17B + 2B</t>
        </is>
      </c>
      <c r="C244" s="10">
        <f>IF(SUMPRODUCT(D244:K244,1-$D$5:$K$5)=0,1,0)</f>
        <v/>
      </c>
      <c r="D244" s="4" t="n">
        <v>1</v>
      </c>
      <c r="E244" s="4" t="n">
        <v>1</v>
      </c>
      <c r="F244" s="4" t="n">
        <v>1</v>
      </c>
      <c r="G244" s="4" t="n">
        <v>0</v>
      </c>
      <c r="H244" s="4" t="n">
        <v>1</v>
      </c>
      <c r="I244" s="4" t="n">
        <v>0</v>
      </c>
      <c r="J244" s="4" t="n">
        <v>0</v>
      </c>
      <c r="K244" s="4" t="n">
        <v>0</v>
      </c>
      <c r="L244" s="6">
        <f>IF(C244=1,1+SUMPRODUCT(D244:K244,$D$9:$K$9),"")</f>
        <v/>
      </c>
      <c r="M244" s="6">
        <f>SUMPRODUCT(D244:K244,$D$6:$K$6)</f>
        <v/>
      </c>
      <c r="N244" s="6">
        <f>SUMPRODUCT(D244:K244,$D$7:$K$7)</f>
        <v/>
      </c>
      <c r="O244" s="25">
        <f>SUMPRODUCT(D244:K244,$D$8:$K$8)</f>
        <v/>
      </c>
      <c r="P244" s="21">
        <f>M244/10^in_out_dp</f>
        <v/>
      </c>
      <c r="Q244" s="26">
        <f>N244/10^in_cost_dp</f>
        <v/>
      </c>
      <c r="R244" s="10">
        <f>IF(SUM(D244:K244)=0,1,0)</f>
        <v/>
      </c>
      <c r="S244" s="10">
        <f>SUMPRODUCT($C$12:$C$267*(($M$12:$M$267=M244)*($N$12:$N$267&lt;N244)+($M$12:$M$267&gt;M244)*($N$12:$N$267&lt;=N244)))</f>
        <v/>
      </c>
      <c r="T244" s="10">
        <f>IF(C244=0,0,IF(OR(R244=1,S244=0),1,0))</f>
        <v/>
      </c>
      <c r="U244" s="10">
        <f>IF(AND(T244=1,R244=0,M244&gt;0),1,0)</f>
        <v/>
      </c>
      <c r="V244" s="30">
        <f>IF(U244=1,MAX(N244/M244,SUMPRODUCT(MAX(((N244-$N$12:$N$267)*($U$12:$U$267*($M$12:$M$267&lt;M244)))/((M244-$M$12:$M$267)*($U$12:$U$267*($M$12:$M$267&lt;M244))+1-($U$12:$U$267*($M$12:$M$267&lt;M244)))-(1-($U$12:$U$267*($M$12:$M$267&lt;M244)))*1E+300))),0)</f>
        <v/>
      </c>
      <c r="W244" s="30">
        <f>IF(U244=1,SUMPRODUCT(MIN(((($N$12:$N$267-N244)*($U$12:$U$267*($M$12:$M$267&gt;M244)))/(($M$12:$M$267-M244)*($U$12:$U$267*($M$12:$M$267&gt;M244))+1-($U$12:$U$267*($M$12:$M$267&gt;M244)))+(1-($U$12:$U$267*($M$12:$M$267&gt;M244)))*1E+300))),0)</f>
        <v/>
      </c>
      <c r="X244" s="10">
        <f>IF(C244=0,0,IF(R244=1,1,IF(AND(U244=1,V244&lt;=W244),1,0)))</f>
        <v/>
      </c>
      <c r="Y244" s="10">
        <f>IF(X244=1,1+SUMPRODUCT($X$12:$X$267*(($M$12:$M$267&lt;M244)+($M$12:$M$267=M244)*($A$12:$A$267&lt;A244))),0)</f>
        <v/>
      </c>
      <c r="Z244" s="10">
        <f>IF(Y244&lt;=1,0,SUMPRODUCT(($Y$12:$Y$267=Y244-1)*$M$12:$M$267))</f>
        <v/>
      </c>
      <c r="AA244" s="10">
        <f>IF(Y244&lt;=1,0,SUMPRODUCT(($Y$12:$Y$267=Y244-1)*$N$12:$N$267))</f>
        <v/>
      </c>
      <c r="AB244" s="21">
        <f>IF(Y244=0,"",(M244-Z244)/10^in_out_dp)</f>
        <v/>
      </c>
      <c r="AC244" s="26">
        <f>IF(Y244=0,"",(N244-AA244)/10^in_cost_dp)</f>
        <v/>
      </c>
      <c r="AD244" s="26">
        <f>IF(Y244=0,"",IF(M244=Z244,0,AC244/AB244))</f>
        <v/>
      </c>
      <c r="AE244" s="26">
        <f>IF(AND(C244=1,M244&gt;0),Q244/P244,"n/a")</f>
        <v/>
      </c>
      <c r="AF244" s="15" t="n">
        <v>0</v>
      </c>
      <c r="AG244" s="6">
        <f>IF(AND(C244=1,AF244=1),1+SUMPRODUCT($C$12:$C$267*$AF$12:$AF$267*(($M$12:$M$267&lt;M244)+($M$12:$M$267=M244)*($N$12:$N$267&lt;N244)+($M$12:$M$267=M244)*($N$12:$N$267=N244)*($A$12:$A$267&lt;A244))),0)</f>
        <v/>
      </c>
    </row>
    <row r="245">
      <c r="A245" s="4" t="n">
        <v>234</v>
      </c>
      <c r="B245" s="4" t="inlineStr">
        <is>
          <t>17F2M + 17D2E + 17B + 2B + 19A</t>
        </is>
      </c>
      <c r="C245" s="10">
        <f>IF(SUMPRODUCT(D245:K245,1-$D$5:$K$5)=0,1,0)</f>
        <v/>
      </c>
      <c r="D245" s="4" t="n">
        <v>1</v>
      </c>
      <c r="E245" s="4" t="n">
        <v>1</v>
      </c>
      <c r="F245" s="4" t="n">
        <v>1</v>
      </c>
      <c r="G245" s="4" t="n">
        <v>0</v>
      </c>
      <c r="H245" s="4" t="n">
        <v>1</v>
      </c>
      <c r="I245" s="4" t="n">
        <v>0</v>
      </c>
      <c r="J245" s="4" t="n">
        <v>0</v>
      </c>
      <c r="K245" s="4" t="n">
        <v>1</v>
      </c>
      <c r="L245" s="6">
        <f>IF(C245=1,1+SUMPRODUCT(D245:K245,$D$9:$K$9),"")</f>
        <v/>
      </c>
      <c r="M245" s="6">
        <f>SUMPRODUCT(D245:K245,$D$6:$K$6)</f>
        <v/>
      </c>
      <c r="N245" s="6">
        <f>SUMPRODUCT(D245:K245,$D$7:$K$7)</f>
        <v/>
      </c>
      <c r="O245" s="25">
        <f>SUMPRODUCT(D245:K245,$D$8:$K$8)</f>
        <v/>
      </c>
      <c r="P245" s="21">
        <f>M245/10^in_out_dp</f>
        <v/>
      </c>
      <c r="Q245" s="26">
        <f>N245/10^in_cost_dp</f>
        <v/>
      </c>
      <c r="R245" s="10">
        <f>IF(SUM(D245:K245)=0,1,0)</f>
        <v/>
      </c>
      <c r="S245" s="10">
        <f>SUMPRODUCT($C$12:$C$267*(($M$12:$M$267=M245)*($N$12:$N$267&lt;N245)+($M$12:$M$267&gt;M245)*($N$12:$N$267&lt;=N245)))</f>
        <v/>
      </c>
      <c r="T245" s="10">
        <f>IF(C245=0,0,IF(OR(R245=1,S245=0),1,0))</f>
        <v/>
      </c>
      <c r="U245" s="10">
        <f>IF(AND(T245=1,R245=0,M245&gt;0),1,0)</f>
        <v/>
      </c>
      <c r="V245" s="30">
        <f>IF(U245=1,MAX(N245/M245,SUMPRODUCT(MAX(((N245-$N$12:$N$267)*($U$12:$U$267*($M$12:$M$267&lt;M245)))/((M245-$M$12:$M$267)*($U$12:$U$267*($M$12:$M$267&lt;M245))+1-($U$12:$U$267*($M$12:$M$267&lt;M245)))-(1-($U$12:$U$267*($M$12:$M$267&lt;M245)))*1E+300))),0)</f>
        <v/>
      </c>
      <c r="W245" s="30">
        <f>IF(U245=1,SUMPRODUCT(MIN(((($N$12:$N$267-N245)*($U$12:$U$267*($M$12:$M$267&gt;M245)))/(($M$12:$M$267-M245)*($U$12:$U$267*($M$12:$M$267&gt;M245))+1-($U$12:$U$267*($M$12:$M$267&gt;M245)))+(1-($U$12:$U$267*($M$12:$M$267&gt;M245)))*1E+300))),0)</f>
        <v/>
      </c>
      <c r="X245" s="10">
        <f>IF(C245=0,0,IF(R245=1,1,IF(AND(U245=1,V245&lt;=W245),1,0)))</f>
        <v/>
      </c>
      <c r="Y245" s="10">
        <f>IF(X245=1,1+SUMPRODUCT($X$12:$X$267*(($M$12:$M$267&lt;M245)+($M$12:$M$267=M245)*($A$12:$A$267&lt;A245))),0)</f>
        <v/>
      </c>
      <c r="Z245" s="10">
        <f>IF(Y245&lt;=1,0,SUMPRODUCT(($Y$12:$Y$267=Y245-1)*$M$12:$M$267))</f>
        <v/>
      </c>
      <c r="AA245" s="10">
        <f>IF(Y245&lt;=1,0,SUMPRODUCT(($Y$12:$Y$267=Y245-1)*$N$12:$N$267))</f>
        <v/>
      </c>
      <c r="AB245" s="21">
        <f>IF(Y245=0,"",(M245-Z245)/10^in_out_dp)</f>
        <v/>
      </c>
      <c r="AC245" s="26">
        <f>IF(Y245=0,"",(N245-AA245)/10^in_cost_dp)</f>
        <v/>
      </c>
      <c r="AD245" s="26">
        <f>IF(Y245=0,"",IF(M245=Z245,0,AC245/AB245))</f>
        <v/>
      </c>
      <c r="AE245" s="26">
        <f>IF(AND(C245=1,M245&gt;0),Q245/P245,"n/a")</f>
        <v/>
      </c>
      <c r="AF245" s="15" t="n">
        <v>0</v>
      </c>
      <c r="AG245" s="6">
        <f>IF(AND(C245=1,AF245=1),1+SUMPRODUCT($C$12:$C$267*$AF$12:$AF$267*(($M$12:$M$267&lt;M245)+($M$12:$M$267=M245)*($N$12:$N$267&lt;N245)+($M$12:$M$267=M245)*($N$12:$N$267=N245)*($A$12:$A$267&lt;A245))),0)</f>
        <v/>
      </c>
    </row>
    <row r="246">
      <c r="A246" s="4" t="n">
        <v>235</v>
      </c>
      <c r="B246" s="4" t="inlineStr">
        <is>
          <t>17F2M + 17D2E + 17B + 2B + 3F</t>
        </is>
      </c>
      <c r="C246" s="10">
        <f>IF(SUMPRODUCT(D246:K246,1-$D$5:$K$5)=0,1,0)</f>
        <v/>
      </c>
      <c r="D246" s="4" t="n">
        <v>1</v>
      </c>
      <c r="E246" s="4" t="n">
        <v>1</v>
      </c>
      <c r="F246" s="4" t="n">
        <v>1</v>
      </c>
      <c r="G246" s="4" t="n">
        <v>0</v>
      </c>
      <c r="H246" s="4" t="n">
        <v>1</v>
      </c>
      <c r="I246" s="4" t="n">
        <v>0</v>
      </c>
      <c r="J246" s="4" t="n">
        <v>1</v>
      </c>
      <c r="K246" s="4" t="n">
        <v>0</v>
      </c>
      <c r="L246" s="6">
        <f>IF(C246=1,1+SUMPRODUCT(D246:K246,$D$9:$K$9),"")</f>
        <v/>
      </c>
      <c r="M246" s="6">
        <f>SUMPRODUCT(D246:K246,$D$6:$K$6)</f>
        <v/>
      </c>
      <c r="N246" s="6">
        <f>SUMPRODUCT(D246:K246,$D$7:$K$7)</f>
        <v/>
      </c>
      <c r="O246" s="25">
        <f>SUMPRODUCT(D246:K246,$D$8:$K$8)</f>
        <v/>
      </c>
      <c r="P246" s="21">
        <f>M246/10^in_out_dp</f>
        <v/>
      </c>
      <c r="Q246" s="26">
        <f>N246/10^in_cost_dp</f>
        <v/>
      </c>
      <c r="R246" s="10">
        <f>IF(SUM(D246:K246)=0,1,0)</f>
        <v/>
      </c>
      <c r="S246" s="10">
        <f>SUMPRODUCT($C$12:$C$267*(($M$12:$M$267=M246)*($N$12:$N$267&lt;N246)+($M$12:$M$267&gt;M246)*($N$12:$N$267&lt;=N246)))</f>
        <v/>
      </c>
      <c r="T246" s="10">
        <f>IF(C246=0,0,IF(OR(R246=1,S246=0),1,0))</f>
        <v/>
      </c>
      <c r="U246" s="10">
        <f>IF(AND(T246=1,R246=0,M246&gt;0),1,0)</f>
        <v/>
      </c>
      <c r="V246" s="30">
        <f>IF(U246=1,MAX(N246/M246,SUMPRODUCT(MAX(((N246-$N$12:$N$267)*($U$12:$U$267*($M$12:$M$267&lt;M246)))/((M246-$M$12:$M$267)*($U$12:$U$267*($M$12:$M$267&lt;M246))+1-($U$12:$U$267*($M$12:$M$267&lt;M246)))-(1-($U$12:$U$267*($M$12:$M$267&lt;M246)))*1E+300))),0)</f>
        <v/>
      </c>
      <c r="W246" s="30">
        <f>IF(U246=1,SUMPRODUCT(MIN(((($N$12:$N$267-N246)*($U$12:$U$267*($M$12:$M$267&gt;M246)))/(($M$12:$M$267-M246)*($U$12:$U$267*($M$12:$M$267&gt;M246))+1-($U$12:$U$267*($M$12:$M$267&gt;M246)))+(1-($U$12:$U$267*($M$12:$M$267&gt;M246)))*1E+300))),0)</f>
        <v/>
      </c>
      <c r="X246" s="10">
        <f>IF(C246=0,0,IF(R246=1,1,IF(AND(U246=1,V246&lt;=W246),1,0)))</f>
        <v/>
      </c>
      <c r="Y246" s="10">
        <f>IF(X246=1,1+SUMPRODUCT($X$12:$X$267*(($M$12:$M$267&lt;M246)+($M$12:$M$267=M246)*($A$12:$A$267&lt;A246))),0)</f>
        <v/>
      </c>
      <c r="Z246" s="10">
        <f>IF(Y246&lt;=1,0,SUMPRODUCT(($Y$12:$Y$267=Y246-1)*$M$12:$M$267))</f>
        <v/>
      </c>
      <c r="AA246" s="10">
        <f>IF(Y246&lt;=1,0,SUMPRODUCT(($Y$12:$Y$267=Y246-1)*$N$12:$N$267))</f>
        <v/>
      </c>
      <c r="AB246" s="21">
        <f>IF(Y246=0,"",(M246-Z246)/10^in_out_dp)</f>
        <v/>
      </c>
      <c r="AC246" s="26">
        <f>IF(Y246=0,"",(N246-AA246)/10^in_cost_dp)</f>
        <v/>
      </c>
      <c r="AD246" s="26">
        <f>IF(Y246=0,"",IF(M246=Z246,0,AC246/AB246))</f>
        <v/>
      </c>
      <c r="AE246" s="26">
        <f>IF(AND(C246=1,M246&gt;0),Q246/P246,"n/a")</f>
        <v/>
      </c>
      <c r="AF246" s="15" t="n">
        <v>0</v>
      </c>
      <c r="AG246" s="6">
        <f>IF(AND(C246=1,AF246=1),1+SUMPRODUCT($C$12:$C$267*$AF$12:$AF$267*(($M$12:$M$267&lt;M246)+($M$12:$M$267=M246)*($N$12:$N$267&lt;N246)+($M$12:$M$267=M246)*($N$12:$N$267=N246)*($A$12:$A$267&lt;A246))),0)</f>
        <v/>
      </c>
    </row>
    <row r="247">
      <c r="A247" s="4" t="n">
        <v>236</v>
      </c>
      <c r="B247" s="4" t="inlineStr">
        <is>
          <t>17F2M + 17D2E + 17B + 2B + 3F + 19A</t>
        </is>
      </c>
      <c r="C247" s="10">
        <f>IF(SUMPRODUCT(D247:K247,1-$D$5:$K$5)=0,1,0)</f>
        <v/>
      </c>
      <c r="D247" s="4" t="n">
        <v>1</v>
      </c>
      <c r="E247" s="4" t="n">
        <v>1</v>
      </c>
      <c r="F247" s="4" t="n">
        <v>1</v>
      </c>
      <c r="G247" s="4" t="n">
        <v>0</v>
      </c>
      <c r="H247" s="4" t="n">
        <v>1</v>
      </c>
      <c r="I247" s="4" t="n">
        <v>0</v>
      </c>
      <c r="J247" s="4" t="n">
        <v>1</v>
      </c>
      <c r="K247" s="4" t="n">
        <v>1</v>
      </c>
      <c r="L247" s="6">
        <f>IF(C247=1,1+SUMPRODUCT(D247:K247,$D$9:$K$9),"")</f>
        <v/>
      </c>
      <c r="M247" s="6">
        <f>SUMPRODUCT(D247:K247,$D$6:$K$6)</f>
        <v/>
      </c>
      <c r="N247" s="6">
        <f>SUMPRODUCT(D247:K247,$D$7:$K$7)</f>
        <v/>
      </c>
      <c r="O247" s="25">
        <f>SUMPRODUCT(D247:K247,$D$8:$K$8)</f>
        <v/>
      </c>
      <c r="P247" s="21">
        <f>M247/10^in_out_dp</f>
        <v/>
      </c>
      <c r="Q247" s="26">
        <f>N247/10^in_cost_dp</f>
        <v/>
      </c>
      <c r="R247" s="10">
        <f>IF(SUM(D247:K247)=0,1,0)</f>
        <v/>
      </c>
      <c r="S247" s="10">
        <f>SUMPRODUCT($C$12:$C$267*(($M$12:$M$267=M247)*($N$12:$N$267&lt;N247)+($M$12:$M$267&gt;M247)*($N$12:$N$267&lt;=N247)))</f>
        <v/>
      </c>
      <c r="T247" s="10">
        <f>IF(C247=0,0,IF(OR(R247=1,S247=0),1,0))</f>
        <v/>
      </c>
      <c r="U247" s="10">
        <f>IF(AND(T247=1,R247=0,M247&gt;0),1,0)</f>
        <v/>
      </c>
      <c r="V247" s="30">
        <f>IF(U247=1,MAX(N247/M247,SUMPRODUCT(MAX(((N247-$N$12:$N$267)*($U$12:$U$267*($M$12:$M$267&lt;M247)))/((M247-$M$12:$M$267)*($U$12:$U$267*($M$12:$M$267&lt;M247))+1-($U$12:$U$267*($M$12:$M$267&lt;M247)))-(1-($U$12:$U$267*($M$12:$M$267&lt;M247)))*1E+300))),0)</f>
        <v/>
      </c>
      <c r="W247" s="30">
        <f>IF(U247=1,SUMPRODUCT(MIN(((($N$12:$N$267-N247)*($U$12:$U$267*($M$12:$M$267&gt;M247)))/(($M$12:$M$267-M247)*($U$12:$U$267*($M$12:$M$267&gt;M247))+1-($U$12:$U$267*($M$12:$M$267&gt;M247)))+(1-($U$12:$U$267*($M$12:$M$267&gt;M247)))*1E+300))),0)</f>
        <v/>
      </c>
      <c r="X247" s="10">
        <f>IF(C247=0,0,IF(R247=1,1,IF(AND(U247=1,V247&lt;=W247),1,0)))</f>
        <v/>
      </c>
      <c r="Y247" s="10">
        <f>IF(X247=1,1+SUMPRODUCT($X$12:$X$267*(($M$12:$M$267&lt;M247)+($M$12:$M$267=M247)*($A$12:$A$267&lt;A247))),0)</f>
        <v/>
      </c>
      <c r="Z247" s="10">
        <f>IF(Y247&lt;=1,0,SUMPRODUCT(($Y$12:$Y$267=Y247-1)*$M$12:$M$267))</f>
        <v/>
      </c>
      <c r="AA247" s="10">
        <f>IF(Y247&lt;=1,0,SUMPRODUCT(($Y$12:$Y$267=Y247-1)*$N$12:$N$267))</f>
        <v/>
      </c>
      <c r="AB247" s="21">
        <f>IF(Y247=0,"",(M247-Z247)/10^in_out_dp)</f>
        <v/>
      </c>
      <c r="AC247" s="26">
        <f>IF(Y247=0,"",(N247-AA247)/10^in_cost_dp)</f>
        <v/>
      </c>
      <c r="AD247" s="26">
        <f>IF(Y247=0,"",IF(M247=Z247,0,AC247/AB247))</f>
        <v/>
      </c>
      <c r="AE247" s="26">
        <f>IF(AND(C247=1,M247&gt;0),Q247/P247,"n/a")</f>
        <v/>
      </c>
      <c r="AF247" s="15" t="n">
        <v>0</v>
      </c>
      <c r="AG247" s="6">
        <f>IF(AND(C247=1,AF247=1),1+SUMPRODUCT($C$12:$C$267*$AF$12:$AF$267*(($M$12:$M$267&lt;M247)+($M$12:$M$267=M247)*($N$12:$N$267&lt;N247)+($M$12:$M$267=M247)*($N$12:$N$267=N247)*($A$12:$A$267&lt;A247))),0)</f>
        <v/>
      </c>
    </row>
    <row r="248">
      <c r="A248" s="4" t="n">
        <v>237</v>
      </c>
      <c r="B248" s="4" t="inlineStr">
        <is>
          <t>17F2M + 17D2E + 17B + 2B + 3E</t>
        </is>
      </c>
      <c r="C248" s="10">
        <f>IF(SUMPRODUCT(D248:K248,1-$D$5:$K$5)=0,1,0)</f>
        <v/>
      </c>
      <c r="D248" s="4" t="n">
        <v>1</v>
      </c>
      <c r="E248" s="4" t="n">
        <v>1</v>
      </c>
      <c r="F248" s="4" t="n">
        <v>1</v>
      </c>
      <c r="G248" s="4" t="n">
        <v>0</v>
      </c>
      <c r="H248" s="4" t="n">
        <v>1</v>
      </c>
      <c r="I248" s="4" t="n">
        <v>1</v>
      </c>
      <c r="J248" s="4" t="n">
        <v>0</v>
      </c>
      <c r="K248" s="4" t="n">
        <v>0</v>
      </c>
      <c r="L248" s="6">
        <f>IF(C248=1,1+SUMPRODUCT(D248:K248,$D$9:$K$9),"")</f>
        <v/>
      </c>
      <c r="M248" s="6">
        <f>SUMPRODUCT(D248:K248,$D$6:$K$6)</f>
        <v/>
      </c>
      <c r="N248" s="6">
        <f>SUMPRODUCT(D248:K248,$D$7:$K$7)</f>
        <v/>
      </c>
      <c r="O248" s="25">
        <f>SUMPRODUCT(D248:K248,$D$8:$K$8)</f>
        <v/>
      </c>
      <c r="P248" s="21">
        <f>M248/10^in_out_dp</f>
        <v/>
      </c>
      <c r="Q248" s="26">
        <f>N248/10^in_cost_dp</f>
        <v/>
      </c>
      <c r="R248" s="10">
        <f>IF(SUM(D248:K248)=0,1,0)</f>
        <v/>
      </c>
      <c r="S248" s="10">
        <f>SUMPRODUCT($C$12:$C$267*(($M$12:$M$267=M248)*($N$12:$N$267&lt;N248)+($M$12:$M$267&gt;M248)*($N$12:$N$267&lt;=N248)))</f>
        <v/>
      </c>
      <c r="T248" s="10">
        <f>IF(C248=0,0,IF(OR(R248=1,S248=0),1,0))</f>
        <v/>
      </c>
      <c r="U248" s="10">
        <f>IF(AND(T248=1,R248=0,M248&gt;0),1,0)</f>
        <v/>
      </c>
      <c r="V248" s="30">
        <f>IF(U248=1,MAX(N248/M248,SUMPRODUCT(MAX(((N248-$N$12:$N$267)*($U$12:$U$267*($M$12:$M$267&lt;M248)))/((M248-$M$12:$M$267)*($U$12:$U$267*($M$12:$M$267&lt;M248))+1-($U$12:$U$267*($M$12:$M$267&lt;M248)))-(1-($U$12:$U$267*($M$12:$M$267&lt;M248)))*1E+300))),0)</f>
        <v/>
      </c>
      <c r="W248" s="30">
        <f>IF(U248=1,SUMPRODUCT(MIN(((($N$12:$N$267-N248)*($U$12:$U$267*($M$12:$M$267&gt;M248)))/(($M$12:$M$267-M248)*($U$12:$U$267*($M$12:$M$267&gt;M248))+1-($U$12:$U$267*($M$12:$M$267&gt;M248)))+(1-($U$12:$U$267*($M$12:$M$267&gt;M248)))*1E+300))),0)</f>
        <v/>
      </c>
      <c r="X248" s="10">
        <f>IF(C248=0,0,IF(R248=1,1,IF(AND(U248=1,V248&lt;=W248),1,0)))</f>
        <v/>
      </c>
      <c r="Y248" s="10">
        <f>IF(X248=1,1+SUMPRODUCT($X$12:$X$267*(($M$12:$M$267&lt;M248)+($M$12:$M$267=M248)*($A$12:$A$267&lt;A248))),0)</f>
        <v/>
      </c>
      <c r="Z248" s="10">
        <f>IF(Y248&lt;=1,0,SUMPRODUCT(($Y$12:$Y$267=Y248-1)*$M$12:$M$267))</f>
        <v/>
      </c>
      <c r="AA248" s="10">
        <f>IF(Y248&lt;=1,0,SUMPRODUCT(($Y$12:$Y$267=Y248-1)*$N$12:$N$267))</f>
        <v/>
      </c>
      <c r="AB248" s="21">
        <f>IF(Y248=0,"",(M248-Z248)/10^in_out_dp)</f>
        <v/>
      </c>
      <c r="AC248" s="26">
        <f>IF(Y248=0,"",(N248-AA248)/10^in_cost_dp)</f>
        <v/>
      </c>
      <c r="AD248" s="26">
        <f>IF(Y248=0,"",IF(M248=Z248,0,AC248/AB248))</f>
        <v/>
      </c>
      <c r="AE248" s="26">
        <f>IF(AND(C248=1,M248&gt;0),Q248/P248,"n/a")</f>
        <v/>
      </c>
      <c r="AF248" s="15" t="n">
        <v>0</v>
      </c>
      <c r="AG248" s="6">
        <f>IF(AND(C248=1,AF248=1),1+SUMPRODUCT($C$12:$C$267*$AF$12:$AF$267*(($M$12:$M$267&lt;M248)+($M$12:$M$267=M248)*($N$12:$N$267&lt;N248)+($M$12:$M$267=M248)*($N$12:$N$267=N248)*($A$12:$A$267&lt;A248))),0)</f>
        <v/>
      </c>
    </row>
    <row r="249">
      <c r="A249" s="4" t="n">
        <v>238</v>
      </c>
      <c r="B249" s="4" t="inlineStr">
        <is>
          <t>17F2M + 17D2E + 17B + 2B + 3E + 19A</t>
        </is>
      </c>
      <c r="C249" s="10">
        <f>IF(SUMPRODUCT(D249:K249,1-$D$5:$K$5)=0,1,0)</f>
        <v/>
      </c>
      <c r="D249" s="4" t="n">
        <v>1</v>
      </c>
      <c r="E249" s="4" t="n">
        <v>1</v>
      </c>
      <c r="F249" s="4" t="n">
        <v>1</v>
      </c>
      <c r="G249" s="4" t="n">
        <v>0</v>
      </c>
      <c r="H249" s="4" t="n">
        <v>1</v>
      </c>
      <c r="I249" s="4" t="n">
        <v>1</v>
      </c>
      <c r="J249" s="4" t="n">
        <v>0</v>
      </c>
      <c r="K249" s="4" t="n">
        <v>1</v>
      </c>
      <c r="L249" s="6">
        <f>IF(C249=1,1+SUMPRODUCT(D249:K249,$D$9:$K$9),"")</f>
        <v/>
      </c>
      <c r="M249" s="6">
        <f>SUMPRODUCT(D249:K249,$D$6:$K$6)</f>
        <v/>
      </c>
      <c r="N249" s="6">
        <f>SUMPRODUCT(D249:K249,$D$7:$K$7)</f>
        <v/>
      </c>
      <c r="O249" s="25">
        <f>SUMPRODUCT(D249:K249,$D$8:$K$8)</f>
        <v/>
      </c>
      <c r="P249" s="21">
        <f>M249/10^in_out_dp</f>
        <v/>
      </c>
      <c r="Q249" s="26">
        <f>N249/10^in_cost_dp</f>
        <v/>
      </c>
      <c r="R249" s="10">
        <f>IF(SUM(D249:K249)=0,1,0)</f>
        <v/>
      </c>
      <c r="S249" s="10">
        <f>SUMPRODUCT($C$12:$C$267*(($M$12:$M$267=M249)*($N$12:$N$267&lt;N249)+($M$12:$M$267&gt;M249)*($N$12:$N$267&lt;=N249)))</f>
        <v/>
      </c>
      <c r="T249" s="10">
        <f>IF(C249=0,0,IF(OR(R249=1,S249=0),1,0))</f>
        <v/>
      </c>
      <c r="U249" s="10">
        <f>IF(AND(T249=1,R249=0,M249&gt;0),1,0)</f>
        <v/>
      </c>
      <c r="V249" s="30">
        <f>IF(U249=1,MAX(N249/M249,SUMPRODUCT(MAX(((N249-$N$12:$N$267)*($U$12:$U$267*($M$12:$M$267&lt;M249)))/((M249-$M$12:$M$267)*($U$12:$U$267*($M$12:$M$267&lt;M249))+1-($U$12:$U$267*($M$12:$M$267&lt;M249)))-(1-($U$12:$U$267*($M$12:$M$267&lt;M249)))*1E+300))),0)</f>
        <v/>
      </c>
      <c r="W249" s="30">
        <f>IF(U249=1,SUMPRODUCT(MIN(((($N$12:$N$267-N249)*($U$12:$U$267*($M$12:$M$267&gt;M249)))/(($M$12:$M$267-M249)*($U$12:$U$267*($M$12:$M$267&gt;M249))+1-($U$12:$U$267*($M$12:$M$267&gt;M249)))+(1-($U$12:$U$267*($M$12:$M$267&gt;M249)))*1E+300))),0)</f>
        <v/>
      </c>
      <c r="X249" s="10">
        <f>IF(C249=0,0,IF(R249=1,1,IF(AND(U249=1,V249&lt;=W249),1,0)))</f>
        <v/>
      </c>
      <c r="Y249" s="10">
        <f>IF(X249=1,1+SUMPRODUCT($X$12:$X$267*(($M$12:$M$267&lt;M249)+($M$12:$M$267=M249)*($A$12:$A$267&lt;A249))),0)</f>
        <v/>
      </c>
      <c r="Z249" s="10">
        <f>IF(Y249&lt;=1,0,SUMPRODUCT(($Y$12:$Y$267=Y249-1)*$M$12:$M$267))</f>
        <v/>
      </c>
      <c r="AA249" s="10">
        <f>IF(Y249&lt;=1,0,SUMPRODUCT(($Y$12:$Y$267=Y249-1)*$N$12:$N$267))</f>
        <v/>
      </c>
      <c r="AB249" s="21">
        <f>IF(Y249=0,"",(M249-Z249)/10^in_out_dp)</f>
        <v/>
      </c>
      <c r="AC249" s="26">
        <f>IF(Y249=0,"",(N249-AA249)/10^in_cost_dp)</f>
        <v/>
      </c>
      <c r="AD249" s="26">
        <f>IF(Y249=0,"",IF(M249=Z249,0,AC249/AB249))</f>
        <v/>
      </c>
      <c r="AE249" s="26">
        <f>IF(AND(C249=1,M249&gt;0),Q249/P249,"n/a")</f>
        <v/>
      </c>
      <c r="AF249" s="15" t="n">
        <v>0</v>
      </c>
      <c r="AG249" s="6">
        <f>IF(AND(C249=1,AF249=1),1+SUMPRODUCT($C$12:$C$267*$AF$12:$AF$267*(($M$12:$M$267&lt;M249)+($M$12:$M$267=M249)*($N$12:$N$267&lt;N249)+($M$12:$M$267=M249)*($N$12:$N$267=N249)*($A$12:$A$267&lt;A249))),0)</f>
        <v/>
      </c>
    </row>
    <row r="250">
      <c r="A250" s="4" t="n">
        <v>239</v>
      </c>
      <c r="B250" s="4" t="inlineStr">
        <is>
          <t>17F2M + 17D2E + 17B + 2B + 3E + 3F</t>
        </is>
      </c>
      <c r="C250" s="10">
        <f>IF(SUMPRODUCT(D250:K250,1-$D$5:$K$5)=0,1,0)</f>
        <v/>
      </c>
      <c r="D250" s="4" t="n">
        <v>1</v>
      </c>
      <c r="E250" s="4" t="n">
        <v>1</v>
      </c>
      <c r="F250" s="4" t="n">
        <v>1</v>
      </c>
      <c r="G250" s="4" t="n">
        <v>0</v>
      </c>
      <c r="H250" s="4" t="n">
        <v>1</v>
      </c>
      <c r="I250" s="4" t="n">
        <v>1</v>
      </c>
      <c r="J250" s="4" t="n">
        <v>1</v>
      </c>
      <c r="K250" s="4" t="n">
        <v>0</v>
      </c>
      <c r="L250" s="6">
        <f>IF(C250=1,1+SUMPRODUCT(D250:K250,$D$9:$K$9),"")</f>
        <v/>
      </c>
      <c r="M250" s="6">
        <f>SUMPRODUCT(D250:K250,$D$6:$K$6)</f>
        <v/>
      </c>
      <c r="N250" s="6">
        <f>SUMPRODUCT(D250:K250,$D$7:$K$7)</f>
        <v/>
      </c>
      <c r="O250" s="25">
        <f>SUMPRODUCT(D250:K250,$D$8:$K$8)</f>
        <v/>
      </c>
      <c r="P250" s="21">
        <f>M250/10^in_out_dp</f>
        <v/>
      </c>
      <c r="Q250" s="26">
        <f>N250/10^in_cost_dp</f>
        <v/>
      </c>
      <c r="R250" s="10">
        <f>IF(SUM(D250:K250)=0,1,0)</f>
        <v/>
      </c>
      <c r="S250" s="10">
        <f>SUMPRODUCT($C$12:$C$267*(($M$12:$M$267=M250)*($N$12:$N$267&lt;N250)+($M$12:$M$267&gt;M250)*($N$12:$N$267&lt;=N250)))</f>
        <v/>
      </c>
      <c r="T250" s="10">
        <f>IF(C250=0,0,IF(OR(R250=1,S250=0),1,0))</f>
        <v/>
      </c>
      <c r="U250" s="10">
        <f>IF(AND(T250=1,R250=0,M250&gt;0),1,0)</f>
        <v/>
      </c>
      <c r="V250" s="30">
        <f>IF(U250=1,MAX(N250/M250,SUMPRODUCT(MAX(((N250-$N$12:$N$267)*($U$12:$U$267*($M$12:$M$267&lt;M250)))/((M250-$M$12:$M$267)*($U$12:$U$267*($M$12:$M$267&lt;M250))+1-($U$12:$U$267*($M$12:$M$267&lt;M250)))-(1-($U$12:$U$267*($M$12:$M$267&lt;M250)))*1E+300))),0)</f>
        <v/>
      </c>
      <c r="W250" s="30">
        <f>IF(U250=1,SUMPRODUCT(MIN(((($N$12:$N$267-N250)*($U$12:$U$267*($M$12:$M$267&gt;M250)))/(($M$12:$M$267-M250)*($U$12:$U$267*($M$12:$M$267&gt;M250))+1-($U$12:$U$267*($M$12:$M$267&gt;M250)))+(1-($U$12:$U$267*($M$12:$M$267&gt;M250)))*1E+300))),0)</f>
        <v/>
      </c>
      <c r="X250" s="10">
        <f>IF(C250=0,0,IF(R250=1,1,IF(AND(U250=1,V250&lt;=W250),1,0)))</f>
        <v/>
      </c>
      <c r="Y250" s="10">
        <f>IF(X250=1,1+SUMPRODUCT($X$12:$X$267*(($M$12:$M$267&lt;M250)+($M$12:$M$267=M250)*($A$12:$A$267&lt;A250))),0)</f>
        <v/>
      </c>
      <c r="Z250" s="10">
        <f>IF(Y250&lt;=1,0,SUMPRODUCT(($Y$12:$Y$267=Y250-1)*$M$12:$M$267))</f>
        <v/>
      </c>
      <c r="AA250" s="10">
        <f>IF(Y250&lt;=1,0,SUMPRODUCT(($Y$12:$Y$267=Y250-1)*$N$12:$N$267))</f>
        <v/>
      </c>
      <c r="AB250" s="21">
        <f>IF(Y250=0,"",(M250-Z250)/10^in_out_dp)</f>
        <v/>
      </c>
      <c r="AC250" s="26">
        <f>IF(Y250=0,"",(N250-AA250)/10^in_cost_dp)</f>
        <v/>
      </c>
      <c r="AD250" s="26">
        <f>IF(Y250=0,"",IF(M250=Z250,0,AC250/AB250))</f>
        <v/>
      </c>
      <c r="AE250" s="26">
        <f>IF(AND(C250=1,M250&gt;0),Q250/P250,"n/a")</f>
        <v/>
      </c>
      <c r="AF250" s="15" t="n">
        <v>0</v>
      </c>
      <c r="AG250" s="6">
        <f>IF(AND(C250=1,AF250=1),1+SUMPRODUCT($C$12:$C$267*$AF$12:$AF$267*(($M$12:$M$267&lt;M250)+($M$12:$M$267=M250)*($N$12:$N$267&lt;N250)+($M$12:$M$267=M250)*($N$12:$N$267=N250)*($A$12:$A$267&lt;A250))),0)</f>
        <v/>
      </c>
    </row>
    <row r="251">
      <c r="A251" s="4" t="n">
        <v>240</v>
      </c>
      <c r="B251" s="4" t="inlineStr">
        <is>
          <t>17F2M + 17D2E + 17B + 2B + 3E + 3F + 19A</t>
        </is>
      </c>
      <c r="C251" s="10">
        <f>IF(SUMPRODUCT(D251:K251,1-$D$5:$K$5)=0,1,0)</f>
        <v/>
      </c>
      <c r="D251" s="4" t="n">
        <v>1</v>
      </c>
      <c r="E251" s="4" t="n">
        <v>1</v>
      </c>
      <c r="F251" s="4" t="n">
        <v>1</v>
      </c>
      <c r="G251" s="4" t="n">
        <v>0</v>
      </c>
      <c r="H251" s="4" t="n">
        <v>1</v>
      </c>
      <c r="I251" s="4" t="n">
        <v>1</v>
      </c>
      <c r="J251" s="4" t="n">
        <v>1</v>
      </c>
      <c r="K251" s="4" t="n">
        <v>1</v>
      </c>
      <c r="L251" s="6">
        <f>IF(C251=1,1+SUMPRODUCT(D251:K251,$D$9:$K$9),"")</f>
        <v/>
      </c>
      <c r="M251" s="6">
        <f>SUMPRODUCT(D251:K251,$D$6:$K$6)</f>
        <v/>
      </c>
      <c r="N251" s="6">
        <f>SUMPRODUCT(D251:K251,$D$7:$K$7)</f>
        <v/>
      </c>
      <c r="O251" s="25">
        <f>SUMPRODUCT(D251:K251,$D$8:$K$8)</f>
        <v/>
      </c>
      <c r="P251" s="21">
        <f>M251/10^in_out_dp</f>
        <v/>
      </c>
      <c r="Q251" s="26">
        <f>N251/10^in_cost_dp</f>
        <v/>
      </c>
      <c r="R251" s="10">
        <f>IF(SUM(D251:K251)=0,1,0)</f>
        <v/>
      </c>
      <c r="S251" s="10">
        <f>SUMPRODUCT($C$12:$C$267*(($M$12:$M$267=M251)*($N$12:$N$267&lt;N251)+($M$12:$M$267&gt;M251)*($N$12:$N$267&lt;=N251)))</f>
        <v/>
      </c>
      <c r="T251" s="10">
        <f>IF(C251=0,0,IF(OR(R251=1,S251=0),1,0))</f>
        <v/>
      </c>
      <c r="U251" s="10">
        <f>IF(AND(T251=1,R251=0,M251&gt;0),1,0)</f>
        <v/>
      </c>
      <c r="V251" s="30">
        <f>IF(U251=1,MAX(N251/M251,SUMPRODUCT(MAX(((N251-$N$12:$N$267)*($U$12:$U$267*($M$12:$M$267&lt;M251)))/((M251-$M$12:$M$267)*($U$12:$U$267*($M$12:$M$267&lt;M251))+1-($U$12:$U$267*($M$12:$M$267&lt;M251)))-(1-($U$12:$U$267*($M$12:$M$267&lt;M251)))*1E+300))),0)</f>
        <v/>
      </c>
      <c r="W251" s="30">
        <f>IF(U251=1,SUMPRODUCT(MIN(((($N$12:$N$267-N251)*($U$12:$U$267*($M$12:$M$267&gt;M251)))/(($M$12:$M$267-M251)*($U$12:$U$267*($M$12:$M$267&gt;M251))+1-($U$12:$U$267*($M$12:$M$267&gt;M251)))+(1-($U$12:$U$267*($M$12:$M$267&gt;M251)))*1E+300))),0)</f>
        <v/>
      </c>
      <c r="X251" s="10">
        <f>IF(C251=0,0,IF(R251=1,1,IF(AND(U251=1,V251&lt;=W251),1,0)))</f>
        <v/>
      </c>
      <c r="Y251" s="10">
        <f>IF(X251=1,1+SUMPRODUCT($X$12:$X$267*(($M$12:$M$267&lt;M251)+($M$12:$M$267=M251)*($A$12:$A$267&lt;A251))),0)</f>
        <v/>
      </c>
      <c r="Z251" s="10">
        <f>IF(Y251&lt;=1,0,SUMPRODUCT(($Y$12:$Y$267=Y251-1)*$M$12:$M$267))</f>
        <v/>
      </c>
      <c r="AA251" s="10">
        <f>IF(Y251&lt;=1,0,SUMPRODUCT(($Y$12:$Y$267=Y251-1)*$N$12:$N$267))</f>
        <v/>
      </c>
      <c r="AB251" s="21">
        <f>IF(Y251=0,"",(M251-Z251)/10^in_out_dp)</f>
        <v/>
      </c>
      <c r="AC251" s="26">
        <f>IF(Y251=0,"",(N251-AA251)/10^in_cost_dp)</f>
        <v/>
      </c>
      <c r="AD251" s="26">
        <f>IF(Y251=0,"",IF(M251=Z251,0,AC251/AB251))</f>
        <v/>
      </c>
      <c r="AE251" s="26">
        <f>IF(AND(C251=1,M251&gt;0),Q251/P251,"n/a")</f>
        <v/>
      </c>
      <c r="AF251" s="15" t="n">
        <v>0</v>
      </c>
      <c r="AG251" s="6">
        <f>IF(AND(C251=1,AF251=1),1+SUMPRODUCT($C$12:$C$267*$AF$12:$AF$267*(($M$12:$M$267&lt;M251)+($M$12:$M$267=M251)*($N$12:$N$267&lt;N251)+($M$12:$M$267=M251)*($N$12:$N$267=N251)*($A$12:$A$267&lt;A251))),0)</f>
        <v/>
      </c>
    </row>
    <row r="252">
      <c r="A252" s="4" t="n">
        <v>241</v>
      </c>
      <c r="B252" s="4" t="inlineStr">
        <is>
          <t>17F2M + 17D2E + 17B + 2A</t>
        </is>
      </c>
      <c r="C252" s="10">
        <f>IF(SUMPRODUCT(D252:K252,1-$D$5:$K$5)=0,1,0)</f>
        <v/>
      </c>
      <c r="D252" s="4" t="n">
        <v>1</v>
      </c>
      <c r="E252" s="4" t="n">
        <v>1</v>
      </c>
      <c r="F252" s="4" t="n">
        <v>1</v>
      </c>
      <c r="G252" s="4" t="n">
        <v>1</v>
      </c>
      <c r="H252" s="4" t="n">
        <v>0</v>
      </c>
      <c r="I252" s="4" t="n">
        <v>0</v>
      </c>
      <c r="J252" s="4" t="n">
        <v>0</v>
      </c>
      <c r="K252" s="4" t="n">
        <v>0</v>
      </c>
      <c r="L252" s="6">
        <f>IF(C252=1,1+SUMPRODUCT(D252:K252,$D$9:$K$9),"")</f>
        <v/>
      </c>
      <c r="M252" s="6">
        <f>SUMPRODUCT(D252:K252,$D$6:$K$6)</f>
        <v/>
      </c>
      <c r="N252" s="6">
        <f>SUMPRODUCT(D252:K252,$D$7:$K$7)</f>
        <v/>
      </c>
      <c r="O252" s="25">
        <f>SUMPRODUCT(D252:K252,$D$8:$K$8)</f>
        <v/>
      </c>
      <c r="P252" s="21">
        <f>M252/10^in_out_dp</f>
        <v/>
      </c>
      <c r="Q252" s="26">
        <f>N252/10^in_cost_dp</f>
        <v/>
      </c>
      <c r="R252" s="10">
        <f>IF(SUM(D252:K252)=0,1,0)</f>
        <v/>
      </c>
      <c r="S252" s="10">
        <f>SUMPRODUCT($C$12:$C$267*(($M$12:$M$267=M252)*($N$12:$N$267&lt;N252)+($M$12:$M$267&gt;M252)*($N$12:$N$267&lt;=N252)))</f>
        <v/>
      </c>
      <c r="T252" s="10">
        <f>IF(C252=0,0,IF(OR(R252=1,S252=0),1,0))</f>
        <v/>
      </c>
      <c r="U252" s="10">
        <f>IF(AND(T252=1,R252=0,M252&gt;0),1,0)</f>
        <v/>
      </c>
      <c r="V252" s="30">
        <f>IF(U252=1,MAX(N252/M252,SUMPRODUCT(MAX(((N252-$N$12:$N$267)*($U$12:$U$267*($M$12:$M$267&lt;M252)))/((M252-$M$12:$M$267)*($U$12:$U$267*($M$12:$M$267&lt;M252))+1-($U$12:$U$267*($M$12:$M$267&lt;M252)))-(1-($U$12:$U$267*($M$12:$M$267&lt;M252)))*1E+300))),0)</f>
        <v/>
      </c>
      <c r="W252" s="30">
        <f>IF(U252=1,SUMPRODUCT(MIN(((($N$12:$N$267-N252)*($U$12:$U$267*($M$12:$M$267&gt;M252)))/(($M$12:$M$267-M252)*($U$12:$U$267*($M$12:$M$267&gt;M252))+1-($U$12:$U$267*($M$12:$M$267&gt;M252)))+(1-($U$12:$U$267*($M$12:$M$267&gt;M252)))*1E+300))),0)</f>
        <v/>
      </c>
      <c r="X252" s="10">
        <f>IF(C252=0,0,IF(R252=1,1,IF(AND(U252=1,V252&lt;=W252),1,0)))</f>
        <v/>
      </c>
      <c r="Y252" s="10">
        <f>IF(X252=1,1+SUMPRODUCT($X$12:$X$267*(($M$12:$M$267&lt;M252)+($M$12:$M$267=M252)*($A$12:$A$267&lt;A252))),0)</f>
        <v/>
      </c>
      <c r="Z252" s="10">
        <f>IF(Y252&lt;=1,0,SUMPRODUCT(($Y$12:$Y$267=Y252-1)*$M$12:$M$267))</f>
        <v/>
      </c>
      <c r="AA252" s="10">
        <f>IF(Y252&lt;=1,0,SUMPRODUCT(($Y$12:$Y$267=Y252-1)*$N$12:$N$267))</f>
        <v/>
      </c>
      <c r="AB252" s="21">
        <f>IF(Y252=0,"",(M252-Z252)/10^in_out_dp)</f>
        <v/>
      </c>
      <c r="AC252" s="26">
        <f>IF(Y252=0,"",(N252-AA252)/10^in_cost_dp)</f>
        <v/>
      </c>
      <c r="AD252" s="26">
        <f>IF(Y252=0,"",IF(M252=Z252,0,AC252/AB252))</f>
        <v/>
      </c>
      <c r="AE252" s="26">
        <f>IF(AND(C252=1,M252&gt;0),Q252/P252,"n/a")</f>
        <v/>
      </c>
      <c r="AF252" s="15" t="n">
        <v>0</v>
      </c>
      <c r="AG252" s="6">
        <f>IF(AND(C252=1,AF252=1),1+SUMPRODUCT($C$12:$C$267*$AF$12:$AF$267*(($M$12:$M$267&lt;M252)+($M$12:$M$267=M252)*($N$12:$N$267&lt;N252)+($M$12:$M$267=M252)*($N$12:$N$267=N252)*($A$12:$A$267&lt;A252))),0)</f>
        <v/>
      </c>
    </row>
    <row r="253">
      <c r="A253" s="4" t="n">
        <v>242</v>
      </c>
      <c r="B253" s="4" t="inlineStr">
        <is>
          <t>17F2M + 17D2E + 17B + 2A + 19A</t>
        </is>
      </c>
      <c r="C253" s="10">
        <f>IF(SUMPRODUCT(D253:K253,1-$D$5:$K$5)=0,1,0)</f>
        <v/>
      </c>
      <c r="D253" s="4" t="n">
        <v>1</v>
      </c>
      <c r="E253" s="4" t="n">
        <v>1</v>
      </c>
      <c r="F253" s="4" t="n">
        <v>1</v>
      </c>
      <c r="G253" s="4" t="n">
        <v>1</v>
      </c>
      <c r="H253" s="4" t="n">
        <v>0</v>
      </c>
      <c r="I253" s="4" t="n">
        <v>0</v>
      </c>
      <c r="J253" s="4" t="n">
        <v>0</v>
      </c>
      <c r="K253" s="4" t="n">
        <v>1</v>
      </c>
      <c r="L253" s="6">
        <f>IF(C253=1,1+SUMPRODUCT(D253:K253,$D$9:$K$9),"")</f>
        <v/>
      </c>
      <c r="M253" s="6">
        <f>SUMPRODUCT(D253:K253,$D$6:$K$6)</f>
        <v/>
      </c>
      <c r="N253" s="6">
        <f>SUMPRODUCT(D253:K253,$D$7:$K$7)</f>
        <v/>
      </c>
      <c r="O253" s="25">
        <f>SUMPRODUCT(D253:K253,$D$8:$K$8)</f>
        <v/>
      </c>
      <c r="P253" s="21">
        <f>M253/10^in_out_dp</f>
        <v/>
      </c>
      <c r="Q253" s="26">
        <f>N253/10^in_cost_dp</f>
        <v/>
      </c>
      <c r="R253" s="10">
        <f>IF(SUM(D253:K253)=0,1,0)</f>
        <v/>
      </c>
      <c r="S253" s="10">
        <f>SUMPRODUCT($C$12:$C$267*(($M$12:$M$267=M253)*($N$12:$N$267&lt;N253)+($M$12:$M$267&gt;M253)*($N$12:$N$267&lt;=N253)))</f>
        <v/>
      </c>
      <c r="T253" s="10">
        <f>IF(C253=0,0,IF(OR(R253=1,S253=0),1,0))</f>
        <v/>
      </c>
      <c r="U253" s="10">
        <f>IF(AND(T253=1,R253=0,M253&gt;0),1,0)</f>
        <v/>
      </c>
      <c r="V253" s="30">
        <f>IF(U253=1,MAX(N253/M253,SUMPRODUCT(MAX(((N253-$N$12:$N$267)*($U$12:$U$267*($M$12:$M$267&lt;M253)))/((M253-$M$12:$M$267)*($U$12:$U$267*($M$12:$M$267&lt;M253))+1-($U$12:$U$267*($M$12:$M$267&lt;M253)))-(1-($U$12:$U$267*($M$12:$M$267&lt;M253)))*1E+300))),0)</f>
        <v/>
      </c>
      <c r="W253" s="30">
        <f>IF(U253=1,SUMPRODUCT(MIN(((($N$12:$N$267-N253)*($U$12:$U$267*($M$12:$M$267&gt;M253)))/(($M$12:$M$267-M253)*($U$12:$U$267*($M$12:$M$267&gt;M253))+1-($U$12:$U$267*($M$12:$M$267&gt;M253)))+(1-($U$12:$U$267*($M$12:$M$267&gt;M253)))*1E+300))),0)</f>
        <v/>
      </c>
      <c r="X253" s="10">
        <f>IF(C253=0,0,IF(R253=1,1,IF(AND(U253=1,V253&lt;=W253),1,0)))</f>
        <v/>
      </c>
      <c r="Y253" s="10">
        <f>IF(X253=1,1+SUMPRODUCT($X$12:$X$267*(($M$12:$M$267&lt;M253)+($M$12:$M$267=M253)*($A$12:$A$267&lt;A253))),0)</f>
        <v/>
      </c>
      <c r="Z253" s="10">
        <f>IF(Y253&lt;=1,0,SUMPRODUCT(($Y$12:$Y$267=Y253-1)*$M$12:$M$267))</f>
        <v/>
      </c>
      <c r="AA253" s="10">
        <f>IF(Y253&lt;=1,0,SUMPRODUCT(($Y$12:$Y$267=Y253-1)*$N$12:$N$267))</f>
        <v/>
      </c>
      <c r="AB253" s="21">
        <f>IF(Y253=0,"",(M253-Z253)/10^in_out_dp)</f>
        <v/>
      </c>
      <c r="AC253" s="26">
        <f>IF(Y253=0,"",(N253-AA253)/10^in_cost_dp)</f>
        <v/>
      </c>
      <c r="AD253" s="26">
        <f>IF(Y253=0,"",IF(M253=Z253,0,AC253/AB253))</f>
        <v/>
      </c>
      <c r="AE253" s="26">
        <f>IF(AND(C253=1,M253&gt;0),Q253/P253,"n/a")</f>
        <v/>
      </c>
      <c r="AF253" s="15" t="n">
        <v>0</v>
      </c>
      <c r="AG253" s="6">
        <f>IF(AND(C253=1,AF253=1),1+SUMPRODUCT($C$12:$C$267*$AF$12:$AF$267*(($M$12:$M$267&lt;M253)+($M$12:$M$267=M253)*($N$12:$N$267&lt;N253)+($M$12:$M$267=M253)*($N$12:$N$267=N253)*($A$12:$A$267&lt;A253))),0)</f>
        <v/>
      </c>
    </row>
    <row r="254">
      <c r="A254" s="4" t="n">
        <v>243</v>
      </c>
      <c r="B254" s="4" t="inlineStr">
        <is>
          <t>17F2M + 17D2E + 17B + 2A + 3F</t>
        </is>
      </c>
      <c r="C254" s="10">
        <f>IF(SUMPRODUCT(D254:K254,1-$D$5:$K$5)=0,1,0)</f>
        <v/>
      </c>
      <c r="D254" s="4" t="n">
        <v>1</v>
      </c>
      <c r="E254" s="4" t="n">
        <v>1</v>
      </c>
      <c r="F254" s="4" t="n">
        <v>1</v>
      </c>
      <c r="G254" s="4" t="n">
        <v>1</v>
      </c>
      <c r="H254" s="4" t="n">
        <v>0</v>
      </c>
      <c r="I254" s="4" t="n">
        <v>0</v>
      </c>
      <c r="J254" s="4" t="n">
        <v>1</v>
      </c>
      <c r="K254" s="4" t="n">
        <v>0</v>
      </c>
      <c r="L254" s="6">
        <f>IF(C254=1,1+SUMPRODUCT(D254:K254,$D$9:$K$9),"")</f>
        <v/>
      </c>
      <c r="M254" s="6">
        <f>SUMPRODUCT(D254:K254,$D$6:$K$6)</f>
        <v/>
      </c>
      <c r="N254" s="6">
        <f>SUMPRODUCT(D254:K254,$D$7:$K$7)</f>
        <v/>
      </c>
      <c r="O254" s="25">
        <f>SUMPRODUCT(D254:K254,$D$8:$K$8)</f>
        <v/>
      </c>
      <c r="P254" s="21">
        <f>M254/10^in_out_dp</f>
        <v/>
      </c>
      <c r="Q254" s="26">
        <f>N254/10^in_cost_dp</f>
        <v/>
      </c>
      <c r="R254" s="10">
        <f>IF(SUM(D254:K254)=0,1,0)</f>
        <v/>
      </c>
      <c r="S254" s="10">
        <f>SUMPRODUCT($C$12:$C$267*(($M$12:$M$267=M254)*($N$12:$N$267&lt;N254)+($M$12:$M$267&gt;M254)*($N$12:$N$267&lt;=N254)))</f>
        <v/>
      </c>
      <c r="T254" s="10">
        <f>IF(C254=0,0,IF(OR(R254=1,S254=0),1,0))</f>
        <v/>
      </c>
      <c r="U254" s="10">
        <f>IF(AND(T254=1,R254=0,M254&gt;0),1,0)</f>
        <v/>
      </c>
      <c r="V254" s="30">
        <f>IF(U254=1,MAX(N254/M254,SUMPRODUCT(MAX(((N254-$N$12:$N$267)*($U$12:$U$267*($M$12:$M$267&lt;M254)))/((M254-$M$12:$M$267)*($U$12:$U$267*($M$12:$M$267&lt;M254))+1-($U$12:$U$267*($M$12:$M$267&lt;M254)))-(1-($U$12:$U$267*($M$12:$M$267&lt;M254)))*1E+300))),0)</f>
        <v/>
      </c>
      <c r="W254" s="30">
        <f>IF(U254=1,SUMPRODUCT(MIN(((($N$12:$N$267-N254)*($U$12:$U$267*($M$12:$M$267&gt;M254)))/(($M$12:$M$267-M254)*($U$12:$U$267*($M$12:$M$267&gt;M254))+1-($U$12:$U$267*($M$12:$M$267&gt;M254)))+(1-($U$12:$U$267*($M$12:$M$267&gt;M254)))*1E+300))),0)</f>
        <v/>
      </c>
      <c r="X254" s="10">
        <f>IF(C254=0,0,IF(R254=1,1,IF(AND(U254=1,V254&lt;=W254),1,0)))</f>
        <v/>
      </c>
      <c r="Y254" s="10">
        <f>IF(X254=1,1+SUMPRODUCT($X$12:$X$267*(($M$12:$M$267&lt;M254)+($M$12:$M$267=M254)*($A$12:$A$267&lt;A254))),0)</f>
        <v/>
      </c>
      <c r="Z254" s="10">
        <f>IF(Y254&lt;=1,0,SUMPRODUCT(($Y$12:$Y$267=Y254-1)*$M$12:$M$267))</f>
        <v/>
      </c>
      <c r="AA254" s="10">
        <f>IF(Y254&lt;=1,0,SUMPRODUCT(($Y$12:$Y$267=Y254-1)*$N$12:$N$267))</f>
        <v/>
      </c>
      <c r="AB254" s="21">
        <f>IF(Y254=0,"",(M254-Z254)/10^in_out_dp)</f>
        <v/>
      </c>
      <c r="AC254" s="26">
        <f>IF(Y254=0,"",(N254-AA254)/10^in_cost_dp)</f>
        <v/>
      </c>
      <c r="AD254" s="26">
        <f>IF(Y254=0,"",IF(M254=Z254,0,AC254/AB254))</f>
        <v/>
      </c>
      <c r="AE254" s="26">
        <f>IF(AND(C254=1,M254&gt;0),Q254/P254,"n/a")</f>
        <v/>
      </c>
      <c r="AF254" s="15" t="n">
        <v>0</v>
      </c>
      <c r="AG254" s="6">
        <f>IF(AND(C254=1,AF254=1),1+SUMPRODUCT($C$12:$C$267*$AF$12:$AF$267*(($M$12:$M$267&lt;M254)+($M$12:$M$267=M254)*($N$12:$N$267&lt;N254)+($M$12:$M$267=M254)*($N$12:$N$267=N254)*($A$12:$A$267&lt;A254))),0)</f>
        <v/>
      </c>
    </row>
    <row r="255">
      <c r="A255" s="4" t="n">
        <v>244</v>
      </c>
      <c r="B255" s="4" t="inlineStr">
        <is>
          <t>17F2M + 17D2E + 17B + 2A + 3F + 19A</t>
        </is>
      </c>
      <c r="C255" s="10">
        <f>IF(SUMPRODUCT(D255:K255,1-$D$5:$K$5)=0,1,0)</f>
        <v/>
      </c>
      <c r="D255" s="4" t="n">
        <v>1</v>
      </c>
      <c r="E255" s="4" t="n">
        <v>1</v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1</v>
      </c>
      <c r="K255" s="4" t="n">
        <v>1</v>
      </c>
      <c r="L255" s="6">
        <f>IF(C255=1,1+SUMPRODUCT(D255:K255,$D$9:$K$9),"")</f>
        <v/>
      </c>
      <c r="M255" s="6">
        <f>SUMPRODUCT(D255:K255,$D$6:$K$6)</f>
        <v/>
      </c>
      <c r="N255" s="6">
        <f>SUMPRODUCT(D255:K255,$D$7:$K$7)</f>
        <v/>
      </c>
      <c r="O255" s="25">
        <f>SUMPRODUCT(D255:K255,$D$8:$K$8)</f>
        <v/>
      </c>
      <c r="P255" s="21">
        <f>M255/10^in_out_dp</f>
        <v/>
      </c>
      <c r="Q255" s="26">
        <f>N255/10^in_cost_dp</f>
        <v/>
      </c>
      <c r="R255" s="10">
        <f>IF(SUM(D255:K255)=0,1,0)</f>
        <v/>
      </c>
      <c r="S255" s="10">
        <f>SUMPRODUCT($C$12:$C$267*(($M$12:$M$267=M255)*($N$12:$N$267&lt;N255)+($M$12:$M$267&gt;M255)*($N$12:$N$267&lt;=N255)))</f>
        <v/>
      </c>
      <c r="T255" s="10">
        <f>IF(C255=0,0,IF(OR(R255=1,S255=0),1,0))</f>
        <v/>
      </c>
      <c r="U255" s="10">
        <f>IF(AND(T255=1,R255=0,M255&gt;0),1,0)</f>
        <v/>
      </c>
      <c r="V255" s="30">
        <f>IF(U255=1,MAX(N255/M255,SUMPRODUCT(MAX(((N255-$N$12:$N$267)*($U$12:$U$267*($M$12:$M$267&lt;M255)))/((M255-$M$12:$M$267)*($U$12:$U$267*($M$12:$M$267&lt;M255))+1-($U$12:$U$267*($M$12:$M$267&lt;M255)))-(1-($U$12:$U$267*($M$12:$M$267&lt;M255)))*1E+300))),0)</f>
        <v/>
      </c>
      <c r="W255" s="30">
        <f>IF(U255=1,SUMPRODUCT(MIN(((($N$12:$N$267-N255)*($U$12:$U$267*($M$12:$M$267&gt;M255)))/(($M$12:$M$267-M255)*($U$12:$U$267*($M$12:$M$267&gt;M255))+1-($U$12:$U$267*($M$12:$M$267&gt;M255)))+(1-($U$12:$U$267*($M$12:$M$267&gt;M255)))*1E+300))),0)</f>
        <v/>
      </c>
      <c r="X255" s="10">
        <f>IF(C255=0,0,IF(R255=1,1,IF(AND(U255=1,V255&lt;=W255),1,0)))</f>
        <v/>
      </c>
      <c r="Y255" s="10">
        <f>IF(X255=1,1+SUMPRODUCT($X$12:$X$267*(($M$12:$M$267&lt;M255)+($M$12:$M$267=M255)*($A$12:$A$267&lt;A255))),0)</f>
        <v/>
      </c>
      <c r="Z255" s="10">
        <f>IF(Y255&lt;=1,0,SUMPRODUCT(($Y$12:$Y$267=Y255-1)*$M$12:$M$267))</f>
        <v/>
      </c>
      <c r="AA255" s="10">
        <f>IF(Y255&lt;=1,0,SUMPRODUCT(($Y$12:$Y$267=Y255-1)*$N$12:$N$267))</f>
        <v/>
      </c>
      <c r="AB255" s="21">
        <f>IF(Y255=0,"",(M255-Z255)/10^in_out_dp)</f>
        <v/>
      </c>
      <c r="AC255" s="26">
        <f>IF(Y255=0,"",(N255-AA255)/10^in_cost_dp)</f>
        <v/>
      </c>
      <c r="AD255" s="26">
        <f>IF(Y255=0,"",IF(M255=Z255,0,AC255/AB255))</f>
        <v/>
      </c>
      <c r="AE255" s="26">
        <f>IF(AND(C255=1,M255&gt;0),Q255/P255,"n/a")</f>
        <v/>
      </c>
      <c r="AF255" s="15" t="n">
        <v>0</v>
      </c>
      <c r="AG255" s="6">
        <f>IF(AND(C255=1,AF255=1),1+SUMPRODUCT($C$12:$C$267*$AF$12:$AF$267*(($M$12:$M$267&lt;M255)+($M$12:$M$267=M255)*($N$12:$N$267&lt;N255)+($M$12:$M$267=M255)*($N$12:$N$267=N255)*($A$12:$A$267&lt;A255))),0)</f>
        <v/>
      </c>
    </row>
    <row r="256">
      <c r="A256" s="4" t="n">
        <v>245</v>
      </c>
      <c r="B256" s="4" t="inlineStr">
        <is>
          <t>17F2M + 17D2E + 17B + 2A + 3E</t>
        </is>
      </c>
      <c r="C256" s="10">
        <f>IF(SUMPRODUCT(D256:K256,1-$D$5:$K$5)=0,1,0)</f>
        <v/>
      </c>
      <c r="D256" s="4" t="n">
        <v>1</v>
      </c>
      <c r="E256" s="4" t="n">
        <v>1</v>
      </c>
      <c r="F256" s="4" t="n">
        <v>1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0</v>
      </c>
      <c r="L256" s="6">
        <f>IF(C256=1,1+SUMPRODUCT(D256:K256,$D$9:$K$9),"")</f>
        <v/>
      </c>
      <c r="M256" s="6">
        <f>SUMPRODUCT(D256:K256,$D$6:$K$6)</f>
        <v/>
      </c>
      <c r="N256" s="6">
        <f>SUMPRODUCT(D256:K256,$D$7:$K$7)</f>
        <v/>
      </c>
      <c r="O256" s="25">
        <f>SUMPRODUCT(D256:K256,$D$8:$K$8)</f>
        <v/>
      </c>
      <c r="P256" s="21">
        <f>M256/10^in_out_dp</f>
        <v/>
      </c>
      <c r="Q256" s="26">
        <f>N256/10^in_cost_dp</f>
        <v/>
      </c>
      <c r="R256" s="10">
        <f>IF(SUM(D256:K256)=0,1,0)</f>
        <v/>
      </c>
      <c r="S256" s="10">
        <f>SUMPRODUCT($C$12:$C$267*(($M$12:$M$267=M256)*($N$12:$N$267&lt;N256)+($M$12:$M$267&gt;M256)*($N$12:$N$267&lt;=N256)))</f>
        <v/>
      </c>
      <c r="T256" s="10">
        <f>IF(C256=0,0,IF(OR(R256=1,S256=0),1,0))</f>
        <v/>
      </c>
      <c r="U256" s="10">
        <f>IF(AND(T256=1,R256=0,M256&gt;0),1,0)</f>
        <v/>
      </c>
      <c r="V256" s="30">
        <f>IF(U256=1,MAX(N256/M256,SUMPRODUCT(MAX(((N256-$N$12:$N$267)*($U$12:$U$267*($M$12:$M$267&lt;M256)))/((M256-$M$12:$M$267)*($U$12:$U$267*($M$12:$M$267&lt;M256))+1-($U$12:$U$267*($M$12:$M$267&lt;M256)))-(1-($U$12:$U$267*($M$12:$M$267&lt;M256)))*1E+300))),0)</f>
        <v/>
      </c>
      <c r="W256" s="30">
        <f>IF(U256=1,SUMPRODUCT(MIN(((($N$12:$N$267-N256)*($U$12:$U$267*($M$12:$M$267&gt;M256)))/(($M$12:$M$267-M256)*($U$12:$U$267*($M$12:$M$267&gt;M256))+1-($U$12:$U$267*($M$12:$M$267&gt;M256)))+(1-($U$12:$U$267*($M$12:$M$267&gt;M256)))*1E+300))),0)</f>
        <v/>
      </c>
      <c r="X256" s="10">
        <f>IF(C256=0,0,IF(R256=1,1,IF(AND(U256=1,V256&lt;=W256),1,0)))</f>
        <v/>
      </c>
      <c r="Y256" s="10">
        <f>IF(X256=1,1+SUMPRODUCT($X$12:$X$267*(($M$12:$M$267&lt;M256)+($M$12:$M$267=M256)*($A$12:$A$267&lt;A256))),0)</f>
        <v/>
      </c>
      <c r="Z256" s="10">
        <f>IF(Y256&lt;=1,0,SUMPRODUCT(($Y$12:$Y$267=Y256-1)*$M$12:$M$267))</f>
        <v/>
      </c>
      <c r="AA256" s="10">
        <f>IF(Y256&lt;=1,0,SUMPRODUCT(($Y$12:$Y$267=Y256-1)*$N$12:$N$267))</f>
        <v/>
      </c>
      <c r="AB256" s="21">
        <f>IF(Y256=0,"",(M256-Z256)/10^in_out_dp)</f>
        <v/>
      </c>
      <c r="AC256" s="26">
        <f>IF(Y256=0,"",(N256-AA256)/10^in_cost_dp)</f>
        <v/>
      </c>
      <c r="AD256" s="26">
        <f>IF(Y256=0,"",IF(M256=Z256,0,AC256/AB256))</f>
        <v/>
      </c>
      <c r="AE256" s="26">
        <f>IF(AND(C256=1,M256&gt;0),Q256/P256,"n/a")</f>
        <v/>
      </c>
      <c r="AF256" s="15" t="n">
        <v>0</v>
      </c>
      <c r="AG256" s="6">
        <f>IF(AND(C256=1,AF256=1),1+SUMPRODUCT($C$12:$C$267*$AF$12:$AF$267*(($M$12:$M$267&lt;M256)+($M$12:$M$267=M256)*($N$12:$N$267&lt;N256)+($M$12:$M$267=M256)*($N$12:$N$267=N256)*($A$12:$A$267&lt;A256))),0)</f>
        <v/>
      </c>
    </row>
    <row r="257">
      <c r="A257" s="4" t="n">
        <v>246</v>
      </c>
      <c r="B257" s="4" t="inlineStr">
        <is>
          <t>17F2M + 17D2E + 17B + 2A + 3E + 19A</t>
        </is>
      </c>
      <c r="C257" s="10">
        <f>IF(SUMPRODUCT(D257:K257,1-$D$5:$K$5)=0,1,0)</f>
        <v/>
      </c>
      <c r="D257" s="4" t="n">
        <v>1</v>
      </c>
      <c r="E257" s="4" t="n">
        <v>1</v>
      </c>
      <c r="F257" s="4" t="n">
        <v>1</v>
      </c>
      <c r="G257" s="4" t="n">
        <v>1</v>
      </c>
      <c r="H257" s="4" t="n">
        <v>0</v>
      </c>
      <c r="I257" s="4" t="n">
        <v>1</v>
      </c>
      <c r="J257" s="4" t="n">
        <v>0</v>
      </c>
      <c r="K257" s="4" t="n">
        <v>1</v>
      </c>
      <c r="L257" s="6">
        <f>IF(C257=1,1+SUMPRODUCT(D257:K257,$D$9:$K$9),"")</f>
        <v/>
      </c>
      <c r="M257" s="6">
        <f>SUMPRODUCT(D257:K257,$D$6:$K$6)</f>
        <v/>
      </c>
      <c r="N257" s="6">
        <f>SUMPRODUCT(D257:K257,$D$7:$K$7)</f>
        <v/>
      </c>
      <c r="O257" s="25">
        <f>SUMPRODUCT(D257:K257,$D$8:$K$8)</f>
        <v/>
      </c>
      <c r="P257" s="21">
        <f>M257/10^in_out_dp</f>
        <v/>
      </c>
      <c r="Q257" s="26">
        <f>N257/10^in_cost_dp</f>
        <v/>
      </c>
      <c r="R257" s="10">
        <f>IF(SUM(D257:K257)=0,1,0)</f>
        <v/>
      </c>
      <c r="S257" s="10">
        <f>SUMPRODUCT($C$12:$C$267*(($M$12:$M$267=M257)*($N$12:$N$267&lt;N257)+($M$12:$M$267&gt;M257)*($N$12:$N$267&lt;=N257)))</f>
        <v/>
      </c>
      <c r="T257" s="10">
        <f>IF(C257=0,0,IF(OR(R257=1,S257=0),1,0))</f>
        <v/>
      </c>
      <c r="U257" s="10">
        <f>IF(AND(T257=1,R257=0,M257&gt;0),1,0)</f>
        <v/>
      </c>
      <c r="V257" s="30">
        <f>IF(U257=1,MAX(N257/M257,SUMPRODUCT(MAX(((N257-$N$12:$N$267)*($U$12:$U$267*($M$12:$M$267&lt;M257)))/((M257-$M$12:$M$267)*($U$12:$U$267*($M$12:$M$267&lt;M257))+1-($U$12:$U$267*($M$12:$M$267&lt;M257)))-(1-($U$12:$U$267*($M$12:$M$267&lt;M257)))*1E+300))),0)</f>
        <v/>
      </c>
      <c r="W257" s="30">
        <f>IF(U257=1,SUMPRODUCT(MIN(((($N$12:$N$267-N257)*($U$12:$U$267*($M$12:$M$267&gt;M257)))/(($M$12:$M$267-M257)*($U$12:$U$267*($M$12:$M$267&gt;M257))+1-($U$12:$U$267*($M$12:$M$267&gt;M257)))+(1-($U$12:$U$267*($M$12:$M$267&gt;M257)))*1E+300))),0)</f>
        <v/>
      </c>
      <c r="X257" s="10">
        <f>IF(C257=0,0,IF(R257=1,1,IF(AND(U257=1,V257&lt;=W257),1,0)))</f>
        <v/>
      </c>
      <c r="Y257" s="10">
        <f>IF(X257=1,1+SUMPRODUCT($X$12:$X$267*(($M$12:$M$267&lt;M257)+($M$12:$M$267=M257)*($A$12:$A$267&lt;A257))),0)</f>
        <v/>
      </c>
      <c r="Z257" s="10">
        <f>IF(Y257&lt;=1,0,SUMPRODUCT(($Y$12:$Y$267=Y257-1)*$M$12:$M$267))</f>
        <v/>
      </c>
      <c r="AA257" s="10">
        <f>IF(Y257&lt;=1,0,SUMPRODUCT(($Y$12:$Y$267=Y257-1)*$N$12:$N$267))</f>
        <v/>
      </c>
      <c r="AB257" s="21">
        <f>IF(Y257=0,"",(M257-Z257)/10^in_out_dp)</f>
        <v/>
      </c>
      <c r="AC257" s="26">
        <f>IF(Y257=0,"",(N257-AA257)/10^in_cost_dp)</f>
        <v/>
      </c>
      <c r="AD257" s="26">
        <f>IF(Y257=0,"",IF(M257=Z257,0,AC257/AB257))</f>
        <v/>
      </c>
      <c r="AE257" s="26">
        <f>IF(AND(C257=1,M257&gt;0),Q257/P257,"n/a")</f>
        <v/>
      </c>
      <c r="AF257" s="15" t="n">
        <v>0</v>
      </c>
      <c r="AG257" s="6">
        <f>IF(AND(C257=1,AF257=1),1+SUMPRODUCT($C$12:$C$267*$AF$12:$AF$267*(($M$12:$M$267&lt;M257)+($M$12:$M$267=M257)*($N$12:$N$267&lt;N257)+($M$12:$M$267=M257)*($N$12:$N$267=N257)*($A$12:$A$267&lt;A257))),0)</f>
        <v/>
      </c>
    </row>
    <row r="258">
      <c r="A258" s="4" t="n">
        <v>247</v>
      </c>
      <c r="B258" s="4" t="inlineStr">
        <is>
          <t>17F2M + 17D2E + 17B + 2A + 3E + 3F</t>
        </is>
      </c>
      <c r="C258" s="10">
        <f>IF(SUMPRODUCT(D258:K258,1-$D$5:$K$5)=0,1,0)</f>
        <v/>
      </c>
      <c r="D258" s="4" t="n">
        <v>1</v>
      </c>
      <c r="E258" s="4" t="n">
        <v>1</v>
      </c>
      <c r="F258" s="4" t="n">
        <v>1</v>
      </c>
      <c r="G258" s="4" t="n">
        <v>1</v>
      </c>
      <c r="H258" s="4" t="n">
        <v>0</v>
      </c>
      <c r="I258" s="4" t="n">
        <v>1</v>
      </c>
      <c r="J258" s="4" t="n">
        <v>1</v>
      </c>
      <c r="K258" s="4" t="n">
        <v>0</v>
      </c>
      <c r="L258" s="6">
        <f>IF(C258=1,1+SUMPRODUCT(D258:K258,$D$9:$K$9),"")</f>
        <v/>
      </c>
      <c r="M258" s="6">
        <f>SUMPRODUCT(D258:K258,$D$6:$K$6)</f>
        <v/>
      </c>
      <c r="N258" s="6">
        <f>SUMPRODUCT(D258:K258,$D$7:$K$7)</f>
        <v/>
      </c>
      <c r="O258" s="25">
        <f>SUMPRODUCT(D258:K258,$D$8:$K$8)</f>
        <v/>
      </c>
      <c r="P258" s="21">
        <f>M258/10^in_out_dp</f>
        <v/>
      </c>
      <c r="Q258" s="26">
        <f>N258/10^in_cost_dp</f>
        <v/>
      </c>
      <c r="R258" s="10">
        <f>IF(SUM(D258:K258)=0,1,0)</f>
        <v/>
      </c>
      <c r="S258" s="10">
        <f>SUMPRODUCT($C$12:$C$267*(($M$12:$M$267=M258)*($N$12:$N$267&lt;N258)+($M$12:$M$267&gt;M258)*($N$12:$N$267&lt;=N258)))</f>
        <v/>
      </c>
      <c r="T258" s="10">
        <f>IF(C258=0,0,IF(OR(R258=1,S258=0),1,0))</f>
        <v/>
      </c>
      <c r="U258" s="10">
        <f>IF(AND(T258=1,R258=0,M258&gt;0),1,0)</f>
        <v/>
      </c>
      <c r="V258" s="30">
        <f>IF(U258=1,MAX(N258/M258,SUMPRODUCT(MAX(((N258-$N$12:$N$267)*($U$12:$U$267*($M$12:$M$267&lt;M258)))/((M258-$M$12:$M$267)*($U$12:$U$267*($M$12:$M$267&lt;M258))+1-($U$12:$U$267*($M$12:$M$267&lt;M258)))-(1-($U$12:$U$267*($M$12:$M$267&lt;M258)))*1E+300))),0)</f>
        <v/>
      </c>
      <c r="W258" s="30">
        <f>IF(U258=1,SUMPRODUCT(MIN(((($N$12:$N$267-N258)*($U$12:$U$267*($M$12:$M$267&gt;M258)))/(($M$12:$M$267-M258)*($U$12:$U$267*($M$12:$M$267&gt;M258))+1-($U$12:$U$267*($M$12:$M$267&gt;M258)))+(1-($U$12:$U$267*($M$12:$M$267&gt;M258)))*1E+300))),0)</f>
        <v/>
      </c>
      <c r="X258" s="10">
        <f>IF(C258=0,0,IF(R258=1,1,IF(AND(U258=1,V258&lt;=W258),1,0)))</f>
        <v/>
      </c>
      <c r="Y258" s="10">
        <f>IF(X258=1,1+SUMPRODUCT($X$12:$X$267*(($M$12:$M$267&lt;M258)+($M$12:$M$267=M258)*($A$12:$A$267&lt;A258))),0)</f>
        <v/>
      </c>
      <c r="Z258" s="10">
        <f>IF(Y258&lt;=1,0,SUMPRODUCT(($Y$12:$Y$267=Y258-1)*$M$12:$M$267))</f>
        <v/>
      </c>
      <c r="AA258" s="10">
        <f>IF(Y258&lt;=1,0,SUMPRODUCT(($Y$12:$Y$267=Y258-1)*$N$12:$N$267))</f>
        <v/>
      </c>
      <c r="AB258" s="21">
        <f>IF(Y258=0,"",(M258-Z258)/10^in_out_dp)</f>
        <v/>
      </c>
      <c r="AC258" s="26">
        <f>IF(Y258=0,"",(N258-AA258)/10^in_cost_dp)</f>
        <v/>
      </c>
      <c r="AD258" s="26">
        <f>IF(Y258=0,"",IF(M258=Z258,0,AC258/AB258))</f>
        <v/>
      </c>
      <c r="AE258" s="26">
        <f>IF(AND(C258=1,M258&gt;0),Q258/P258,"n/a")</f>
        <v/>
      </c>
      <c r="AF258" s="15" t="n">
        <v>0</v>
      </c>
      <c r="AG258" s="6">
        <f>IF(AND(C258=1,AF258=1),1+SUMPRODUCT($C$12:$C$267*$AF$12:$AF$267*(($M$12:$M$267&lt;M258)+($M$12:$M$267=M258)*($N$12:$N$267&lt;N258)+($M$12:$M$267=M258)*($N$12:$N$267=N258)*($A$12:$A$267&lt;A258))),0)</f>
        <v/>
      </c>
    </row>
    <row r="259">
      <c r="A259" s="4" t="n">
        <v>248</v>
      </c>
      <c r="B259" s="4" t="inlineStr">
        <is>
          <t>17F2M + 17D2E + 17B + 2A + 3E + 3F + 19A</t>
        </is>
      </c>
      <c r="C259" s="10">
        <f>IF(SUMPRODUCT(D259:K259,1-$D$5:$K$5)=0,1,0)</f>
        <v/>
      </c>
      <c r="D259" s="4" t="n">
        <v>1</v>
      </c>
      <c r="E259" s="4" t="n">
        <v>1</v>
      </c>
      <c r="F259" s="4" t="n">
        <v>1</v>
      </c>
      <c r="G259" s="4" t="n">
        <v>1</v>
      </c>
      <c r="H259" s="4" t="n">
        <v>0</v>
      </c>
      <c r="I259" s="4" t="n">
        <v>1</v>
      </c>
      <c r="J259" s="4" t="n">
        <v>1</v>
      </c>
      <c r="K259" s="4" t="n">
        <v>1</v>
      </c>
      <c r="L259" s="6">
        <f>IF(C259=1,1+SUMPRODUCT(D259:K259,$D$9:$K$9),"")</f>
        <v/>
      </c>
      <c r="M259" s="6">
        <f>SUMPRODUCT(D259:K259,$D$6:$K$6)</f>
        <v/>
      </c>
      <c r="N259" s="6">
        <f>SUMPRODUCT(D259:K259,$D$7:$K$7)</f>
        <v/>
      </c>
      <c r="O259" s="25">
        <f>SUMPRODUCT(D259:K259,$D$8:$K$8)</f>
        <v/>
      </c>
      <c r="P259" s="21">
        <f>M259/10^in_out_dp</f>
        <v/>
      </c>
      <c r="Q259" s="26">
        <f>N259/10^in_cost_dp</f>
        <v/>
      </c>
      <c r="R259" s="10">
        <f>IF(SUM(D259:K259)=0,1,0)</f>
        <v/>
      </c>
      <c r="S259" s="10">
        <f>SUMPRODUCT($C$12:$C$267*(($M$12:$M$267=M259)*($N$12:$N$267&lt;N259)+($M$12:$M$267&gt;M259)*($N$12:$N$267&lt;=N259)))</f>
        <v/>
      </c>
      <c r="T259" s="10">
        <f>IF(C259=0,0,IF(OR(R259=1,S259=0),1,0))</f>
        <v/>
      </c>
      <c r="U259" s="10">
        <f>IF(AND(T259=1,R259=0,M259&gt;0),1,0)</f>
        <v/>
      </c>
      <c r="V259" s="30">
        <f>IF(U259=1,MAX(N259/M259,SUMPRODUCT(MAX(((N259-$N$12:$N$267)*($U$12:$U$267*($M$12:$M$267&lt;M259)))/((M259-$M$12:$M$267)*($U$12:$U$267*($M$12:$M$267&lt;M259))+1-($U$12:$U$267*($M$12:$M$267&lt;M259)))-(1-($U$12:$U$267*($M$12:$M$267&lt;M259)))*1E+300))),0)</f>
        <v/>
      </c>
      <c r="W259" s="30">
        <f>IF(U259=1,SUMPRODUCT(MIN(((($N$12:$N$267-N259)*($U$12:$U$267*($M$12:$M$267&gt;M259)))/(($M$12:$M$267-M259)*($U$12:$U$267*($M$12:$M$267&gt;M259))+1-($U$12:$U$267*($M$12:$M$267&gt;M259)))+(1-($U$12:$U$267*($M$12:$M$267&gt;M259)))*1E+300))),0)</f>
        <v/>
      </c>
      <c r="X259" s="10">
        <f>IF(C259=0,0,IF(R259=1,1,IF(AND(U259=1,V259&lt;=W259),1,0)))</f>
        <v/>
      </c>
      <c r="Y259" s="10">
        <f>IF(X259=1,1+SUMPRODUCT($X$12:$X$267*(($M$12:$M$267&lt;M259)+($M$12:$M$267=M259)*($A$12:$A$267&lt;A259))),0)</f>
        <v/>
      </c>
      <c r="Z259" s="10">
        <f>IF(Y259&lt;=1,0,SUMPRODUCT(($Y$12:$Y$267=Y259-1)*$M$12:$M$267))</f>
        <v/>
      </c>
      <c r="AA259" s="10">
        <f>IF(Y259&lt;=1,0,SUMPRODUCT(($Y$12:$Y$267=Y259-1)*$N$12:$N$267))</f>
        <v/>
      </c>
      <c r="AB259" s="21">
        <f>IF(Y259=0,"",(M259-Z259)/10^in_out_dp)</f>
        <v/>
      </c>
      <c r="AC259" s="26">
        <f>IF(Y259=0,"",(N259-AA259)/10^in_cost_dp)</f>
        <v/>
      </c>
      <c r="AD259" s="26">
        <f>IF(Y259=0,"",IF(M259=Z259,0,AC259/AB259))</f>
        <v/>
      </c>
      <c r="AE259" s="26">
        <f>IF(AND(C259=1,M259&gt;0),Q259/P259,"n/a")</f>
        <v/>
      </c>
      <c r="AF259" s="15" t="n">
        <v>0</v>
      </c>
      <c r="AG259" s="6">
        <f>IF(AND(C259=1,AF259=1),1+SUMPRODUCT($C$12:$C$267*$AF$12:$AF$267*(($M$12:$M$267&lt;M259)+($M$12:$M$267=M259)*($N$12:$N$267&lt;N259)+($M$12:$M$267=M259)*($N$12:$N$267=N259)*($A$12:$A$267&lt;A259))),0)</f>
        <v/>
      </c>
    </row>
    <row r="260">
      <c r="A260" s="4" t="n">
        <v>249</v>
      </c>
      <c r="B260" s="4" t="inlineStr">
        <is>
          <t>17F2M + 17D2E + 17B + 2A + 2B</t>
        </is>
      </c>
      <c r="C260" s="10">
        <f>IF(SUMPRODUCT(D260:K260,1-$D$5:$K$5)=0,1,0)</f>
        <v/>
      </c>
      <c r="D260" s="4" t="n">
        <v>1</v>
      </c>
      <c r="E260" s="4" t="n">
        <v>1</v>
      </c>
      <c r="F260" s="4" t="n">
        <v>1</v>
      </c>
      <c r="G260" s="4" t="n">
        <v>1</v>
      </c>
      <c r="H260" s="4" t="n">
        <v>1</v>
      </c>
      <c r="I260" s="4" t="n">
        <v>0</v>
      </c>
      <c r="J260" s="4" t="n">
        <v>0</v>
      </c>
      <c r="K260" s="4" t="n">
        <v>0</v>
      </c>
      <c r="L260" s="6">
        <f>IF(C260=1,1+SUMPRODUCT(D260:K260,$D$9:$K$9),"")</f>
        <v/>
      </c>
      <c r="M260" s="6">
        <f>SUMPRODUCT(D260:K260,$D$6:$K$6)</f>
        <v/>
      </c>
      <c r="N260" s="6">
        <f>SUMPRODUCT(D260:K260,$D$7:$K$7)</f>
        <v/>
      </c>
      <c r="O260" s="25">
        <f>SUMPRODUCT(D260:K260,$D$8:$K$8)</f>
        <v/>
      </c>
      <c r="P260" s="21">
        <f>M260/10^in_out_dp</f>
        <v/>
      </c>
      <c r="Q260" s="26">
        <f>N260/10^in_cost_dp</f>
        <v/>
      </c>
      <c r="R260" s="10">
        <f>IF(SUM(D260:K260)=0,1,0)</f>
        <v/>
      </c>
      <c r="S260" s="10">
        <f>SUMPRODUCT($C$12:$C$267*(($M$12:$M$267=M260)*($N$12:$N$267&lt;N260)+($M$12:$M$267&gt;M260)*($N$12:$N$267&lt;=N260)))</f>
        <v/>
      </c>
      <c r="T260" s="10">
        <f>IF(C260=0,0,IF(OR(R260=1,S260=0),1,0))</f>
        <v/>
      </c>
      <c r="U260" s="10">
        <f>IF(AND(T260=1,R260=0,M260&gt;0),1,0)</f>
        <v/>
      </c>
      <c r="V260" s="30">
        <f>IF(U260=1,MAX(N260/M260,SUMPRODUCT(MAX(((N260-$N$12:$N$267)*($U$12:$U$267*($M$12:$M$267&lt;M260)))/((M260-$M$12:$M$267)*($U$12:$U$267*($M$12:$M$267&lt;M260))+1-($U$12:$U$267*($M$12:$M$267&lt;M260)))-(1-($U$12:$U$267*($M$12:$M$267&lt;M260)))*1E+300))),0)</f>
        <v/>
      </c>
      <c r="W260" s="30">
        <f>IF(U260=1,SUMPRODUCT(MIN(((($N$12:$N$267-N260)*($U$12:$U$267*($M$12:$M$267&gt;M260)))/(($M$12:$M$267-M260)*($U$12:$U$267*($M$12:$M$267&gt;M260))+1-($U$12:$U$267*($M$12:$M$267&gt;M260)))+(1-($U$12:$U$267*($M$12:$M$267&gt;M260)))*1E+300))),0)</f>
        <v/>
      </c>
      <c r="X260" s="10">
        <f>IF(C260=0,0,IF(R260=1,1,IF(AND(U260=1,V260&lt;=W260),1,0)))</f>
        <v/>
      </c>
      <c r="Y260" s="10">
        <f>IF(X260=1,1+SUMPRODUCT($X$12:$X$267*(($M$12:$M$267&lt;M260)+($M$12:$M$267=M260)*($A$12:$A$267&lt;A260))),0)</f>
        <v/>
      </c>
      <c r="Z260" s="10">
        <f>IF(Y260&lt;=1,0,SUMPRODUCT(($Y$12:$Y$267=Y260-1)*$M$12:$M$267))</f>
        <v/>
      </c>
      <c r="AA260" s="10">
        <f>IF(Y260&lt;=1,0,SUMPRODUCT(($Y$12:$Y$267=Y260-1)*$N$12:$N$267))</f>
        <v/>
      </c>
      <c r="AB260" s="21">
        <f>IF(Y260=0,"",(M260-Z260)/10^in_out_dp)</f>
        <v/>
      </c>
      <c r="AC260" s="26">
        <f>IF(Y260=0,"",(N260-AA260)/10^in_cost_dp)</f>
        <v/>
      </c>
      <c r="AD260" s="26">
        <f>IF(Y260=0,"",IF(M260=Z260,0,AC260/AB260))</f>
        <v/>
      </c>
      <c r="AE260" s="26">
        <f>IF(AND(C260=1,M260&gt;0),Q260/P260,"n/a")</f>
        <v/>
      </c>
      <c r="AF260" s="15" t="n">
        <v>0</v>
      </c>
      <c r="AG260" s="6">
        <f>IF(AND(C260=1,AF260=1),1+SUMPRODUCT($C$12:$C$267*$AF$12:$AF$267*(($M$12:$M$267&lt;M260)+($M$12:$M$267=M260)*($N$12:$N$267&lt;N260)+($M$12:$M$267=M260)*($N$12:$N$267=N260)*($A$12:$A$267&lt;A260))),0)</f>
        <v/>
      </c>
    </row>
    <row r="261">
      <c r="A261" s="4" t="n">
        <v>250</v>
      </c>
      <c r="B261" s="4" t="inlineStr">
        <is>
          <t>17F2M + 17D2E + 17B + 2A + 2B + 19A</t>
        </is>
      </c>
      <c r="C261" s="10">
        <f>IF(SUMPRODUCT(D261:K261,1-$D$5:$K$5)=0,1,0)</f>
        <v/>
      </c>
      <c r="D261" s="4" t="n">
        <v>1</v>
      </c>
      <c r="E261" s="4" t="n">
        <v>1</v>
      </c>
      <c r="F261" s="4" t="n">
        <v>1</v>
      </c>
      <c r="G261" s="4" t="n">
        <v>1</v>
      </c>
      <c r="H261" s="4" t="n">
        <v>1</v>
      </c>
      <c r="I261" s="4" t="n">
        <v>0</v>
      </c>
      <c r="J261" s="4" t="n">
        <v>0</v>
      </c>
      <c r="K261" s="4" t="n">
        <v>1</v>
      </c>
      <c r="L261" s="6">
        <f>IF(C261=1,1+SUMPRODUCT(D261:K261,$D$9:$K$9),"")</f>
        <v/>
      </c>
      <c r="M261" s="6">
        <f>SUMPRODUCT(D261:K261,$D$6:$K$6)</f>
        <v/>
      </c>
      <c r="N261" s="6">
        <f>SUMPRODUCT(D261:K261,$D$7:$K$7)</f>
        <v/>
      </c>
      <c r="O261" s="25">
        <f>SUMPRODUCT(D261:K261,$D$8:$K$8)</f>
        <v/>
      </c>
      <c r="P261" s="21">
        <f>M261/10^in_out_dp</f>
        <v/>
      </c>
      <c r="Q261" s="26">
        <f>N261/10^in_cost_dp</f>
        <v/>
      </c>
      <c r="R261" s="10">
        <f>IF(SUM(D261:K261)=0,1,0)</f>
        <v/>
      </c>
      <c r="S261" s="10">
        <f>SUMPRODUCT($C$12:$C$267*(($M$12:$M$267=M261)*($N$12:$N$267&lt;N261)+($M$12:$M$267&gt;M261)*($N$12:$N$267&lt;=N261)))</f>
        <v/>
      </c>
      <c r="T261" s="10">
        <f>IF(C261=0,0,IF(OR(R261=1,S261=0),1,0))</f>
        <v/>
      </c>
      <c r="U261" s="10">
        <f>IF(AND(T261=1,R261=0,M261&gt;0),1,0)</f>
        <v/>
      </c>
      <c r="V261" s="30">
        <f>IF(U261=1,MAX(N261/M261,SUMPRODUCT(MAX(((N261-$N$12:$N$267)*($U$12:$U$267*($M$12:$M$267&lt;M261)))/((M261-$M$12:$M$267)*($U$12:$U$267*($M$12:$M$267&lt;M261))+1-($U$12:$U$267*($M$12:$M$267&lt;M261)))-(1-($U$12:$U$267*($M$12:$M$267&lt;M261)))*1E+300))),0)</f>
        <v/>
      </c>
      <c r="W261" s="30">
        <f>IF(U261=1,SUMPRODUCT(MIN(((($N$12:$N$267-N261)*($U$12:$U$267*($M$12:$M$267&gt;M261)))/(($M$12:$M$267-M261)*($U$12:$U$267*($M$12:$M$267&gt;M261))+1-($U$12:$U$267*($M$12:$M$267&gt;M261)))+(1-($U$12:$U$267*($M$12:$M$267&gt;M261)))*1E+300))),0)</f>
        <v/>
      </c>
      <c r="X261" s="10">
        <f>IF(C261=0,0,IF(R261=1,1,IF(AND(U261=1,V261&lt;=W261),1,0)))</f>
        <v/>
      </c>
      <c r="Y261" s="10">
        <f>IF(X261=1,1+SUMPRODUCT($X$12:$X$267*(($M$12:$M$267&lt;M261)+($M$12:$M$267=M261)*($A$12:$A$267&lt;A261))),0)</f>
        <v/>
      </c>
      <c r="Z261" s="10">
        <f>IF(Y261&lt;=1,0,SUMPRODUCT(($Y$12:$Y$267=Y261-1)*$M$12:$M$267))</f>
        <v/>
      </c>
      <c r="AA261" s="10">
        <f>IF(Y261&lt;=1,0,SUMPRODUCT(($Y$12:$Y$267=Y261-1)*$N$12:$N$267))</f>
        <v/>
      </c>
      <c r="AB261" s="21">
        <f>IF(Y261=0,"",(M261-Z261)/10^in_out_dp)</f>
        <v/>
      </c>
      <c r="AC261" s="26">
        <f>IF(Y261=0,"",(N261-AA261)/10^in_cost_dp)</f>
        <v/>
      </c>
      <c r="AD261" s="26">
        <f>IF(Y261=0,"",IF(M261=Z261,0,AC261/AB261))</f>
        <v/>
      </c>
      <c r="AE261" s="26">
        <f>IF(AND(C261=1,M261&gt;0),Q261/P261,"n/a")</f>
        <v/>
      </c>
      <c r="AF261" s="15" t="n">
        <v>0</v>
      </c>
      <c r="AG261" s="6">
        <f>IF(AND(C261=1,AF261=1),1+SUMPRODUCT($C$12:$C$267*$AF$12:$AF$267*(($M$12:$M$267&lt;M261)+($M$12:$M$267=M261)*($N$12:$N$267&lt;N261)+($M$12:$M$267=M261)*($N$12:$N$267=N261)*($A$12:$A$267&lt;A261))),0)</f>
        <v/>
      </c>
    </row>
    <row r="262">
      <c r="A262" s="4" t="n">
        <v>251</v>
      </c>
      <c r="B262" s="4" t="inlineStr">
        <is>
          <t>17F2M + 17D2E + 17B + 2A + 2B + 3F</t>
        </is>
      </c>
      <c r="C262" s="10">
        <f>IF(SUMPRODUCT(D262:K262,1-$D$5:$K$5)=0,1,0)</f>
        <v/>
      </c>
      <c r="D262" s="4" t="n">
        <v>1</v>
      </c>
      <c r="E262" s="4" t="n">
        <v>1</v>
      </c>
      <c r="F262" s="4" t="n">
        <v>1</v>
      </c>
      <c r="G262" s="4" t="n">
        <v>1</v>
      </c>
      <c r="H262" s="4" t="n">
        <v>1</v>
      </c>
      <c r="I262" s="4" t="n">
        <v>0</v>
      </c>
      <c r="J262" s="4" t="n">
        <v>1</v>
      </c>
      <c r="K262" s="4" t="n">
        <v>0</v>
      </c>
      <c r="L262" s="6">
        <f>IF(C262=1,1+SUMPRODUCT(D262:K262,$D$9:$K$9),"")</f>
        <v/>
      </c>
      <c r="M262" s="6">
        <f>SUMPRODUCT(D262:K262,$D$6:$K$6)</f>
        <v/>
      </c>
      <c r="N262" s="6">
        <f>SUMPRODUCT(D262:K262,$D$7:$K$7)</f>
        <v/>
      </c>
      <c r="O262" s="25">
        <f>SUMPRODUCT(D262:K262,$D$8:$K$8)</f>
        <v/>
      </c>
      <c r="P262" s="21">
        <f>M262/10^in_out_dp</f>
        <v/>
      </c>
      <c r="Q262" s="26">
        <f>N262/10^in_cost_dp</f>
        <v/>
      </c>
      <c r="R262" s="10">
        <f>IF(SUM(D262:K262)=0,1,0)</f>
        <v/>
      </c>
      <c r="S262" s="10">
        <f>SUMPRODUCT($C$12:$C$267*(($M$12:$M$267=M262)*($N$12:$N$267&lt;N262)+($M$12:$M$267&gt;M262)*($N$12:$N$267&lt;=N262)))</f>
        <v/>
      </c>
      <c r="T262" s="10">
        <f>IF(C262=0,0,IF(OR(R262=1,S262=0),1,0))</f>
        <v/>
      </c>
      <c r="U262" s="10">
        <f>IF(AND(T262=1,R262=0,M262&gt;0),1,0)</f>
        <v/>
      </c>
      <c r="V262" s="30">
        <f>IF(U262=1,MAX(N262/M262,SUMPRODUCT(MAX(((N262-$N$12:$N$267)*($U$12:$U$267*($M$12:$M$267&lt;M262)))/((M262-$M$12:$M$267)*($U$12:$U$267*($M$12:$M$267&lt;M262))+1-($U$12:$U$267*($M$12:$M$267&lt;M262)))-(1-($U$12:$U$267*($M$12:$M$267&lt;M262)))*1E+300))),0)</f>
        <v/>
      </c>
      <c r="W262" s="30">
        <f>IF(U262=1,SUMPRODUCT(MIN(((($N$12:$N$267-N262)*($U$12:$U$267*($M$12:$M$267&gt;M262)))/(($M$12:$M$267-M262)*($U$12:$U$267*($M$12:$M$267&gt;M262))+1-($U$12:$U$267*($M$12:$M$267&gt;M262)))+(1-($U$12:$U$267*($M$12:$M$267&gt;M262)))*1E+300))),0)</f>
        <v/>
      </c>
      <c r="X262" s="10">
        <f>IF(C262=0,0,IF(R262=1,1,IF(AND(U262=1,V262&lt;=W262),1,0)))</f>
        <v/>
      </c>
      <c r="Y262" s="10">
        <f>IF(X262=1,1+SUMPRODUCT($X$12:$X$267*(($M$12:$M$267&lt;M262)+($M$12:$M$267=M262)*($A$12:$A$267&lt;A262))),0)</f>
        <v/>
      </c>
      <c r="Z262" s="10">
        <f>IF(Y262&lt;=1,0,SUMPRODUCT(($Y$12:$Y$267=Y262-1)*$M$12:$M$267))</f>
        <v/>
      </c>
      <c r="AA262" s="10">
        <f>IF(Y262&lt;=1,0,SUMPRODUCT(($Y$12:$Y$267=Y262-1)*$N$12:$N$267))</f>
        <v/>
      </c>
      <c r="AB262" s="21">
        <f>IF(Y262=0,"",(M262-Z262)/10^in_out_dp)</f>
        <v/>
      </c>
      <c r="AC262" s="26">
        <f>IF(Y262=0,"",(N262-AA262)/10^in_cost_dp)</f>
        <v/>
      </c>
      <c r="AD262" s="26">
        <f>IF(Y262=0,"",IF(M262=Z262,0,AC262/AB262))</f>
        <v/>
      </c>
      <c r="AE262" s="26">
        <f>IF(AND(C262=1,M262&gt;0),Q262/P262,"n/a")</f>
        <v/>
      </c>
      <c r="AF262" s="15" t="n">
        <v>0</v>
      </c>
      <c r="AG262" s="6">
        <f>IF(AND(C262=1,AF262=1),1+SUMPRODUCT($C$12:$C$267*$AF$12:$AF$267*(($M$12:$M$267&lt;M262)+($M$12:$M$267=M262)*($N$12:$N$267&lt;N262)+($M$12:$M$267=M262)*($N$12:$N$267=N262)*($A$12:$A$267&lt;A262))),0)</f>
        <v/>
      </c>
    </row>
    <row r="263">
      <c r="A263" s="4" t="n">
        <v>252</v>
      </c>
      <c r="B263" s="4" t="inlineStr">
        <is>
          <t>17F2M + 17D2E + 17B + 2A + 2B + 3F + 19A</t>
        </is>
      </c>
      <c r="C263" s="10">
        <f>IF(SUMPRODUCT(D263:K263,1-$D$5:$K$5)=0,1,0)</f>
        <v/>
      </c>
      <c r="D263" s="4" t="n">
        <v>1</v>
      </c>
      <c r="E263" s="4" t="n">
        <v>1</v>
      </c>
      <c r="F263" s="4" t="n">
        <v>1</v>
      </c>
      <c r="G263" s="4" t="n">
        <v>1</v>
      </c>
      <c r="H263" s="4" t="n">
        <v>1</v>
      </c>
      <c r="I263" s="4" t="n">
        <v>0</v>
      </c>
      <c r="J263" s="4" t="n">
        <v>1</v>
      </c>
      <c r="K263" s="4" t="n">
        <v>1</v>
      </c>
      <c r="L263" s="6">
        <f>IF(C263=1,1+SUMPRODUCT(D263:K263,$D$9:$K$9),"")</f>
        <v/>
      </c>
      <c r="M263" s="6">
        <f>SUMPRODUCT(D263:K263,$D$6:$K$6)</f>
        <v/>
      </c>
      <c r="N263" s="6">
        <f>SUMPRODUCT(D263:K263,$D$7:$K$7)</f>
        <v/>
      </c>
      <c r="O263" s="25">
        <f>SUMPRODUCT(D263:K263,$D$8:$K$8)</f>
        <v/>
      </c>
      <c r="P263" s="21">
        <f>M263/10^in_out_dp</f>
        <v/>
      </c>
      <c r="Q263" s="26">
        <f>N263/10^in_cost_dp</f>
        <v/>
      </c>
      <c r="R263" s="10">
        <f>IF(SUM(D263:K263)=0,1,0)</f>
        <v/>
      </c>
      <c r="S263" s="10">
        <f>SUMPRODUCT($C$12:$C$267*(($M$12:$M$267=M263)*($N$12:$N$267&lt;N263)+($M$12:$M$267&gt;M263)*($N$12:$N$267&lt;=N263)))</f>
        <v/>
      </c>
      <c r="T263" s="10">
        <f>IF(C263=0,0,IF(OR(R263=1,S263=0),1,0))</f>
        <v/>
      </c>
      <c r="U263" s="10">
        <f>IF(AND(T263=1,R263=0,M263&gt;0),1,0)</f>
        <v/>
      </c>
      <c r="V263" s="30">
        <f>IF(U263=1,MAX(N263/M263,SUMPRODUCT(MAX(((N263-$N$12:$N$267)*($U$12:$U$267*($M$12:$M$267&lt;M263)))/((M263-$M$12:$M$267)*($U$12:$U$267*($M$12:$M$267&lt;M263))+1-($U$12:$U$267*($M$12:$M$267&lt;M263)))-(1-($U$12:$U$267*($M$12:$M$267&lt;M263)))*1E+300))),0)</f>
        <v/>
      </c>
      <c r="W263" s="30">
        <f>IF(U263=1,SUMPRODUCT(MIN(((($N$12:$N$267-N263)*($U$12:$U$267*($M$12:$M$267&gt;M263)))/(($M$12:$M$267-M263)*($U$12:$U$267*($M$12:$M$267&gt;M263))+1-($U$12:$U$267*($M$12:$M$267&gt;M263)))+(1-($U$12:$U$267*($M$12:$M$267&gt;M263)))*1E+300))),0)</f>
        <v/>
      </c>
      <c r="X263" s="10">
        <f>IF(C263=0,0,IF(R263=1,1,IF(AND(U263=1,V263&lt;=W263),1,0)))</f>
        <v/>
      </c>
      <c r="Y263" s="10">
        <f>IF(X263=1,1+SUMPRODUCT($X$12:$X$267*(($M$12:$M$267&lt;M263)+($M$12:$M$267=M263)*($A$12:$A$267&lt;A263))),0)</f>
        <v/>
      </c>
      <c r="Z263" s="10">
        <f>IF(Y263&lt;=1,0,SUMPRODUCT(($Y$12:$Y$267=Y263-1)*$M$12:$M$267))</f>
        <v/>
      </c>
      <c r="AA263" s="10">
        <f>IF(Y263&lt;=1,0,SUMPRODUCT(($Y$12:$Y$267=Y263-1)*$N$12:$N$267))</f>
        <v/>
      </c>
      <c r="AB263" s="21">
        <f>IF(Y263=0,"",(M263-Z263)/10^in_out_dp)</f>
        <v/>
      </c>
      <c r="AC263" s="26">
        <f>IF(Y263=0,"",(N263-AA263)/10^in_cost_dp)</f>
        <v/>
      </c>
      <c r="AD263" s="26">
        <f>IF(Y263=0,"",IF(M263=Z263,0,AC263/AB263))</f>
        <v/>
      </c>
      <c r="AE263" s="26">
        <f>IF(AND(C263=1,M263&gt;0),Q263/P263,"n/a")</f>
        <v/>
      </c>
      <c r="AF263" s="15" t="n">
        <v>0</v>
      </c>
      <c r="AG263" s="6">
        <f>IF(AND(C263=1,AF263=1),1+SUMPRODUCT($C$12:$C$267*$AF$12:$AF$267*(($M$12:$M$267&lt;M263)+($M$12:$M$267=M263)*($N$12:$N$267&lt;N263)+($M$12:$M$267=M263)*($N$12:$N$267=N263)*($A$12:$A$267&lt;A263))),0)</f>
        <v/>
      </c>
    </row>
    <row r="264">
      <c r="A264" s="4" t="n">
        <v>253</v>
      </c>
      <c r="B264" s="4" t="inlineStr">
        <is>
          <t>17F2M + 17D2E + 17B + 2A + 2B + 3E</t>
        </is>
      </c>
      <c r="C264" s="10">
        <f>IF(SUMPRODUCT(D264:K264,1-$D$5:$K$5)=0,1,0)</f>
        <v/>
      </c>
      <c r="D264" s="4" t="n">
        <v>1</v>
      </c>
      <c r="E264" s="4" t="n">
        <v>1</v>
      </c>
      <c r="F264" s="4" t="n">
        <v>1</v>
      </c>
      <c r="G264" s="4" t="n">
        <v>1</v>
      </c>
      <c r="H264" s="4" t="n">
        <v>1</v>
      </c>
      <c r="I264" s="4" t="n">
        <v>1</v>
      </c>
      <c r="J264" s="4" t="n">
        <v>0</v>
      </c>
      <c r="K264" s="4" t="n">
        <v>0</v>
      </c>
      <c r="L264" s="6">
        <f>IF(C264=1,1+SUMPRODUCT(D264:K264,$D$9:$K$9),"")</f>
        <v/>
      </c>
      <c r="M264" s="6">
        <f>SUMPRODUCT(D264:K264,$D$6:$K$6)</f>
        <v/>
      </c>
      <c r="N264" s="6">
        <f>SUMPRODUCT(D264:K264,$D$7:$K$7)</f>
        <v/>
      </c>
      <c r="O264" s="25">
        <f>SUMPRODUCT(D264:K264,$D$8:$K$8)</f>
        <v/>
      </c>
      <c r="P264" s="21">
        <f>M264/10^in_out_dp</f>
        <v/>
      </c>
      <c r="Q264" s="26">
        <f>N264/10^in_cost_dp</f>
        <v/>
      </c>
      <c r="R264" s="10">
        <f>IF(SUM(D264:K264)=0,1,0)</f>
        <v/>
      </c>
      <c r="S264" s="10">
        <f>SUMPRODUCT($C$12:$C$267*(($M$12:$M$267=M264)*($N$12:$N$267&lt;N264)+($M$12:$M$267&gt;M264)*($N$12:$N$267&lt;=N264)))</f>
        <v/>
      </c>
      <c r="T264" s="10">
        <f>IF(C264=0,0,IF(OR(R264=1,S264=0),1,0))</f>
        <v/>
      </c>
      <c r="U264" s="10">
        <f>IF(AND(T264=1,R264=0,M264&gt;0),1,0)</f>
        <v/>
      </c>
      <c r="V264" s="30">
        <f>IF(U264=1,MAX(N264/M264,SUMPRODUCT(MAX(((N264-$N$12:$N$267)*($U$12:$U$267*($M$12:$M$267&lt;M264)))/((M264-$M$12:$M$267)*($U$12:$U$267*($M$12:$M$267&lt;M264))+1-($U$12:$U$267*($M$12:$M$267&lt;M264)))-(1-($U$12:$U$267*($M$12:$M$267&lt;M264)))*1E+300))),0)</f>
        <v/>
      </c>
      <c r="W264" s="30">
        <f>IF(U264=1,SUMPRODUCT(MIN(((($N$12:$N$267-N264)*($U$12:$U$267*($M$12:$M$267&gt;M264)))/(($M$12:$M$267-M264)*($U$12:$U$267*($M$12:$M$267&gt;M264))+1-($U$12:$U$267*($M$12:$M$267&gt;M264)))+(1-($U$12:$U$267*($M$12:$M$267&gt;M264)))*1E+300))),0)</f>
        <v/>
      </c>
      <c r="X264" s="10">
        <f>IF(C264=0,0,IF(R264=1,1,IF(AND(U264=1,V264&lt;=W264),1,0)))</f>
        <v/>
      </c>
      <c r="Y264" s="10">
        <f>IF(X264=1,1+SUMPRODUCT($X$12:$X$267*(($M$12:$M$267&lt;M264)+($M$12:$M$267=M264)*($A$12:$A$267&lt;A264))),0)</f>
        <v/>
      </c>
      <c r="Z264" s="10">
        <f>IF(Y264&lt;=1,0,SUMPRODUCT(($Y$12:$Y$267=Y264-1)*$M$12:$M$267))</f>
        <v/>
      </c>
      <c r="AA264" s="10">
        <f>IF(Y264&lt;=1,0,SUMPRODUCT(($Y$12:$Y$267=Y264-1)*$N$12:$N$267))</f>
        <v/>
      </c>
      <c r="AB264" s="21">
        <f>IF(Y264=0,"",(M264-Z264)/10^in_out_dp)</f>
        <v/>
      </c>
      <c r="AC264" s="26">
        <f>IF(Y264=0,"",(N264-AA264)/10^in_cost_dp)</f>
        <v/>
      </c>
      <c r="AD264" s="26">
        <f>IF(Y264=0,"",IF(M264=Z264,0,AC264/AB264))</f>
        <v/>
      </c>
      <c r="AE264" s="26">
        <f>IF(AND(C264=1,M264&gt;0),Q264/P264,"n/a")</f>
        <v/>
      </c>
      <c r="AF264" s="15" t="n">
        <v>0</v>
      </c>
      <c r="AG264" s="6">
        <f>IF(AND(C264=1,AF264=1),1+SUMPRODUCT($C$12:$C$267*$AF$12:$AF$267*(($M$12:$M$267&lt;M264)+($M$12:$M$267=M264)*($N$12:$N$267&lt;N264)+($M$12:$M$267=M264)*($N$12:$N$267=N264)*($A$12:$A$267&lt;A264))),0)</f>
        <v/>
      </c>
    </row>
    <row r="265">
      <c r="A265" s="4" t="n">
        <v>254</v>
      </c>
      <c r="B265" s="4" t="inlineStr">
        <is>
          <t>17F2M + 17D2E + 17B + 2A + 2B + 3E + 19A</t>
        </is>
      </c>
      <c r="C265" s="10">
        <f>IF(SUMPRODUCT(D265:K265,1-$D$5:$K$5)=0,1,0)</f>
        <v/>
      </c>
      <c r="D265" s="4" t="n">
        <v>1</v>
      </c>
      <c r="E265" s="4" t="n">
        <v>1</v>
      </c>
      <c r="F265" s="4" t="n">
        <v>1</v>
      </c>
      <c r="G265" s="4" t="n">
        <v>1</v>
      </c>
      <c r="H265" s="4" t="n">
        <v>1</v>
      </c>
      <c r="I265" s="4" t="n">
        <v>1</v>
      </c>
      <c r="J265" s="4" t="n">
        <v>0</v>
      </c>
      <c r="K265" s="4" t="n">
        <v>1</v>
      </c>
      <c r="L265" s="6">
        <f>IF(C265=1,1+SUMPRODUCT(D265:K265,$D$9:$K$9),"")</f>
        <v/>
      </c>
      <c r="M265" s="6">
        <f>SUMPRODUCT(D265:K265,$D$6:$K$6)</f>
        <v/>
      </c>
      <c r="N265" s="6">
        <f>SUMPRODUCT(D265:K265,$D$7:$K$7)</f>
        <v/>
      </c>
      <c r="O265" s="25">
        <f>SUMPRODUCT(D265:K265,$D$8:$K$8)</f>
        <v/>
      </c>
      <c r="P265" s="21">
        <f>M265/10^in_out_dp</f>
        <v/>
      </c>
      <c r="Q265" s="26">
        <f>N265/10^in_cost_dp</f>
        <v/>
      </c>
      <c r="R265" s="10">
        <f>IF(SUM(D265:K265)=0,1,0)</f>
        <v/>
      </c>
      <c r="S265" s="10">
        <f>SUMPRODUCT($C$12:$C$267*(($M$12:$M$267=M265)*($N$12:$N$267&lt;N265)+($M$12:$M$267&gt;M265)*($N$12:$N$267&lt;=N265)))</f>
        <v/>
      </c>
      <c r="T265" s="10">
        <f>IF(C265=0,0,IF(OR(R265=1,S265=0),1,0))</f>
        <v/>
      </c>
      <c r="U265" s="10">
        <f>IF(AND(T265=1,R265=0,M265&gt;0),1,0)</f>
        <v/>
      </c>
      <c r="V265" s="30">
        <f>IF(U265=1,MAX(N265/M265,SUMPRODUCT(MAX(((N265-$N$12:$N$267)*($U$12:$U$267*($M$12:$M$267&lt;M265)))/((M265-$M$12:$M$267)*($U$12:$U$267*($M$12:$M$267&lt;M265))+1-($U$12:$U$267*($M$12:$M$267&lt;M265)))-(1-($U$12:$U$267*($M$12:$M$267&lt;M265)))*1E+300))),0)</f>
        <v/>
      </c>
      <c r="W265" s="30">
        <f>IF(U265=1,SUMPRODUCT(MIN(((($N$12:$N$267-N265)*($U$12:$U$267*($M$12:$M$267&gt;M265)))/(($M$12:$M$267-M265)*($U$12:$U$267*($M$12:$M$267&gt;M265))+1-($U$12:$U$267*($M$12:$M$267&gt;M265)))+(1-($U$12:$U$267*($M$12:$M$267&gt;M265)))*1E+300))),0)</f>
        <v/>
      </c>
      <c r="X265" s="10">
        <f>IF(C265=0,0,IF(R265=1,1,IF(AND(U265=1,V265&lt;=W265),1,0)))</f>
        <v/>
      </c>
      <c r="Y265" s="10">
        <f>IF(X265=1,1+SUMPRODUCT($X$12:$X$267*(($M$12:$M$267&lt;M265)+($M$12:$M$267=M265)*($A$12:$A$267&lt;A265))),0)</f>
        <v/>
      </c>
      <c r="Z265" s="10">
        <f>IF(Y265&lt;=1,0,SUMPRODUCT(($Y$12:$Y$267=Y265-1)*$M$12:$M$267))</f>
        <v/>
      </c>
      <c r="AA265" s="10">
        <f>IF(Y265&lt;=1,0,SUMPRODUCT(($Y$12:$Y$267=Y265-1)*$N$12:$N$267))</f>
        <v/>
      </c>
      <c r="AB265" s="21">
        <f>IF(Y265=0,"",(M265-Z265)/10^in_out_dp)</f>
        <v/>
      </c>
      <c r="AC265" s="26">
        <f>IF(Y265=0,"",(N265-AA265)/10^in_cost_dp)</f>
        <v/>
      </c>
      <c r="AD265" s="26">
        <f>IF(Y265=0,"",IF(M265=Z265,0,AC265/AB265))</f>
        <v/>
      </c>
      <c r="AE265" s="26">
        <f>IF(AND(C265=1,M265&gt;0),Q265/P265,"n/a")</f>
        <v/>
      </c>
      <c r="AF265" s="15" t="n">
        <v>0</v>
      </c>
      <c r="AG265" s="6">
        <f>IF(AND(C265=1,AF265=1),1+SUMPRODUCT($C$12:$C$267*$AF$12:$AF$267*(($M$12:$M$267&lt;M265)+($M$12:$M$267=M265)*($N$12:$N$267&lt;N265)+($M$12:$M$267=M265)*($N$12:$N$267=N265)*($A$12:$A$267&lt;A265))),0)</f>
        <v/>
      </c>
    </row>
    <row r="266">
      <c r="A266" s="4" t="n">
        <v>255</v>
      </c>
      <c r="B266" s="4" t="inlineStr">
        <is>
          <t>17F2M + 17D2E + 17B + 2A + 2B + 3E + 3F</t>
        </is>
      </c>
      <c r="C266" s="10">
        <f>IF(SUMPRODUCT(D266:K266,1-$D$5:$K$5)=0,1,0)</f>
        <v/>
      </c>
      <c r="D266" s="4" t="n">
        <v>1</v>
      </c>
      <c r="E266" s="4" t="n">
        <v>1</v>
      </c>
      <c r="F266" s="4" t="n">
        <v>1</v>
      </c>
      <c r="G266" s="4" t="n">
        <v>1</v>
      </c>
      <c r="H266" s="4" t="n">
        <v>1</v>
      </c>
      <c r="I266" s="4" t="n">
        <v>1</v>
      </c>
      <c r="J266" s="4" t="n">
        <v>1</v>
      </c>
      <c r="K266" s="4" t="n">
        <v>0</v>
      </c>
      <c r="L266" s="6">
        <f>IF(C266=1,1+SUMPRODUCT(D266:K266,$D$9:$K$9),"")</f>
        <v/>
      </c>
      <c r="M266" s="6">
        <f>SUMPRODUCT(D266:K266,$D$6:$K$6)</f>
        <v/>
      </c>
      <c r="N266" s="6">
        <f>SUMPRODUCT(D266:K266,$D$7:$K$7)</f>
        <v/>
      </c>
      <c r="O266" s="25">
        <f>SUMPRODUCT(D266:K266,$D$8:$K$8)</f>
        <v/>
      </c>
      <c r="P266" s="21">
        <f>M266/10^in_out_dp</f>
        <v/>
      </c>
      <c r="Q266" s="26">
        <f>N266/10^in_cost_dp</f>
        <v/>
      </c>
      <c r="R266" s="10">
        <f>IF(SUM(D266:K266)=0,1,0)</f>
        <v/>
      </c>
      <c r="S266" s="10">
        <f>SUMPRODUCT($C$12:$C$267*(($M$12:$M$267=M266)*($N$12:$N$267&lt;N266)+($M$12:$M$267&gt;M266)*($N$12:$N$267&lt;=N266)))</f>
        <v/>
      </c>
      <c r="T266" s="10">
        <f>IF(C266=0,0,IF(OR(R266=1,S266=0),1,0))</f>
        <v/>
      </c>
      <c r="U266" s="10">
        <f>IF(AND(T266=1,R266=0,M266&gt;0),1,0)</f>
        <v/>
      </c>
      <c r="V266" s="30">
        <f>IF(U266=1,MAX(N266/M266,SUMPRODUCT(MAX(((N266-$N$12:$N$267)*($U$12:$U$267*($M$12:$M$267&lt;M266)))/((M266-$M$12:$M$267)*($U$12:$U$267*($M$12:$M$267&lt;M266))+1-($U$12:$U$267*($M$12:$M$267&lt;M266)))-(1-($U$12:$U$267*($M$12:$M$267&lt;M266)))*1E+300))),0)</f>
        <v/>
      </c>
      <c r="W266" s="30">
        <f>IF(U266=1,SUMPRODUCT(MIN(((($N$12:$N$267-N266)*($U$12:$U$267*($M$12:$M$267&gt;M266)))/(($M$12:$M$267-M266)*($U$12:$U$267*($M$12:$M$267&gt;M266))+1-($U$12:$U$267*($M$12:$M$267&gt;M266)))+(1-($U$12:$U$267*($M$12:$M$267&gt;M266)))*1E+300))),0)</f>
        <v/>
      </c>
      <c r="X266" s="10">
        <f>IF(C266=0,0,IF(R266=1,1,IF(AND(U266=1,V266&lt;=W266),1,0)))</f>
        <v/>
      </c>
      <c r="Y266" s="10">
        <f>IF(X266=1,1+SUMPRODUCT($X$12:$X$267*(($M$12:$M$267&lt;M266)+($M$12:$M$267=M266)*($A$12:$A$267&lt;A266))),0)</f>
        <v/>
      </c>
      <c r="Z266" s="10">
        <f>IF(Y266&lt;=1,0,SUMPRODUCT(($Y$12:$Y$267=Y266-1)*$M$12:$M$267))</f>
        <v/>
      </c>
      <c r="AA266" s="10">
        <f>IF(Y266&lt;=1,0,SUMPRODUCT(($Y$12:$Y$267=Y266-1)*$N$12:$N$267))</f>
        <v/>
      </c>
      <c r="AB266" s="21">
        <f>IF(Y266=0,"",(M266-Z266)/10^in_out_dp)</f>
        <v/>
      </c>
      <c r="AC266" s="26">
        <f>IF(Y266=0,"",(N266-AA266)/10^in_cost_dp)</f>
        <v/>
      </c>
      <c r="AD266" s="26">
        <f>IF(Y266=0,"",IF(M266=Z266,0,AC266/AB266))</f>
        <v/>
      </c>
      <c r="AE266" s="26">
        <f>IF(AND(C266=1,M266&gt;0),Q266/P266,"n/a")</f>
        <v/>
      </c>
      <c r="AF266" s="15" t="n">
        <v>0</v>
      </c>
      <c r="AG266" s="6">
        <f>IF(AND(C266=1,AF266=1),1+SUMPRODUCT($C$12:$C$267*$AF$12:$AF$267*(($M$12:$M$267&lt;M266)+($M$12:$M$267=M266)*($N$12:$N$267&lt;N266)+($M$12:$M$267=M266)*($N$12:$N$267=N266)*($A$12:$A$267&lt;A266))),0)</f>
        <v/>
      </c>
    </row>
    <row r="267">
      <c r="A267" s="4" t="n">
        <v>256</v>
      </c>
      <c r="B267" s="4" t="inlineStr">
        <is>
          <t>17F2M + 17D2E + 17B + 2A + 2B + 3E + 3F + 19A</t>
        </is>
      </c>
      <c r="C267" s="10">
        <f>IF(SUMPRODUCT(D267:K267,1-$D$5:$K$5)=0,1,0)</f>
        <v/>
      </c>
      <c r="D267" s="4" t="n">
        <v>1</v>
      </c>
      <c r="E267" s="4" t="n">
        <v>1</v>
      </c>
      <c r="F267" s="4" t="n">
        <v>1</v>
      </c>
      <c r="G267" s="4" t="n">
        <v>1</v>
      </c>
      <c r="H267" s="4" t="n">
        <v>1</v>
      </c>
      <c r="I267" s="4" t="n">
        <v>1</v>
      </c>
      <c r="J267" s="4" t="n">
        <v>1</v>
      </c>
      <c r="K267" s="4" t="n">
        <v>1</v>
      </c>
      <c r="L267" s="6">
        <f>IF(C267=1,1+SUMPRODUCT(D267:K267,$D$9:$K$9),"")</f>
        <v/>
      </c>
      <c r="M267" s="6">
        <f>SUMPRODUCT(D267:K267,$D$6:$K$6)</f>
        <v/>
      </c>
      <c r="N267" s="6">
        <f>SUMPRODUCT(D267:K267,$D$7:$K$7)</f>
        <v/>
      </c>
      <c r="O267" s="25">
        <f>SUMPRODUCT(D267:K267,$D$8:$K$8)</f>
        <v/>
      </c>
      <c r="P267" s="21">
        <f>M267/10^in_out_dp</f>
        <v/>
      </c>
      <c r="Q267" s="26">
        <f>N267/10^in_cost_dp</f>
        <v/>
      </c>
      <c r="R267" s="10">
        <f>IF(SUM(D267:K267)=0,1,0)</f>
        <v/>
      </c>
      <c r="S267" s="10">
        <f>SUMPRODUCT($C$12:$C$267*(($M$12:$M$267=M267)*($N$12:$N$267&lt;N267)+($M$12:$M$267&gt;M267)*($N$12:$N$267&lt;=N267)))</f>
        <v/>
      </c>
      <c r="T267" s="10">
        <f>IF(C267=0,0,IF(OR(R267=1,S267=0),1,0))</f>
        <v/>
      </c>
      <c r="U267" s="10">
        <f>IF(AND(T267=1,R267=0,M267&gt;0),1,0)</f>
        <v/>
      </c>
      <c r="V267" s="30">
        <f>IF(U267=1,MAX(N267/M267,SUMPRODUCT(MAX(((N267-$N$12:$N$267)*($U$12:$U$267*($M$12:$M$267&lt;M267)))/((M267-$M$12:$M$267)*($U$12:$U$267*($M$12:$M$267&lt;M267))+1-($U$12:$U$267*($M$12:$M$267&lt;M267)))-(1-($U$12:$U$267*($M$12:$M$267&lt;M267)))*1E+300))),0)</f>
        <v/>
      </c>
      <c r="W267" s="30">
        <f>IF(U267=1,SUMPRODUCT(MIN(((($N$12:$N$267-N267)*($U$12:$U$267*($M$12:$M$267&gt;M267)))/(($M$12:$M$267-M267)*($U$12:$U$267*($M$12:$M$267&gt;M267))+1-($U$12:$U$267*($M$12:$M$267&gt;M267)))+(1-($U$12:$U$267*($M$12:$M$267&gt;M267)))*1E+300))),0)</f>
        <v/>
      </c>
      <c r="X267" s="10">
        <f>IF(C267=0,0,IF(R267=1,1,IF(AND(U267=1,V267&lt;=W267),1,0)))</f>
        <v/>
      </c>
      <c r="Y267" s="10">
        <f>IF(X267=1,1+SUMPRODUCT($X$12:$X$267*(($M$12:$M$267&lt;M267)+($M$12:$M$267=M267)*($A$12:$A$267&lt;A267))),0)</f>
        <v/>
      </c>
      <c r="Z267" s="10">
        <f>IF(Y267&lt;=1,0,SUMPRODUCT(($Y$12:$Y$267=Y267-1)*$M$12:$M$267))</f>
        <v/>
      </c>
      <c r="AA267" s="10">
        <f>IF(Y267&lt;=1,0,SUMPRODUCT(($Y$12:$Y$267=Y267-1)*$N$12:$N$267))</f>
        <v/>
      </c>
      <c r="AB267" s="21">
        <f>IF(Y267=0,"",(M267-Z267)/10^in_out_dp)</f>
        <v/>
      </c>
      <c r="AC267" s="26">
        <f>IF(Y267=0,"",(N267-AA267)/10^in_cost_dp)</f>
        <v/>
      </c>
      <c r="AD267" s="26">
        <f>IF(Y267=0,"",IF(M267=Z267,0,AC267/AB267))</f>
        <v/>
      </c>
      <c r="AE267" s="26">
        <f>IF(AND(C267=1,M267&gt;0),Q267/P267,"n/a")</f>
        <v/>
      </c>
      <c r="AF267" s="15" t="n">
        <v>0</v>
      </c>
      <c r="AG267" s="6">
        <f>IF(AND(C267=1,AF267=1),1+SUMPRODUCT($C$12:$C$267*$AF$12:$AF$267*(($M$12:$M$267&lt;M267)+($M$12:$M$267=M267)*($N$12:$N$267&lt;N267)+($M$12:$M$267=M267)*($N$12:$N$267=N267)*($A$12:$A$267&lt;A267))),0)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AF12:AF267">
    <cfRule type="expression" priority="1" dxfId="0" stopIfTrue="0">
      <formula>AF12&lt;&gt;'snap Watershed plans'!AF12</formula>
    </cfRule>
  </conditionalFormatting>
  <dataValidations count="1">
    <dataValidation sqref="AF12:AF267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selection activeCell="A1" sqref="A1"/>
    </sheetView>
  </sheetViews>
  <sheetFormatPr baseColWidth="8" defaultRowHeight="15"/>
  <cols>
    <col width="7" customWidth="1" style="8" min="1" max="1"/>
    <col width="10" customWidth="1" style="8" min="2" max="2"/>
    <col width="40" customWidth="1" style="8" min="3" max="3"/>
    <col width="12" customWidth="1" style="8" min="4" max="4"/>
    <col width="15" customWidth="1" style="8" min="5" max="5"/>
    <col width="15" customWidth="1" style="8" min="6" max="6"/>
    <col width="12" customWidth="1" style="8" min="7" max="7"/>
    <col width="12" customWidth="1" style="8" min="8" max="8"/>
    <col width="13" customWidth="1" style="8" min="9" max="9"/>
    <col width="14" customWidth="1" style="8" min="10" max="10"/>
    <col width="10" customWidth="1" style="8" min="11" max="11"/>
    <col width="50" customWidth="1" style="8" min="12" max="12"/>
  </cols>
  <sheetData>
    <row r="1">
      <c r="A1" s="1" t="inlineStr">
        <is>
          <t>Watershed summary: best buys, final array and the tentatively selected plan</t>
        </is>
      </c>
    </row>
    <row r="2">
      <c r="A2" s="2" t="inlineStr">
        <is>
          <t>Tables read the watershed plans sheet. Choose the TSP from the final array.</t>
        </is>
      </c>
    </row>
    <row r="4">
      <c r="A4" s="7" t="inlineStr">
        <is>
          <t>Best buys</t>
        </is>
      </c>
    </row>
    <row r="5">
      <c r="A5" s="12" t="inlineStr">
        <is>
          <t>Step</t>
        </is>
      </c>
      <c r="B5" s="12" t="inlineStr">
        <is>
          <t>Plan number</t>
        </is>
      </c>
      <c r="C5" s="12" t="inlineStr">
        <is>
          <t>Plan</t>
        </is>
      </c>
      <c r="D5" s="12" t="inlineStr">
        <is>
          <t>Lift (AAHU)</t>
        </is>
      </c>
      <c r="E5" s="12" t="inlineStr">
        <is>
          <t>Average annual cost</t>
        </is>
      </c>
      <c r="F5" s="12" t="inlineStr">
        <is>
          <t>Construction cost</t>
        </is>
      </c>
      <c r="G5" s="12" t="inlineStr">
        <is>
          <t>Unit cost</t>
        </is>
      </c>
      <c r="H5" s="12" t="inlineStr">
        <is>
          <t>Incremental cost per unit</t>
        </is>
      </c>
    </row>
    <row r="6">
      <c r="A6" s="4" t="n">
        <v>1</v>
      </c>
      <c r="B6" s="6">
        <f>IFERROR(INDEX('Watershed plans'!$L$12:$L$267,MATCH(1,'Watershed plans'!$Y$12:$Y$267,0)),"")</f>
        <v/>
      </c>
      <c r="C6" s="10">
        <f>IFERROR(INDEX('Watershed plans'!$B$12:$B$267,MATCH(1,'Watershed plans'!$Y$12:$Y$267,0)),"")</f>
        <v/>
      </c>
      <c r="D6" s="21">
        <f>IFERROR(INDEX('Watershed plans'!$P$12:$P$267,MATCH(1,'Watershed plans'!$Y$12:$Y$267,0)),"")</f>
        <v/>
      </c>
      <c r="E6" s="26">
        <f>IFERROR(INDEX('Watershed plans'!$Q$12:$Q$267,MATCH(1,'Watershed plans'!$Y$12:$Y$267,0)),"")</f>
        <v/>
      </c>
      <c r="F6" s="25">
        <f>IFERROR(INDEX('Watershed plans'!$O$12:$O$267,MATCH(1,'Watershed plans'!$Y$12:$Y$267,0)),"")</f>
        <v/>
      </c>
      <c r="G6" s="26">
        <f>IFERROR(INDEX('Watershed plans'!$AE$12:$AE$267,MATCH(1,'Watershed plans'!$Y$12:$Y$267,0)),"")</f>
        <v/>
      </c>
      <c r="H6" s="26">
        <f>IFERROR(INDEX('Watershed plans'!$AD$12:$AD$267,MATCH(1,'Watershed plans'!$Y$12:$Y$267,0)),"")</f>
        <v/>
      </c>
    </row>
    <row r="7">
      <c r="A7" s="4" t="n">
        <v>2</v>
      </c>
      <c r="B7" s="6">
        <f>IFERROR(INDEX('Watershed plans'!$L$12:$L$267,MATCH(2,'Watershed plans'!$Y$12:$Y$267,0)),"")</f>
        <v/>
      </c>
      <c r="C7" s="10">
        <f>IFERROR(INDEX('Watershed plans'!$B$12:$B$267,MATCH(2,'Watershed plans'!$Y$12:$Y$267,0)),"")</f>
        <v/>
      </c>
      <c r="D7" s="21">
        <f>IFERROR(INDEX('Watershed plans'!$P$12:$P$267,MATCH(2,'Watershed plans'!$Y$12:$Y$267,0)),"")</f>
        <v/>
      </c>
      <c r="E7" s="26">
        <f>IFERROR(INDEX('Watershed plans'!$Q$12:$Q$267,MATCH(2,'Watershed plans'!$Y$12:$Y$267,0)),"")</f>
        <v/>
      </c>
      <c r="F7" s="25">
        <f>IFERROR(INDEX('Watershed plans'!$O$12:$O$267,MATCH(2,'Watershed plans'!$Y$12:$Y$267,0)),"")</f>
        <v/>
      </c>
      <c r="G7" s="26">
        <f>IFERROR(INDEX('Watershed plans'!$AE$12:$AE$267,MATCH(2,'Watershed plans'!$Y$12:$Y$267,0)),"")</f>
        <v/>
      </c>
      <c r="H7" s="26">
        <f>IFERROR(INDEX('Watershed plans'!$AD$12:$AD$267,MATCH(2,'Watershed plans'!$Y$12:$Y$267,0)),"")</f>
        <v/>
      </c>
    </row>
    <row r="8">
      <c r="A8" s="4" t="n">
        <v>3</v>
      </c>
      <c r="B8" s="6">
        <f>IFERROR(INDEX('Watershed plans'!$L$12:$L$267,MATCH(3,'Watershed plans'!$Y$12:$Y$267,0)),"")</f>
        <v/>
      </c>
      <c r="C8" s="10">
        <f>IFERROR(INDEX('Watershed plans'!$B$12:$B$267,MATCH(3,'Watershed plans'!$Y$12:$Y$267,0)),"")</f>
        <v/>
      </c>
      <c r="D8" s="21">
        <f>IFERROR(INDEX('Watershed plans'!$P$12:$P$267,MATCH(3,'Watershed plans'!$Y$12:$Y$267,0)),"")</f>
        <v/>
      </c>
      <c r="E8" s="26">
        <f>IFERROR(INDEX('Watershed plans'!$Q$12:$Q$267,MATCH(3,'Watershed plans'!$Y$12:$Y$267,0)),"")</f>
        <v/>
      </c>
      <c r="F8" s="25">
        <f>IFERROR(INDEX('Watershed plans'!$O$12:$O$267,MATCH(3,'Watershed plans'!$Y$12:$Y$267,0)),"")</f>
        <v/>
      </c>
      <c r="G8" s="26">
        <f>IFERROR(INDEX('Watershed plans'!$AE$12:$AE$267,MATCH(3,'Watershed plans'!$Y$12:$Y$267,0)),"")</f>
        <v/>
      </c>
      <c r="H8" s="26">
        <f>IFERROR(INDEX('Watershed plans'!$AD$12:$AD$267,MATCH(3,'Watershed plans'!$Y$12:$Y$267,0)),"")</f>
        <v/>
      </c>
    </row>
    <row r="9">
      <c r="A9" s="4" t="n">
        <v>4</v>
      </c>
      <c r="B9" s="6">
        <f>IFERROR(INDEX('Watershed plans'!$L$12:$L$267,MATCH(4,'Watershed plans'!$Y$12:$Y$267,0)),"")</f>
        <v/>
      </c>
      <c r="C9" s="10">
        <f>IFERROR(INDEX('Watershed plans'!$B$12:$B$267,MATCH(4,'Watershed plans'!$Y$12:$Y$267,0)),"")</f>
        <v/>
      </c>
      <c r="D9" s="21">
        <f>IFERROR(INDEX('Watershed plans'!$P$12:$P$267,MATCH(4,'Watershed plans'!$Y$12:$Y$267,0)),"")</f>
        <v/>
      </c>
      <c r="E9" s="26">
        <f>IFERROR(INDEX('Watershed plans'!$Q$12:$Q$267,MATCH(4,'Watershed plans'!$Y$12:$Y$267,0)),"")</f>
        <v/>
      </c>
      <c r="F9" s="25">
        <f>IFERROR(INDEX('Watershed plans'!$O$12:$O$267,MATCH(4,'Watershed plans'!$Y$12:$Y$267,0)),"")</f>
        <v/>
      </c>
      <c r="G9" s="26">
        <f>IFERROR(INDEX('Watershed plans'!$AE$12:$AE$267,MATCH(4,'Watershed plans'!$Y$12:$Y$267,0)),"")</f>
        <v/>
      </c>
      <c r="H9" s="26">
        <f>IFERROR(INDEX('Watershed plans'!$AD$12:$AD$267,MATCH(4,'Watershed plans'!$Y$12:$Y$267,0)),"")</f>
        <v/>
      </c>
    </row>
    <row r="10">
      <c r="A10" s="4" t="n">
        <v>5</v>
      </c>
      <c r="B10" s="6">
        <f>IFERROR(INDEX('Watershed plans'!$L$12:$L$267,MATCH(5,'Watershed plans'!$Y$12:$Y$267,0)),"")</f>
        <v/>
      </c>
      <c r="C10" s="10">
        <f>IFERROR(INDEX('Watershed plans'!$B$12:$B$267,MATCH(5,'Watershed plans'!$Y$12:$Y$267,0)),"")</f>
        <v/>
      </c>
      <c r="D10" s="21">
        <f>IFERROR(INDEX('Watershed plans'!$P$12:$P$267,MATCH(5,'Watershed plans'!$Y$12:$Y$267,0)),"")</f>
        <v/>
      </c>
      <c r="E10" s="26">
        <f>IFERROR(INDEX('Watershed plans'!$Q$12:$Q$267,MATCH(5,'Watershed plans'!$Y$12:$Y$267,0)),"")</f>
        <v/>
      </c>
      <c r="F10" s="25">
        <f>IFERROR(INDEX('Watershed plans'!$O$12:$O$267,MATCH(5,'Watershed plans'!$Y$12:$Y$267,0)),"")</f>
        <v/>
      </c>
      <c r="G10" s="26">
        <f>IFERROR(INDEX('Watershed plans'!$AE$12:$AE$267,MATCH(5,'Watershed plans'!$Y$12:$Y$267,0)),"")</f>
        <v/>
      </c>
      <c r="H10" s="26">
        <f>IFERROR(INDEX('Watershed plans'!$AD$12:$AD$267,MATCH(5,'Watershed plans'!$Y$12:$Y$267,0)),"")</f>
        <v/>
      </c>
    </row>
    <row r="11">
      <c r="A11" s="4" t="n">
        <v>6</v>
      </c>
      <c r="B11" s="6">
        <f>IFERROR(INDEX('Watershed plans'!$L$12:$L$267,MATCH(6,'Watershed plans'!$Y$12:$Y$267,0)),"")</f>
        <v/>
      </c>
      <c r="C11" s="10">
        <f>IFERROR(INDEX('Watershed plans'!$B$12:$B$267,MATCH(6,'Watershed plans'!$Y$12:$Y$267,0)),"")</f>
        <v/>
      </c>
      <c r="D11" s="21">
        <f>IFERROR(INDEX('Watershed plans'!$P$12:$P$267,MATCH(6,'Watershed plans'!$Y$12:$Y$267,0)),"")</f>
        <v/>
      </c>
      <c r="E11" s="26">
        <f>IFERROR(INDEX('Watershed plans'!$Q$12:$Q$267,MATCH(6,'Watershed plans'!$Y$12:$Y$267,0)),"")</f>
        <v/>
      </c>
      <c r="F11" s="25">
        <f>IFERROR(INDEX('Watershed plans'!$O$12:$O$267,MATCH(6,'Watershed plans'!$Y$12:$Y$267,0)),"")</f>
        <v/>
      </c>
      <c r="G11" s="26">
        <f>IFERROR(INDEX('Watershed plans'!$AE$12:$AE$267,MATCH(6,'Watershed plans'!$Y$12:$Y$267,0)),"")</f>
        <v/>
      </c>
      <c r="H11" s="26">
        <f>IFERROR(INDEX('Watershed plans'!$AD$12:$AD$267,MATCH(6,'Watershed plans'!$Y$12:$Y$267,0)),"")</f>
        <v/>
      </c>
    </row>
    <row r="12">
      <c r="A12" s="4" t="n">
        <v>7</v>
      </c>
      <c r="B12" s="6">
        <f>IFERROR(INDEX('Watershed plans'!$L$12:$L$267,MATCH(7,'Watershed plans'!$Y$12:$Y$267,0)),"")</f>
        <v/>
      </c>
      <c r="C12" s="10">
        <f>IFERROR(INDEX('Watershed plans'!$B$12:$B$267,MATCH(7,'Watershed plans'!$Y$12:$Y$267,0)),"")</f>
        <v/>
      </c>
      <c r="D12" s="21">
        <f>IFERROR(INDEX('Watershed plans'!$P$12:$P$267,MATCH(7,'Watershed plans'!$Y$12:$Y$267,0)),"")</f>
        <v/>
      </c>
      <c r="E12" s="26">
        <f>IFERROR(INDEX('Watershed plans'!$Q$12:$Q$267,MATCH(7,'Watershed plans'!$Y$12:$Y$267,0)),"")</f>
        <v/>
      </c>
      <c r="F12" s="25">
        <f>IFERROR(INDEX('Watershed plans'!$O$12:$O$267,MATCH(7,'Watershed plans'!$Y$12:$Y$267,0)),"")</f>
        <v/>
      </c>
      <c r="G12" s="26">
        <f>IFERROR(INDEX('Watershed plans'!$AE$12:$AE$267,MATCH(7,'Watershed plans'!$Y$12:$Y$267,0)),"")</f>
        <v/>
      </c>
      <c r="H12" s="26">
        <f>IFERROR(INDEX('Watershed plans'!$AD$12:$AD$267,MATCH(7,'Watershed plans'!$Y$12:$Y$267,0)),"")</f>
        <v/>
      </c>
    </row>
    <row r="13">
      <c r="A13" s="4" t="n">
        <v>8</v>
      </c>
      <c r="B13" s="6">
        <f>IFERROR(INDEX('Watershed plans'!$L$12:$L$267,MATCH(8,'Watershed plans'!$Y$12:$Y$267,0)),"")</f>
        <v/>
      </c>
      <c r="C13" s="10">
        <f>IFERROR(INDEX('Watershed plans'!$B$12:$B$267,MATCH(8,'Watershed plans'!$Y$12:$Y$267,0)),"")</f>
        <v/>
      </c>
      <c r="D13" s="21">
        <f>IFERROR(INDEX('Watershed plans'!$P$12:$P$267,MATCH(8,'Watershed plans'!$Y$12:$Y$267,0)),"")</f>
        <v/>
      </c>
      <c r="E13" s="26">
        <f>IFERROR(INDEX('Watershed plans'!$Q$12:$Q$267,MATCH(8,'Watershed plans'!$Y$12:$Y$267,0)),"")</f>
        <v/>
      </c>
      <c r="F13" s="25">
        <f>IFERROR(INDEX('Watershed plans'!$O$12:$O$267,MATCH(8,'Watershed plans'!$Y$12:$Y$267,0)),"")</f>
        <v/>
      </c>
      <c r="G13" s="26">
        <f>IFERROR(INDEX('Watershed plans'!$AE$12:$AE$267,MATCH(8,'Watershed plans'!$Y$12:$Y$267,0)),"")</f>
        <v/>
      </c>
      <c r="H13" s="26">
        <f>IFERROR(INDEX('Watershed plans'!$AD$12:$AD$267,MATCH(8,'Watershed plans'!$Y$12:$Y$267,0)),"")</f>
        <v/>
      </c>
    </row>
    <row r="14">
      <c r="A14" s="4" t="n">
        <v>9</v>
      </c>
      <c r="B14" s="6">
        <f>IFERROR(INDEX('Watershed plans'!$L$12:$L$267,MATCH(9,'Watershed plans'!$Y$12:$Y$267,0)),"")</f>
        <v/>
      </c>
      <c r="C14" s="10">
        <f>IFERROR(INDEX('Watershed plans'!$B$12:$B$267,MATCH(9,'Watershed plans'!$Y$12:$Y$267,0)),"")</f>
        <v/>
      </c>
      <c r="D14" s="21">
        <f>IFERROR(INDEX('Watershed plans'!$P$12:$P$267,MATCH(9,'Watershed plans'!$Y$12:$Y$267,0)),"")</f>
        <v/>
      </c>
      <c r="E14" s="26">
        <f>IFERROR(INDEX('Watershed plans'!$Q$12:$Q$267,MATCH(9,'Watershed plans'!$Y$12:$Y$267,0)),"")</f>
        <v/>
      </c>
      <c r="F14" s="25">
        <f>IFERROR(INDEX('Watershed plans'!$O$12:$O$267,MATCH(9,'Watershed plans'!$Y$12:$Y$267,0)),"")</f>
        <v/>
      </c>
      <c r="G14" s="26">
        <f>IFERROR(INDEX('Watershed plans'!$AE$12:$AE$267,MATCH(9,'Watershed plans'!$Y$12:$Y$267,0)),"")</f>
        <v/>
      </c>
      <c r="H14" s="26">
        <f>IFERROR(INDEX('Watershed plans'!$AD$12:$AD$267,MATCH(9,'Watershed plans'!$Y$12:$Y$267,0)),"")</f>
        <v/>
      </c>
    </row>
    <row r="15">
      <c r="A15" s="4" t="n">
        <v>10</v>
      </c>
      <c r="B15" s="6">
        <f>IFERROR(INDEX('Watershed plans'!$L$12:$L$267,MATCH(10,'Watershed plans'!$Y$12:$Y$267,0)),"")</f>
        <v/>
      </c>
      <c r="C15" s="10">
        <f>IFERROR(INDEX('Watershed plans'!$B$12:$B$267,MATCH(10,'Watershed plans'!$Y$12:$Y$267,0)),"")</f>
        <v/>
      </c>
      <c r="D15" s="21">
        <f>IFERROR(INDEX('Watershed plans'!$P$12:$P$267,MATCH(10,'Watershed plans'!$Y$12:$Y$267,0)),"")</f>
        <v/>
      </c>
      <c r="E15" s="26">
        <f>IFERROR(INDEX('Watershed plans'!$Q$12:$Q$267,MATCH(10,'Watershed plans'!$Y$12:$Y$267,0)),"")</f>
        <v/>
      </c>
      <c r="F15" s="25">
        <f>IFERROR(INDEX('Watershed plans'!$O$12:$O$267,MATCH(10,'Watershed plans'!$Y$12:$Y$267,0)),"")</f>
        <v/>
      </c>
      <c r="G15" s="26">
        <f>IFERROR(INDEX('Watershed plans'!$AE$12:$AE$267,MATCH(10,'Watershed plans'!$Y$12:$Y$267,0)),"")</f>
        <v/>
      </c>
      <c r="H15" s="26">
        <f>IFERROR(INDEX('Watershed plans'!$AD$12:$AD$267,MATCH(10,'Watershed plans'!$Y$12:$Y$267,0)),"")</f>
        <v/>
      </c>
    </row>
    <row r="16">
      <c r="A16" s="4" t="n">
        <v>11</v>
      </c>
      <c r="B16" s="6">
        <f>IFERROR(INDEX('Watershed plans'!$L$12:$L$267,MATCH(11,'Watershed plans'!$Y$12:$Y$267,0)),"")</f>
        <v/>
      </c>
      <c r="C16" s="10">
        <f>IFERROR(INDEX('Watershed plans'!$B$12:$B$267,MATCH(11,'Watershed plans'!$Y$12:$Y$267,0)),"")</f>
        <v/>
      </c>
      <c r="D16" s="21">
        <f>IFERROR(INDEX('Watershed plans'!$P$12:$P$267,MATCH(11,'Watershed plans'!$Y$12:$Y$267,0)),"")</f>
        <v/>
      </c>
      <c r="E16" s="26">
        <f>IFERROR(INDEX('Watershed plans'!$Q$12:$Q$267,MATCH(11,'Watershed plans'!$Y$12:$Y$267,0)),"")</f>
        <v/>
      </c>
      <c r="F16" s="25">
        <f>IFERROR(INDEX('Watershed plans'!$O$12:$O$267,MATCH(11,'Watershed plans'!$Y$12:$Y$267,0)),"")</f>
        <v/>
      </c>
      <c r="G16" s="26">
        <f>IFERROR(INDEX('Watershed plans'!$AE$12:$AE$267,MATCH(11,'Watershed plans'!$Y$12:$Y$267,0)),"")</f>
        <v/>
      </c>
      <c r="H16" s="26">
        <f>IFERROR(INDEX('Watershed plans'!$AD$12:$AD$267,MATCH(11,'Watershed plans'!$Y$12:$Y$267,0)),"")</f>
        <v/>
      </c>
    </row>
    <row r="17">
      <c r="A17" s="4" t="n">
        <v>12</v>
      </c>
      <c r="B17" s="6">
        <f>IFERROR(INDEX('Watershed plans'!$L$12:$L$267,MATCH(12,'Watershed plans'!$Y$12:$Y$267,0)),"")</f>
        <v/>
      </c>
      <c r="C17" s="10">
        <f>IFERROR(INDEX('Watershed plans'!$B$12:$B$267,MATCH(12,'Watershed plans'!$Y$12:$Y$267,0)),"")</f>
        <v/>
      </c>
      <c r="D17" s="21">
        <f>IFERROR(INDEX('Watershed plans'!$P$12:$P$267,MATCH(12,'Watershed plans'!$Y$12:$Y$267,0)),"")</f>
        <v/>
      </c>
      <c r="E17" s="26">
        <f>IFERROR(INDEX('Watershed plans'!$Q$12:$Q$267,MATCH(12,'Watershed plans'!$Y$12:$Y$267,0)),"")</f>
        <v/>
      </c>
      <c r="F17" s="25">
        <f>IFERROR(INDEX('Watershed plans'!$O$12:$O$267,MATCH(12,'Watershed plans'!$Y$12:$Y$267,0)),"")</f>
        <v/>
      </c>
      <c r="G17" s="26">
        <f>IFERROR(INDEX('Watershed plans'!$AE$12:$AE$267,MATCH(12,'Watershed plans'!$Y$12:$Y$267,0)),"")</f>
        <v/>
      </c>
      <c r="H17" s="26">
        <f>IFERROR(INDEX('Watershed plans'!$AD$12:$AD$267,MATCH(12,'Watershed plans'!$Y$12:$Y$267,0)),"")</f>
        <v/>
      </c>
    </row>
    <row r="18">
      <c r="A18" s="4" t="n">
        <v>13</v>
      </c>
      <c r="B18" s="6">
        <f>IFERROR(INDEX('Watershed plans'!$L$12:$L$267,MATCH(13,'Watershed plans'!$Y$12:$Y$267,0)),"")</f>
        <v/>
      </c>
      <c r="C18" s="10">
        <f>IFERROR(INDEX('Watershed plans'!$B$12:$B$267,MATCH(13,'Watershed plans'!$Y$12:$Y$267,0)),"")</f>
        <v/>
      </c>
      <c r="D18" s="21">
        <f>IFERROR(INDEX('Watershed plans'!$P$12:$P$267,MATCH(13,'Watershed plans'!$Y$12:$Y$267,0)),"")</f>
        <v/>
      </c>
      <c r="E18" s="26">
        <f>IFERROR(INDEX('Watershed plans'!$Q$12:$Q$267,MATCH(13,'Watershed plans'!$Y$12:$Y$267,0)),"")</f>
        <v/>
      </c>
      <c r="F18" s="25">
        <f>IFERROR(INDEX('Watershed plans'!$O$12:$O$267,MATCH(13,'Watershed plans'!$Y$12:$Y$267,0)),"")</f>
        <v/>
      </c>
      <c r="G18" s="26">
        <f>IFERROR(INDEX('Watershed plans'!$AE$12:$AE$267,MATCH(13,'Watershed plans'!$Y$12:$Y$267,0)),"")</f>
        <v/>
      </c>
      <c r="H18" s="26">
        <f>IFERROR(INDEX('Watershed plans'!$AD$12:$AD$267,MATCH(13,'Watershed plans'!$Y$12:$Y$267,0)),"")</f>
        <v/>
      </c>
    </row>
    <row r="19">
      <c r="A19" s="4" t="n">
        <v>14</v>
      </c>
      <c r="B19" s="6">
        <f>IFERROR(INDEX('Watershed plans'!$L$12:$L$267,MATCH(14,'Watershed plans'!$Y$12:$Y$267,0)),"")</f>
        <v/>
      </c>
      <c r="C19" s="10">
        <f>IFERROR(INDEX('Watershed plans'!$B$12:$B$267,MATCH(14,'Watershed plans'!$Y$12:$Y$267,0)),"")</f>
        <v/>
      </c>
      <c r="D19" s="21">
        <f>IFERROR(INDEX('Watershed plans'!$P$12:$P$267,MATCH(14,'Watershed plans'!$Y$12:$Y$267,0)),"")</f>
        <v/>
      </c>
      <c r="E19" s="26">
        <f>IFERROR(INDEX('Watershed plans'!$Q$12:$Q$267,MATCH(14,'Watershed plans'!$Y$12:$Y$267,0)),"")</f>
        <v/>
      </c>
      <c r="F19" s="25">
        <f>IFERROR(INDEX('Watershed plans'!$O$12:$O$267,MATCH(14,'Watershed plans'!$Y$12:$Y$267,0)),"")</f>
        <v/>
      </c>
      <c r="G19" s="26">
        <f>IFERROR(INDEX('Watershed plans'!$AE$12:$AE$267,MATCH(14,'Watershed plans'!$Y$12:$Y$267,0)),"")</f>
        <v/>
      </c>
      <c r="H19" s="26">
        <f>IFERROR(INDEX('Watershed plans'!$AD$12:$AD$267,MATCH(14,'Watershed plans'!$Y$12:$Y$267,0)),"")</f>
        <v/>
      </c>
    </row>
    <row r="20">
      <c r="A20" s="4" t="n">
        <v>15</v>
      </c>
      <c r="B20" s="6">
        <f>IFERROR(INDEX('Watershed plans'!$L$12:$L$267,MATCH(15,'Watershed plans'!$Y$12:$Y$267,0)),"")</f>
        <v/>
      </c>
      <c r="C20" s="10">
        <f>IFERROR(INDEX('Watershed plans'!$B$12:$B$267,MATCH(15,'Watershed plans'!$Y$12:$Y$267,0)),"")</f>
        <v/>
      </c>
      <c r="D20" s="21">
        <f>IFERROR(INDEX('Watershed plans'!$P$12:$P$267,MATCH(15,'Watershed plans'!$Y$12:$Y$267,0)),"")</f>
        <v/>
      </c>
      <c r="E20" s="26">
        <f>IFERROR(INDEX('Watershed plans'!$Q$12:$Q$267,MATCH(15,'Watershed plans'!$Y$12:$Y$267,0)),"")</f>
        <v/>
      </c>
      <c r="F20" s="25">
        <f>IFERROR(INDEX('Watershed plans'!$O$12:$O$267,MATCH(15,'Watershed plans'!$Y$12:$Y$267,0)),"")</f>
        <v/>
      </c>
      <c r="G20" s="26">
        <f>IFERROR(INDEX('Watershed plans'!$AE$12:$AE$267,MATCH(15,'Watershed plans'!$Y$12:$Y$267,0)),"")</f>
        <v/>
      </c>
      <c r="H20" s="26">
        <f>IFERROR(INDEX('Watershed plans'!$AD$12:$AD$267,MATCH(15,'Watershed plans'!$Y$12:$Y$267,0)),"")</f>
        <v/>
      </c>
    </row>
    <row r="21">
      <c r="A21" s="4" t="n">
        <v>16</v>
      </c>
      <c r="B21" s="6">
        <f>IFERROR(INDEX('Watershed plans'!$L$12:$L$267,MATCH(16,'Watershed plans'!$Y$12:$Y$267,0)),"")</f>
        <v/>
      </c>
      <c r="C21" s="10">
        <f>IFERROR(INDEX('Watershed plans'!$B$12:$B$267,MATCH(16,'Watershed plans'!$Y$12:$Y$267,0)),"")</f>
        <v/>
      </c>
      <c r="D21" s="21">
        <f>IFERROR(INDEX('Watershed plans'!$P$12:$P$267,MATCH(16,'Watershed plans'!$Y$12:$Y$267,0)),"")</f>
        <v/>
      </c>
      <c r="E21" s="26">
        <f>IFERROR(INDEX('Watershed plans'!$Q$12:$Q$267,MATCH(16,'Watershed plans'!$Y$12:$Y$267,0)),"")</f>
        <v/>
      </c>
      <c r="F21" s="25">
        <f>IFERROR(INDEX('Watershed plans'!$O$12:$O$267,MATCH(16,'Watershed plans'!$Y$12:$Y$267,0)),"")</f>
        <v/>
      </c>
      <c r="G21" s="26">
        <f>IFERROR(INDEX('Watershed plans'!$AE$12:$AE$267,MATCH(16,'Watershed plans'!$Y$12:$Y$267,0)),"")</f>
        <v/>
      </c>
      <c r="H21" s="26">
        <f>IFERROR(INDEX('Watershed plans'!$AD$12:$AD$267,MATCH(16,'Watershed plans'!$Y$12:$Y$267,0)),"")</f>
        <v/>
      </c>
    </row>
    <row r="22">
      <c r="A22" s="4" t="n">
        <v>17</v>
      </c>
      <c r="B22" s="6">
        <f>IFERROR(INDEX('Watershed plans'!$L$12:$L$267,MATCH(17,'Watershed plans'!$Y$12:$Y$267,0)),"")</f>
        <v/>
      </c>
      <c r="C22" s="10">
        <f>IFERROR(INDEX('Watershed plans'!$B$12:$B$267,MATCH(17,'Watershed plans'!$Y$12:$Y$267,0)),"")</f>
        <v/>
      </c>
      <c r="D22" s="21">
        <f>IFERROR(INDEX('Watershed plans'!$P$12:$P$267,MATCH(17,'Watershed plans'!$Y$12:$Y$267,0)),"")</f>
        <v/>
      </c>
      <c r="E22" s="26">
        <f>IFERROR(INDEX('Watershed plans'!$Q$12:$Q$267,MATCH(17,'Watershed plans'!$Y$12:$Y$267,0)),"")</f>
        <v/>
      </c>
      <c r="F22" s="25">
        <f>IFERROR(INDEX('Watershed plans'!$O$12:$O$267,MATCH(17,'Watershed plans'!$Y$12:$Y$267,0)),"")</f>
        <v/>
      </c>
      <c r="G22" s="26">
        <f>IFERROR(INDEX('Watershed plans'!$AE$12:$AE$267,MATCH(17,'Watershed plans'!$Y$12:$Y$267,0)),"")</f>
        <v/>
      </c>
      <c r="H22" s="26">
        <f>IFERROR(INDEX('Watershed plans'!$AD$12:$AD$267,MATCH(17,'Watershed plans'!$Y$12:$Y$267,0)),"")</f>
        <v/>
      </c>
    </row>
    <row r="23">
      <c r="A23" s="4" t="n">
        <v>18</v>
      </c>
      <c r="B23" s="6">
        <f>IFERROR(INDEX('Watershed plans'!$L$12:$L$267,MATCH(18,'Watershed plans'!$Y$12:$Y$267,0)),"")</f>
        <v/>
      </c>
      <c r="C23" s="10">
        <f>IFERROR(INDEX('Watershed plans'!$B$12:$B$267,MATCH(18,'Watershed plans'!$Y$12:$Y$267,0)),"")</f>
        <v/>
      </c>
      <c r="D23" s="21">
        <f>IFERROR(INDEX('Watershed plans'!$P$12:$P$267,MATCH(18,'Watershed plans'!$Y$12:$Y$267,0)),"")</f>
        <v/>
      </c>
      <c r="E23" s="26">
        <f>IFERROR(INDEX('Watershed plans'!$Q$12:$Q$267,MATCH(18,'Watershed plans'!$Y$12:$Y$267,0)),"")</f>
        <v/>
      </c>
      <c r="F23" s="25">
        <f>IFERROR(INDEX('Watershed plans'!$O$12:$O$267,MATCH(18,'Watershed plans'!$Y$12:$Y$267,0)),"")</f>
        <v/>
      </c>
      <c r="G23" s="26">
        <f>IFERROR(INDEX('Watershed plans'!$AE$12:$AE$267,MATCH(18,'Watershed plans'!$Y$12:$Y$267,0)),"")</f>
        <v/>
      </c>
      <c r="H23" s="26">
        <f>IFERROR(INDEX('Watershed plans'!$AD$12:$AD$267,MATCH(18,'Watershed plans'!$Y$12:$Y$267,0)),"")</f>
        <v/>
      </c>
    </row>
    <row r="24">
      <c r="A24" s="4" t="n">
        <v>19</v>
      </c>
      <c r="B24" s="6">
        <f>IFERROR(INDEX('Watershed plans'!$L$12:$L$267,MATCH(19,'Watershed plans'!$Y$12:$Y$267,0)),"")</f>
        <v/>
      </c>
      <c r="C24" s="10">
        <f>IFERROR(INDEX('Watershed plans'!$B$12:$B$267,MATCH(19,'Watershed plans'!$Y$12:$Y$267,0)),"")</f>
        <v/>
      </c>
      <c r="D24" s="21">
        <f>IFERROR(INDEX('Watershed plans'!$P$12:$P$267,MATCH(19,'Watershed plans'!$Y$12:$Y$267,0)),"")</f>
        <v/>
      </c>
      <c r="E24" s="26">
        <f>IFERROR(INDEX('Watershed plans'!$Q$12:$Q$267,MATCH(19,'Watershed plans'!$Y$12:$Y$267,0)),"")</f>
        <v/>
      </c>
      <c r="F24" s="25">
        <f>IFERROR(INDEX('Watershed plans'!$O$12:$O$267,MATCH(19,'Watershed plans'!$Y$12:$Y$267,0)),"")</f>
        <v/>
      </c>
      <c r="G24" s="26">
        <f>IFERROR(INDEX('Watershed plans'!$AE$12:$AE$267,MATCH(19,'Watershed plans'!$Y$12:$Y$267,0)),"")</f>
        <v/>
      </c>
      <c r="H24" s="26">
        <f>IFERROR(INDEX('Watershed plans'!$AD$12:$AD$267,MATCH(19,'Watershed plans'!$Y$12:$Y$267,0)),"")</f>
        <v/>
      </c>
    </row>
    <row r="25">
      <c r="A25" s="4" t="n">
        <v>20</v>
      </c>
      <c r="B25" s="6">
        <f>IFERROR(INDEX('Watershed plans'!$L$12:$L$267,MATCH(20,'Watershed plans'!$Y$12:$Y$267,0)),"")</f>
        <v/>
      </c>
      <c r="C25" s="10">
        <f>IFERROR(INDEX('Watershed plans'!$B$12:$B$267,MATCH(20,'Watershed plans'!$Y$12:$Y$267,0)),"")</f>
        <v/>
      </c>
      <c r="D25" s="21">
        <f>IFERROR(INDEX('Watershed plans'!$P$12:$P$267,MATCH(20,'Watershed plans'!$Y$12:$Y$267,0)),"")</f>
        <v/>
      </c>
      <c r="E25" s="26">
        <f>IFERROR(INDEX('Watershed plans'!$Q$12:$Q$267,MATCH(20,'Watershed plans'!$Y$12:$Y$267,0)),"")</f>
        <v/>
      </c>
      <c r="F25" s="25">
        <f>IFERROR(INDEX('Watershed plans'!$O$12:$O$267,MATCH(20,'Watershed plans'!$Y$12:$Y$267,0)),"")</f>
        <v/>
      </c>
      <c r="G25" s="26">
        <f>IFERROR(INDEX('Watershed plans'!$AE$12:$AE$267,MATCH(20,'Watershed plans'!$Y$12:$Y$267,0)),"")</f>
        <v/>
      </c>
      <c r="H25" s="26">
        <f>IFERROR(INDEX('Watershed plans'!$AD$12:$AD$267,MATCH(20,'Watershed plans'!$Y$12:$Y$267,0)),"")</f>
        <v/>
      </c>
    </row>
    <row r="26">
      <c r="A26" s="4" t="n">
        <v>21</v>
      </c>
      <c r="B26" s="6">
        <f>IFERROR(INDEX('Watershed plans'!$L$12:$L$267,MATCH(21,'Watershed plans'!$Y$12:$Y$267,0)),"")</f>
        <v/>
      </c>
      <c r="C26" s="10">
        <f>IFERROR(INDEX('Watershed plans'!$B$12:$B$267,MATCH(21,'Watershed plans'!$Y$12:$Y$267,0)),"")</f>
        <v/>
      </c>
      <c r="D26" s="21">
        <f>IFERROR(INDEX('Watershed plans'!$P$12:$P$267,MATCH(21,'Watershed plans'!$Y$12:$Y$267,0)),"")</f>
        <v/>
      </c>
      <c r="E26" s="26">
        <f>IFERROR(INDEX('Watershed plans'!$Q$12:$Q$267,MATCH(21,'Watershed plans'!$Y$12:$Y$267,0)),"")</f>
        <v/>
      </c>
      <c r="F26" s="25">
        <f>IFERROR(INDEX('Watershed plans'!$O$12:$O$267,MATCH(21,'Watershed plans'!$Y$12:$Y$267,0)),"")</f>
        <v/>
      </c>
      <c r="G26" s="26">
        <f>IFERROR(INDEX('Watershed plans'!$AE$12:$AE$267,MATCH(21,'Watershed plans'!$Y$12:$Y$267,0)),"")</f>
        <v/>
      </c>
      <c r="H26" s="26">
        <f>IFERROR(INDEX('Watershed plans'!$AD$12:$AD$267,MATCH(21,'Watershed plans'!$Y$12:$Y$267,0)),"")</f>
        <v/>
      </c>
    </row>
    <row r="27">
      <c r="A27" s="4" t="n">
        <v>22</v>
      </c>
      <c r="B27" s="6">
        <f>IFERROR(INDEX('Watershed plans'!$L$12:$L$267,MATCH(22,'Watershed plans'!$Y$12:$Y$267,0)),"")</f>
        <v/>
      </c>
      <c r="C27" s="10">
        <f>IFERROR(INDEX('Watershed plans'!$B$12:$B$267,MATCH(22,'Watershed plans'!$Y$12:$Y$267,0)),"")</f>
        <v/>
      </c>
      <c r="D27" s="21">
        <f>IFERROR(INDEX('Watershed plans'!$P$12:$P$267,MATCH(22,'Watershed plans'!$Y$12:$Y$267,0)),"")</f>
        <v/>
      </c>
      <c r="E27" s="26">
        <f>IFERROR(INDEX('Watershed plans'!$Q$12:$Q$267,MATCH(22,'Watershed plans'!$Y$12:$Y$267,0)),"")</f>
        <v/>
      </c>
      <c r="F27" s="25">
        <f>IFERROR(INDEX('Watershed plans'!$O$12:$O$267,MATCH(22,'Watershed plans'!$Y$12:$Y$267,0)),"")</f>
        <v/>
      </c>
      <c r="G27" s="26">
        <f>IFERROR(INDEX('Watershed plans'!$AE$12:$AE$267,MATCH(22,'Watershed plans'!$Y$12:$Y$267,0)),"")</f>
        <v/>
      </c>
      <c r="H27" s="26">
        <f>IFERROR(INDEX('Watershed plans'!$AD$12:$AD$267,MATCH(22,'Watershed plans'!$Y$12:$Y$267,0)),"")</f>
        <v/>
      </c>
    </row>
    <row r="28">
      <c r="A28" s="4" t="n">
        <v>23</v>
      </c>
      <c r="B28" s="6">
        <f>IFERROR(INDEX('Watershed plans'!$L$12:$L$267,MATCH(23,'Watershed plans'!$Y$12:$Y$267,0)),"")</f>
        <v/>
      </c>
      <c r="C28" s="10">
        <f>IFERROR(INDEX('Watershed plans'!$B$12:$B$267,MATCH(23,'Watershed plans'!$Y$12:$Y$267,0)),"")</f>
        <v/>
      </c>
      <c r="D28" s="21">
        <f>IFERROR(INDEX('Watershed plans'!$P$12:$P$267,MATCH(23,'Watershed plans'!$Y$12:$Y$267,0)),"")</f>
        <v/>
      </c>
      <c r="E28" s="26">
        <f>IFERROR(INDEX('Watershed plans'!$Q$12:$Q$267,MATCH(23,'Watershed plans'!$Y$12:$Y$267,0)),"")</f>
        <v/>
      </c>
      <c r="F28" s="25">
        <f>IFERROR(INDEX('Watershed plans'!$O$12:$O$267,MATCH(23,'Watershed plans'!$Y$12:$Y$267,0)),"")</f>
        <v/>
      </c>
      <c r="G28" s="26">
        <f>IFERROR(INDEX('Watershed plans'!$AE$12:$AE$267,MATCH(23,'Watershed plans'!$Y$12:$Y$267,0)),"")</f>
        <v/>
      </c>
      <c r="H28" s="26">
        <f>IFERROR(INDEX('Watershed plans'!$AD$12:$AD$267,MATCH(23,'Watershed plans'!$Y$12:$Y$267,0)),"")</f>
        <v/>
      </c>
    </row>
    <row r="29">
      <c r="A29" s="4" t="n">
        <v>24</v>
      </c>
      <c r="B29" s="6">
        <f>IFERROR(INDEX('Watershed plans'!$L$12:$L$267,MATCH(24,'Watershed plans'!$Y$12:$Y$267,0)),"")</f>
        <v/>
      </c>
      <c r="C29" s="10">
        <f>IFERROR(INDEX('Watershed plans'!$B$12:$B$267,MATCH(24,'Watershed plans'!$Y$12:$Y$267,0)),"")</f>
        <v/>
      </c>
      <c r="D29" s="21">
        <f>IFERROR(INDEX('Watershed plans'!$P$12:$P$267,MATCH(24,'Watershed plans'!$Y$12:$Y$267,0)),"")</f>
        <v/>
      </c>
      <c r="E29" s="26">
        <f>IFERROR(INDEX('Watershed plans'!$Q$12:$Q$267,MATCH(24,'Watershed plans'!$Y$12:$Y$267,0)),"")</f>
        <v/>
      </c>
      <c r="F29" s="25">
        <f>IFERROR(INDEX('Watershed plans'!$O$12:$O$267,MATCH(24,'Watershed plans'!$Y$12:$Y$267,0)),"")</f>
        <v/>
      </c>
      <c r="G29" s="26">
        <f>IFERROR(INDEX('Watershed plans'!$AE$12:$AE$267,MATCH(24,'Watershed plans'!$Y$12:$Y$267,0)),"")</f>
        <v/>
      </c>
      <c r="H29" s="26">
        <f>IFERROR(INDEX('Watershed plans'!$AD$12:$AD$267,MATCH(24,'Watershed plans'!$Y$12:$Y$267,0)),"")</f>
        <v/>
      </c>
    </row>
    <row r="30">
      <c r="A30" s="4" t="n">
        <v>25</v>
      </c>
      <c r="B30" s="6">
        <f>IFERROR(INDEX('Watershed plans'!$L$12:$L$267,MATCH(25,'Watershed plans'!$Y$12:$Y$267,0)),"")</f>
        <v/>
      </c>
      <c r="C30" s="10">
        <f>IFERROR(INDEX('Watershed plans'!$B$12:$B$267,MATCH(25,'Watershed plans'!$Y$12:$Y$267,0)),"")</f>
        <v/>
      </c>
      <c r="D30" s="21">
        <f>IFERROR(INDEX('Watershed plans'!$P$12:$P$267,MATCH(25,'Watershed plans'!$Y$12:$Y$267,0)),"")</f>
        <v/>
      </c>
      <c r="E30" s="26">
        <f>IFERROR(INDEX('Watershed plans'!$Q$12:$Q$267,MATCH(25,'Watershed plans'!$Y$12:$Y$267,0)),"")</f>
        <v/>
      </c>
      <c r="F30" s="25">
        <f>IFERROR(INDEX('Watershed plans'!$O$12:$O$267,MATCH(25,'Watershed plans'!$Y$12:$Y$267,0)),"")</f>
        <v/>
      </c>
      <c r="G30" s="26">
        <f>IFERROR(INDEX('Watershed plans'!$AE$12:$AE$267,MATCH(25,'Watershed plans'!$Y$12:$Y$267,0)),"")</f>
        <v/>
      </c>
      <c r="H30" s="26">
        <f>IFERROR(INDEX('Watershed plans'!$AD$12:$AD$267,MATCH(25,'Watershed plans'!$Y$12:$Y$267,0)),"")</f>
        <v/>
      </c>
    </row>
    <row r="31">
      <c r="A31" s="4" t="n">
        <v>26</v>
      </c>
      <c r="B31" s="6">
        <f>IFERROR(INDEX('Watershed plans'!$L$12:$L$267,MATCH(26,'Watershed plans'!$Y$12:$Y$267,0)),"")</f>
        <v/>
      </c>
      <c r="C31" s="10">
        <f>IFERROR(INDEX('Watershed plans'!$B$12:$B$267,MATCH(26,'Watershed plans'!$Y$12:$Y$267,0)),"")</f>
        <v/>
      </c>
      <c r="D31" s="21">
        <f>IFERROR(INDEX('Watershed plans'!$P$12:$P$267,MATCH(26,'Watershed plans'!$Y$12:$Y$267,0)),"")</f>
        <v/>
      </c>
      <c r="E31" s="26">
        <f>IFERROR(INDEX('Watershed plans'!$Q$12:$Q$267,MATCH(26,'Watershed plans'!$Y$12:$Y$267,0)),"")</f>
        <v/>
      </c>
      <c r="F31" s="25">
        <f>IFERROR(INDEX('Watershed plans'!$O$12:$O$267,MATCH(26,'Watershed plans'!$Y$12:$Y$267,0)),"")</f>
        <v/>
      </c>
      <c r="G31" s="26">
        <f>IFERROR(INDEX('Watershed plans'!$AE$12:$AE$267,MATCH(26,'Watershed plans'!$Y$12:$Y$267,0)),"")</f>
        <v/>
      </c>
      <c r="H31" s="26">
        <f>IFERROR(INDEX('Watershed plans'!$AD$12:$AD$267,MATCH(26,'Watershed plans'!$Y$12:$Y$267,0)),"")</f>
        <v/>
      </c>
    </row>
    <row r="32">
      <c r="A32" s="4" t="n">
        <v>27</v>
      </c>
      <c r="B32" s="6">
        <f>IFERROR(INDEX('Watershed plans'!$L$12:$L$267,MATCH(27,'Watershed plans'!$Y$12:$Y$267,0)),"")</f>
        <v/>
      </c>
      <c r="C32" s="10">
        <f>IFERROR(INDEX('Watershed plans'!$B$12:$B$267,MATCH(27,'Watershed plans'!$Y$12:$Y$267,0)),"")</f>
        <v/>
      </c>
      <c r="D32" s="21">
        <f>IFERROR(INDEX('Watershed plans'!$P$12:$P$267,MATCH(27,'Watershed plans'!$Y$12:$Y$267,0)),"")</f>
        <v/>
      </c>
      <c r="E32" s="26">
        <f>IFERROR(INDEX('Watershed plans'!$Q$12:$Q$267,MATCH(27,'Watershed plans'!$Y$12:$Y$267,0)),"")</f>
        <v/>
      </c>
      <c r="F32" s="25">
        <f>IFERROR(INDEX('Watershed plans'!$O$12:$O$267,MATCH(27,'Watershed plans'!$Y$12:$Y$267,0)),"")</f>
        <v/>
      </c>
      <c r="G32" s="26">
        <f>IFERROR(INDEX('Watershed plans'!$AE$12:$AE$267,MATCH(27,'Watershed plans'!$Y$12:$Y$267,0)),"")</f>
        <v/>
      </c>
      <c r="H32" s="26">
        <f>IFERROR(INDEX('Watershed plans'!$AD$12:$AD$267,MATCH(27,'Watershed plans'!$Y$12:$Y$267,0)),"")</f>
        <v/>
      </c>
    </row>
    <row r="33">
      <c r="A33" s="4" t="n">
        <v>28</v>
      </c>
      <c r="B33" s="6">
        <f>IFERROR(INDEX('Watershed plans'!$L$12:$L$267,MATCH(28,'Watershed plans'!$Y$12:$Y$267,0)),"")</f>
        <v/>
      </c>
      <c r="C33" s="10">
        <f>IFERROR(INDEX('Watershed plans'!$B$12:$B$267,MATCH(28,'Watershed plans'!$Y$12:$Y$267,0)),"")</f>
        <v/>
      </c>
      <c r="D33" s="21">
        <f>IFERROR(INDEX('Watershed plans'!$P$12:$P$267,MATCH(28,'Watershed plans'!$Y$12:$Y$267,0)),"")</f>
        <v/>
      </c>
      <c r="E33" s="26">
        <f>IFERROR(INDEX('Watershed plans'!$Q$12:$Q$267,MATCH(28,'Watershed plans'!$Y$12:$Y$267,0)),"")</f>
        <v/>
      </c>
      <c r="F33" s="25">
        <f>IFERROR(INDEX('Watershed plans'!$O$12:$O$267,MATCH(28,'Watershed plans'!$Y$12:$Y$267,0)),"")</f>
        <v/>
      </c>
      <c r="G33" s="26">
        <f>IFERROR(INDEX('Watershed plans'!$AE$12:$AE$267,MATCH(28,'Watershed plans'!$Y$12:$Y$267,0)),"")</f>
        <v/>
      </c>
      <c r="H33" s="26">
        <f>IFERROR(INDEX('Watershed plans'!$AD$12:$AD$267,MATCH(28,'Watershed plans'!$Y$12:$Y$267,0)),"")</f>
        <v/>
      </c>
    </row>
    <row r="34">
      <c r="A34" s="4" t="n">
        <v>29</v>
      </c>
      <c r="B34" s="6">
        <f>IFERROR(INDEX('Watershed plans'!$L$12:$L$267,MATCH(29,'Watershed plans'!$Y$12:$Y$267,0)),"")</f>
        <v/>
      </c>
      <c r="C34" s="10">
        <f>IFERROR(INDEX('Watershed plans'!$B$12:$B$267,MATCH(29,'Watershed plans'!$Y$12:$Y$267,0)),"")</f>
        <v/>
      </c>
      <c r="D34" s="21">
        <f>IFERROR(INDEX('Watershed plans'!$P$12:$P$267,MATCH(29,'Watershed plans'!$Y$12:$Y$267,0)),"")</f>
        <v/>
      </c>
      <c r="E34" s="26">
        <f>IFERROR(INDEX('Watershed plans'!$Q$12:$Q$267,MATCH(29,'Watershed plans'!$Y$12:$Y$267,0)),"")</f>
        <v/>
      </c>
      <c r="F34" s="25">
        <f>IFERROR(INDEX('Watershed plans'!$O$12:$O$267,MATCH(29,'Watershed plans'!$Y$12:$Y$267,0)),"")</f>
        <v/>
      </c>
      <c r="G34" s="26">
        <f>IFERROR(INDEX('Watershed plans'!$AE$12:$AE$267,MATCH(29,'Watershed plans'!$Y$12:$Y$267,0)),"")</f>
        <v/>
      </c>
      <c r="H34" s="26">
        <f>IFERROR(INDEX('Watershed plans'!$AD$12:$AD$267,MATCH(29,'Watershed plans'!$Y$12:$Y$267,0)),"")</f>
        <v/>
      </c>
    </row>
    <row r="35">
      <c r="A35" s="4" t="n">
        <v>30</v>
      </c>
      <c r="B35" s="6">
        <f>IFERROR(INDEX('Watershed plans'!$L$12:$L$267,MATCH(30,'Watershed plans'!$Y$12:$Y$267,0)),"")</f>
        <v/>
      </c>
      <c r="C35" s="10">
        <f>IFERROR(INDEX('Watershed plans'!$B$12:$B$267,MATCH(30,'Watershed plans'!$Y$12:$Y$267,0)),"")</f>
        <v/>
      </c>
      <c r="D35" s="21">
        <f>IFERROR(INDEX('Watershed plans'!$P$12:$P$267,MATCH(30,'Watershed plans'!$Y$12:$Y$267,0)),"")</f>
        <v/>
      </c>
      <c r="E35" s="26">
        <f>IFERROR(INDEX('Watershed plans'!$Q$12:$Q$267,MATCH(30,'Watershed plans'!$Y$12:$Y$267,0)),"")</f>
        <v/>
      </c>
      <c r="F35" s="25">
        <f>IFERROR(INDEX('Watershed plans'!$O$12:$O$267,MATCH(30,'Watershed plans'!$Y$12:$Y$267,0)),"")</f>
        <v/>
      </c>
      <c r="G35" s="26">
        <f>IFERROR(INDEX('Watershed plans'!$AE$12:$AE$267,MATCH(30,'Watershed plans'!$Y$12:$Y$267,0)),"")</f>
        <v/>
      </c>
      <c r="H35" s="26">
        <f>IFERROR(INDEX('Watershed plans'!$AD$12:$AD$267,MATCH(30,'Watershed plans'!$Y$12:$Y$267,0)),"")</f>
        <v/>
      </c>
    </row>
    <row r="36">
      <c r="A36" s="4" t="n">
        <v>31</v>
      </c>
      <c r="B36" s="6">
        <f>IFERROR(INDEX('Watershed plans'!$L$12:$L$267,MATCH(31,'Watershed plans'!$Y$12:$Y$267,0)),"")</f>
        <v/>
      </c>
      <c r="C36" s="10">
        <f>IFERROR(INDEX('Watershed plans'!$B$12:$B$267,MATCH(31,'Watershed plans'!$Y$12:$Y$267,0)),"")</f>
        <v/>
      </c>
      <c r="D36" s="21">
        <f>IFERROR(INDEX('Watershed plans'!$P$12:$P$267,MATCH(31,'Watershed plans'!$Y$12:$Y$267,0)),"")</f>
        <v/>
      </c>
      <c r="E36" s="26">
        <f>IFERROR(INDEX('Watershed plans'!$Q$12:$Q$267,MATCH(31,'Watershed plans'!$Y$12:$Y$267,0)),"")</f>
        <v/>
      </c>
      <c r="F36" s="25">
        <f>IFERROR(INDEX('Watershed plans'!$O$12:$O$267,MATCH(31,'Watershed plans'!$Y$12:$Y$267,0)),"")</f>
        <v/>
      </c>
      <c r="G36" s="26">
        <f>IFERROR(INDEX('Watershed plans'!$AE$12:$AE$267,MATCH(31,'Watershed plans'!$Y$12:$Y$267,0)),"")</f>
        <v/>
      </c>
      <c r="H36" s="26">
        <f>IFERROR(INDEX('Watershed plans'!$AD$12:$AD$267,MATCH(31,'Watershed plans'!$Y$12:$Y$267,0)),"")</f>
        <v/>
      </c>
    </row>
    <row r="37">
      <c r="A37" s="4" t="n">
        <v>32</v>
      </c>
      <c r="B37" s="6">
        <f>IFERROR(INDEX('Watershed plans'!$L$12:$L$267,MATCH(32,'Watershed plans'!$Y$12:$Y$267,0)),"")</f>
        <v/>
      </c>
      <c r="C37" s="10">
        <f>IFERROR(INDEX('Watershed plans'!$B$12:$B$267,MATCH(32,'Watershed plans'!$Y$12:$Y$267,0)),"")</f>
        <v/>
      </c>
      <c r="D37" s="21">
        <f>IFERROR(INDEX('Watershed plans'!$P$12:$P$267,MATCH(32,'Watershed plans'!$Y$12:$Y$267,0)),"")</f>
        <v/>
      </c>
      <c r="E37" s="26">
        <f>IFERROR(INDEX('Watershed plans'!$Q$12:$Q$267,MATCH(32,'Watershed plans'!$Y$12:$Y$267,0)),"")</f>
        <v/>
      </c>
      <c r="F37" s="25">
        <f>IFERROR(INDEX('Watershed plans'!$O$12:$O$267,MATCH(32,'Watershed plans'!$Y$12:$Y$267,0)),"")</f>
        <v/>
      </c>
      <c r="G37" s="26">
        <f>IFERROR(INDEX('Watershed plans'!$AE$12:$AE$267,MATCH(32,'Watershed plans'!$Y$12:$Y$267,0)),"")</f>
        <v/>
      </c>
      <c r="H37" s="26">
        <f>IFERROR(INDEX('Watershed plans'!$AD$12:$AD$267,MATCH(32,'Watershed plans'!$Y$12:$Y$267,0)),"")</f>
        <v/>
      </c>
    </row>
    <row r="38">
      <c r="A38" s="4" t="n">
        <v>33</v>
      </c>
      <c r="B38" s="6">
        <f>IFERROR(INDEX('Watershed plans'!$L$12:$L$267,MATCH(33,'Watershed plans'!$Y$12:$Y$267,0)),"")</f>
        <v/>
      </c>
      <c r="C38" s="10">
        <f>IFERROR(INDEX('Watershed plans'!$B$12:$B$267,MATCH(33,'Watershed plans'!$Y$12:$Y$267,0)),"")</f>
        <v/>
      </c>
      <c r="D38" s="21">
        <f>IFERROR(INDEX('Watershed plans'!$P$12:$P$267,MATCH(33,'Watershed plans'!$Y$12:$Y$267,0)),"")</f>
        <v/>
      </c>
      <c r="E38" s="26">
        <f>IFERROR(INDEX('Watershed plans'!$Q$12:$Q$267,MATCH(33,'Watershed plans'!$Y$12:$Y$267,0)),"")</f>
        <v/>
      </c>
      <c r="F38" s="25">
        <f>IFERROR(INDEX('Watershed plans'!$O$12:$O$267,MATCH(33,'Watershed plans'!$Y$12:$Y$267,0)),"")</f>
        <v/>
      </c>
      <c r="G38" s="26">
        <f>IFERROR(INDEX('Watershed plans'!$AE$12:$AE$267,MATCH(33,'Watershed plans'!$Y$12:$Y$267,0)),"")</f>
        <v/>
      </c>
      <c r="H38" s="26">
        <f>IFERROR(INDEX('Watershed plans'!$AD$12:$AD$267,MATCH(33,'Watershed plans'!$Y$12:$Y$267,0)),"")</f>
        <v/>
      </c>
    </row>
    <row r="39">
      <c r="A39" s="4" t="n">
        <v>34</v>
      </c>
      <c r="B39" s="6">
        <f>IFERROR(INDEX('Watershed plans'!$L$12:$L$267,MATCH(34,'Watershed plans'!$Y$12:$Y$267,0)),"")</f>
        <v/>
      </c>
      <c r="C39" s="10">
        <f>IFERROR(INDEX('Watershed plans'!$B$12:$B$267,MATCH(34,'Watershed plans'!$Y$12:$Y$267,0)),"")</f>
        <v/>
      </c>
      <c r="D39" s="21">
        <f>IFERROR(INDEX('Watershed plans'!$P$12:$P$267,MATCH(34,'Watershed plans'!$Y$12:$Y$267,0)),"")</f>
        <v/>
      </c>
      <c r="E39" s="26">
        <f>IFERROR(INDEX('Watershed plans'!$Q$12:$Q$267,MATCH(34,'Watershed plans'!$Y$12:$Y$267,0)),"")</f>
        <v/>
      </c>
      <c r="F39" s="25">
        <f>IFERROR(INDEX('Watershed plans'!$O$12:$O$267,MATCH(34,'Watershed plans'!$Y$12:$Y$267,0)),"")</f>
        <v/>
      </c>
      <c r="G39" s="26">
        <f>IFERROR(INDEX('Watershed plans'!$AE$12:$AE$267,MATCH(34,'Watershed plans'!$Y$12:$Y$267,0)),"")</f>
        <v/>
      </c>
      <c r="H39" s="26">
        <f>IFERROR(INDEX('Watershed plans'!$AD$12:$AD$267,MATCH(34,'Watershed plans'!$Y$12:$Y$267,0)),"")</f>
        <v/>
      </c>
    </row>
    <row r="40">
      <c r="A40" s="4" t="n">
        <v>35</v>
      </c>
      <c r="B40" s="6">
        <f>IFERROR(INDEX('Watershed plans'!$L$12:$L$267,MATCH(35,'Watershed plans'!$Y$12:$Y$267,0)),"")</f>
        <v/>
      </c>
      <c r="C40" s="10">
        <f>IFERROR(INDEX('Watershed plans'!$B$12:$B$267,MATCH(35,'Watershed plans'!$Y$12:$Y$267,0)),"")</f>
        <v/>
      </c>
      <c r="D40" s="21">
        <f>IFERROR(INDEX('Watershed plans'!$P$12:$P$267,MATCH(35,'Watershed plans'!$Y$12:$Y$267,0)),"")</f>
        <v/>
      </c>
      <c r="E40" s="26">
        <f>IFERROR(INDEX('Watershed plans'!$Q$12:$Q$267,MATCH(35,'Watershed plans'!$Y$12:$Y$267,0)),"")</f>
        <v/>
      </c>
      <c r="F40" s="25">
        <f>IFERROR(INDEX('Watershed plans'!$O$12:$O$267,MATCH(35,'Watershed plans'!$Y$12:$Y$267,0)),"")</f>
        <v/>
      </c>
      <c r="G40" s="26">
        <f>IFERROR(INDEX('Watershed plans'!$AE$12:$AE$267,MATCH(35,'Watershed plans'!$Y$12:$Y$267,0)),"")</f>
        <v/>
      </c>
      <c r="H40" s="26">
        <f>IFERROR(INDEX('Watershed plans'!$AD$12:$AD$267,MATCH(35,'Watershed plans'!$Y$12:$Y$267,0)),"")</f>
        <v/>
      </c>
    </row>
    <row r="41">
      <c r="A41" s="4" t="n">
        <v>36</v>
      </c>
      <c r="B41" s="6">
        <f>IFERROR(INDEX('Watershed plans'!$L$12:$L$267,MATCH(36,'Watershed plans'!$Y$12:$Y$267,0)),"")</f>
        <v/>
      </c>
      <c r="C41" s="10">
        <f>IFERROR(INDEX('Watershed plans'!$B$12:$B$267,MATCH(36,'Watershed plans'!$Y$12:$Y$267,0)),"")</f>
        <v/>
      </c>
      <c r="D41" s="21">
        <f>IFERROR(INDEX('Watershed plans'!$P$12:$P$267,MATCH(36,'Watershed plans'!$Y$12:$Y$267,0)),"")</f>
        <v/>
      </c>
      <c r="E41" s="26">
        <f>IFERROR(INDEX('Watershed plans'!$Q$12:$Q$267,MATCH(36,'Watershed plans'!$Y$12:$Y$267,0)),"")</f>
        <v/>
      </c>
      <c r="F41" s="25">
        <f>IFERROR(INDEX('Watershed plans'!$O$12:$O$267,MATCH(36,'Watershed plans'!$Y$12:$Y$267,0)),"")</f>
        <v/>
      </c>
      <c r="G41" s="26">
        <f>IFERROR(INDEX('Watershed plans'!$AE$12:$AE$267,MATCH(36,'Watershed plans'!$Y$12:$Y$267,0)),"")</f>
        <v/>
      </c>
      <c r="H41" s="26">
        <f>IFERROR(INDEX('Watershed plans'!$AD$12:$AD$267,MATCH(36,'Watershed plans'!$Y$12:$Y$267,0)),"")</f>
        <v/>
      </c>
    </row>
    <row r="42">
      <c r="A42" s="4" t="n">
        <v>37</v>
      </c>
      <c r="B42" s="6">
        <f>IFERROR(INDEX('Watershed plans'!$L$12:$L$267,MATCH(37,'Watershed plans'!$Y$12:$Y$267,0)),"")</f>
        <v/>
      </c>
      <c r="C42" s="10">
        <f>IFERROR(INDEX('Watershed plans'!$B$12:$B$267,MATCH(37,'Watershed plans'!$Y$12:$Y$267,0)),"")</f>
        <v/>
      </c>
      <c r="D42" s="21">
        <f>IFERROR(INDEX('Watershed plans'!$P$12:$P$267,MATCH(37,'Watershed plans'!$Y$12:$Y$267,0)),"")</f>
        <v/>
      </c>
      <c r="E42" s="26">
        <f>IFERROR(INDEX('Watershed plans'!$Q$12:$Q$267,MATCH(37,'Watershed plans'!$Y$12:$Y$267,0)),"")</f>
        <v/>
      </c>
      <c r="F42" s="25">
        <f>IFERROR(INDEX('Watershed plans'!$O$12:$O$267,MATCH(37,'Watershed plans'!$Y$12:$Y$267,0)),"")</f>
        <v/>
      </c>
      <c r="G42" s="26">
        <f>IFERROR(INDEX('Watershed plans'!$AE$12:$AE$267,MATCH(37,'Watershed plans'!$Y$12:$Y$267,0)),"")</f>
        <v/>
      </c>
      <c r="H42" s="26">
        <f>IFERROR(INDEX('Watershed plans'!$AD$12:$AD$267,MATCH(37,'Watershed plans'!$Y$12:$Y$267,0)),"")</f>
        <v/>
      </c>
    </row>
    <row r="43">
      <c r="A43" s="4" t="n">
        <v>38</v>
      </c>
      <c r="B43" s="6">
        <f>IFERROR(INDEX('Watershed plans'!$L$12:$L$267,MATCH(38,'Watershed plans'!$Y$12:$Y$267,0)),"")</f>
        <v/>
      </c>
      <c r="C43" s="10">
        <f>IFERROR(INDEX('Watershed plans'!$B$12:$B$267,MATCH(38,'Watershed plans'!$Y$12:$Y$267,0)),"")</f>
        <v/>
      </c>
      <c r="D43" s="21">
        <f>IFERROR(INDEX('Watershed plans'!$P$12:$P$267,MATCH(38,'Watershed plans'!$Y$12:$Y$267,0)),"")</f>
        <v/>
      </c>
      <c r="E43" s="26">
        <f>IFERROR(INDEX('Watershed plans'!$Q$12:$Q$267,MATCH(38,'Watershed plans'!$Y$12:$Y$267,0)),"")</f>
        <v/>
      </c>
      <c r="F43" s="25">
        <f>IFERROR(INDEX('Watershed plans'!$O$12:$O$267,MATCH(38,'Watershed plans'!$Y$12:$Y$267,0)),"")</f>
        <v/>
      </c>
      <c r="G43" s="26">
        <f>IFERROR(INDEX('Watershed plans'!$AE$12:$AE$267,MATCH(38,'Watershed plans'!$Y$12:$Y$267,0)),"")</f>
        <v/>
      </c>
      <c r="H43" s="26">
        <f>IFERROR(INDEX('Watershed plans'!$AD$12:$AD$267,MATCH(38,'Watershed plans'!$Y$12:$Y$267,0)),"")</f>
        <v/>
      </c>
    </row>
    <row r="44">
      <c r="A44" s="4" t="n">
        <v>39</v>
      </c>
      <c r="B44" s="6">
        <f>IFERROR(INDEX('Watershed plans'!$L$12:$L$267,MATCH(39,'Watershed plans'!$Y$12:$Y$267,0)),"")</f>
        <v/>
      </c>
      <c r="C44" s="10">
        <f>IFERROR(INDEX('Watershed plans'!$B$12:$B$267,MATCH(39,'Watershed plans'!$Y$12:$Y$267,0)),"")</f>
        <v/>
      </c>
      <c r="D44" s="21">
        <f>IFERROR(INDEX('Watershed plans'!$P$12:$P$267,MATCH(39,'Watershed plans'!$Y$12:$Y$267,0)),"")</f>
        <v/>
      </c>
      <c r="E44" s="26">
        <f>IFERROR(INDEX('Watershed plans'!$Q$12:$Q$267,MATCH(39,'Watershed plans'!$Y$12:$Y$267,0)),"")</f>
        <v/>
      </c>
      <c r="F44" s="25">
        <f>IFERROR(INDEX('Watershed plans'!$O$12:$O$267,MATCH(39,'Watershed plans'!$Y$12:$Y$267,0)),"")</f>
        <v/>
      </c>
      <c r="G44" s="26">
        <f>IFERROR(INDEX('Watershed plans'!$AE$12:$AE$267,MATCH(39,'Watershed plans'!$Y$12:$Y$267,0)),"")</f>
        <v/>
      </c>
      <c r="H44" s="26">
        <f>IFERROR(INDEX('Watershed plans'!$AD$12:$AD$267,MATCH(39,'Watershed plans'!$Y$12:$Y$267,0)),"")</f>
        <v/>
      </c>
    </row>
    <row r="45">
      <c r="A45" s="4" t="n">
        <v>40</v>
      </c>
      <c r="B45" s="6">
        <f>IFERROR(INDEX('Watershed plans'!$L$12:$L$267,MATCH(40,'Watershed plans'!$Y$12:$Y$267,0)),"")</f>
        <v/>
      </c>
      <c r="C45" s="10">
        <f>IFERROR(INDEX('Watershed plans'!$B$12:$B$267,MATCH(40,'Watershed plans'!$Y$12:$Y$267,0)),"")</f>
        <v/>
      </c>
      <c r="D45" s="21">
        <f>IFERROR(INDEX('Watershed plans'!$P$12:$P$267,MATCH(40,'Watershed plans'!$Y$12:$Y$267,0)),"")</f>
        <v/>
      </c>
      <c r="E45" s="26">
        <f>IFERROR(INDEX('Watershed plans'!$Q$12:$Q$267,MATCH(40,'Watershed plans'!$Y$12:$Y$267,0)),"")</f>
        <v/>
      </c>
      <c r="F45" s="25">
        <f>IFERROR(INDEX('Watershed plans'!$O$12:$O$267,MATCH(40,'Watershed plans'!$Y$12:$Y$267,0)),"")</f>
        <v/>
      </c>
      <c r="G45" s="26">
        <f>IFERROR(INDEX('Watershed plans'!$AE$12:$AE$267,MATCH(40,'Watershed plans'!$Y$12:$Y$267,0)),"")</f>
        <v/>
      </c>
      <c r="H45" s="26">
        <f>IFERROR(INDEX('Watershed plans'!$AD$12:$AD$267,MATCH(40,'Watershed plans'!$Y$12:$Y$267,0)),"")</f>
        <v/>
      </c>
    </row>
    <row r="48">
      <c r="A48" s="7" t="inlineStr">
        <is>
          <t>Final array (in order of output) and 'Is it worth it?'</t>
        </is>
      </c>
    </row>
    <row r="49">
      <c r="A49" s="12" t="inlineStr">
        <is>
          <t>Order</t>
        </is>
      </c>
      <c r="B49" s="12" t="inlineStr">
        <is>
          <t>Plan number</t>
        </is>
      </c>
      <c r="C49" s="12" t="inlineStr">
        <is>
          <t>Plan</t>
        </is>
      </c>
      <c r="D49" s="12" t="inlineStr">
        <is>
          <t>Lift (AAHU)</t>
        </is>
      </c>
      <c r="E49" s="12" t="inlineStr">
        <is>
          <t>Average annual cost</t>
        </is>
      </c>
      <c r="F49" s="12" t="inlineStr">
        <is>
          <t>Construction cost</t>
        </is>
      </c>
      <c r="G49" s="12" t="inlineStr">
        <is>
          <t>Unit cost</t>
        </is>
      </c>
      <c r="H49" s="12" t="inlineStr">
        <is>
          <t>Added output</t>
        </is>
      </c>
      <c r="I49" s="12" t="inlineStr">
        <is>
          <t>Added cost</t>
        </is>
      </c>
      <c r="J49" s="12" t="inlineStr">
        <is>
          <t>Added cost per unit</t>
        </is>
      </c>
      <c r="K49" s="12" t="inlineStr">
        <is>
          <t>Worth it?</t>
        </is>
      </c>
      <c r="L49" s="12" t="inlineStr">
        <is>
          <t>Why</t>
        </is>
      </c>
    </row>
    <row r="50">
      <c r="A50" s="4" t="n">
        <v>1</v>
      </c>
      <c r="B50" s="6">
        <f>IFERROR(INDEX('Watershed plans'!$L$12:$L$267,MATCH(1,'Watershed plans'!$AG$12:$AG$267,0)),"")</f>
        <v/>
      </c>
      <c r="C50" s="10">
        <f>IFERROR(INDEX('Watershed plans'!$B$12:$B$267,MATCH(1,'Watershed plans'!$AG$12:$AG$267,0)),"")</f>
        <v/>
      </c>
      <c r="D50" s="21">
        <f>IFERROR(INDEX('Watershed plans'!$P$12:$P$267,MATCH(1,'Watershed plans'!$AG$12:$AG$267,0)),"")</f>
        <v/>
      </c>
      <c r="E50" s="26">
        <f>IFERROR(INDEX('Watershed plans'!$Q$12:$Q$267,MATCH(1,'Watershed plans'!$AG$12:$AG$267,0)),"")</f>
        <v/>
      </c>
      <c r="F50" s="25">
        <f>IFERROR(INDEX('Watershed plans'!$O$12:$O$267,MATCH(1,'Watershed plans'!$AG$12:$AG$267,0)),"")</f>
        <v/>
      </c>
      <c r="G50" s="26">
        <f>IFERROR(INDEX('Watershed plans'!$AE$12:$AE$267,MATCH(1,'Watershed plans'!$AG$12:$AG$267,0)),"")</f>
        <v/>
      </c>
      <c r="H50" s="10" t="inlineStr"/>
      <c r="I50" s="10" t="inlineStr"/>
      <c r="J50" s="10" t="inlineStr"/>
      <c r="K50" s="15" t="inlineStr"/>
      <c r="L50" s="31" t="inlineStr"/>
    </row>
    <row r="51">
      <c r="A51" s="4" t="n">
        <v>2</v>
      </c>
      <c r="B51" s="6">
        <f>IFERROR(INDEX('Watershed plans'!$L$12:$L$267,MATCH(2,'Watershed plans'!$AG$12:$AG$267,0)),"")</f>
        <v/>
      </c>
      <c r="C51" s="10">
        <f>IFERROR(INDEX('Watershed plans'!$B$12:$B$267,MATCH(2,'Watershed plans'!$AG$12:$AG$267,0)),"")</f>
        <v/>
      </c>
      <c r="D51" s="21">
        <f>IFERROR(INDEX('Watershed plans'!$P$12:$P$267,MATCH(2,'Watershed plans'!$AG$12:$AG$267,0)),"")</f>
        <v/>
      </c>
      <c r="E51" s="26">
        <f>IFERROR(INDEX('Watershed plans'!$Q$12:$Q$267,MATCH(2,'Watershed plans'!$AG$12:$AG$267,0)),"")</f>
        <v/>
      </c>
      <c r="F51" s="25">
        <f>IFERROR(INDEX('Watershed plans'!$O$12:$O$267,MATCH(2,'Watershed plans'!$AG$12:$AG$267,0)),"")</f>
        <v/>
      </c>
      <c r="G51" s="26">
        <f>IFERROR(INDEX('Watershed plans'!$AE$12:$AE$267,MATCH(2,'Watershed plans'!$AG$12:$AG$267,0)),"")</f>
        <v/>
      </c>
      <c r="H51" s="21">
        <f>IF(ISNUMBER(D51),D51-D50,"")</f>
        <v/>
      </c>
      <c r="I51" s="26">
        <f>IF(ISNUMBER(E51),E51-E50,"")</f>
        <v/>
      </c>
      <c r="J51" s="26">
        <f>IF(AND(ISNUMBER(H51),H51&lt;&gt;0),I51/H51,"")</f>
        <v/>
      </c>
      <c r="K51" s="15" t="inlineStr">
        <is>
          <t>No</t>
        </is>
      </c>
      <c r="L51" s="31" t="inlineStr">
        <is>
          <t xml:space="preserve">  Too costly for the added lift  </t>
        </is>
      </c>
    </row>
    <row r="52">
      <c r="A52" s="4" t="n">
        <v>3</v>
      </c>
      <c r="B52" s="6">
        <f>IFERROR(INDEX('Watershed plans'!$L$12:$L$267,MATCH(3,'Watershed plans'!$AG$12:$AG$267,0)),"")</f>
        <v/>
      </c>
      <c r="C52" s="10">
        <f>IFERROR(INDEX('Watershed plans'!$B$12:$B$267,MATCH(3,'Watershed plans'!$AG$12:$AG$267,0)),"")</f>
        <v/>
      </c>
      <c r="D52" s="21">
        <f>IFERROR(INDEX('Watershed plans'!$P$12:$P$267,MATCH(3,'Watershed plans'!$AG$12:$AG$267,0)),"")</f>
        <v/>
      </c>
      <c r="E52" s="26">
        <f>IFERROR(INDEX('Watershed plans'!$Q$12:$Q$267,MATCH(3,'Watershed plans'!$AG$12:$AG$267,0)),"")</f>
        <v/>
      </c>
      <c r="F52" s="25">
        <f>IFERROR(INDEX('Watershed plans'!$O$12:$O$267,MATCH(3,'Watershed plans'!$AG$12:$AG$267,0)),"")</f>
        <v/>
      </c>
      <c r="G52" s="26">
        <f>IFERROR(INDEX('Watershed plans'!$AE$12:$AE$267,MATCH(3,'Watershed plans'!$AG$12:$AG$267,0)),"")</f>
        <v/>
      </c>
      <c r="H52" s="21">
        <f>IF(ISNUMBER(D52),D52-D51,"")</f>
        <v/>
      </c>
      <c r="I52" s="26">
        <f>IF(ISNUMBER(E52),E52-E51,"")</f>
        <v/>
      </c>
      <c r="J52" s="26">
        <f>IF(AND(ISNUMBER(H52),H52&lt;&gt;0),I52/H52,"")</f>
        <v/>
      </c>
      <c r="K52" s="15" t="inlineStr">
        <is>
          <t>Yes</t>
        </is>
      </c>
      <c r="L52" s="31" t="inlineStr">
        <is>
          <t>Site 3F adds high benefit at low cost and demonstrates innovative methods for the region.</t>
        </is>
      </c>
    </row>
    <row r="53">
      <c r="A53" s="4" t="n">
        <v>4</v>
      </c>
      <c r="B53" s="6">
        <f>IFERROR(INDEX('Watershed plans'!$L$12:$L$267,MATCH(4,'Watershed plans'!$AG$12:$AG$267,0)),"")</f>
        <v/>
      </c>
      <c r="C53" s="10">
        <f>IFERROR(INDEX('Watershed plans'!$B$12:$B$267,MATCH(4,'Watershed plans'!$AG$12:$AG$267,0)),"")</f>
        <v/>
      </c>
      <c r="D53" s="21">
        <f>IFERROR(INDEX('Watershed plans'!$P$12:$P$267,MATCH(4,'Watershed plans'!$AG$12:$AG$267,0)),"")</f>
        <v/>
      </c>
      <c r="E53" s="26">
        <f>IFERROR(INDEX('Watershed plans'!$Q$12:$Q$267,MATCH(4,'Watershed plans'!$AG$12:$AG$267,0)),"")</f>
        <v/>
      </c>
      <c r="F53" s="25">
        <f>IFERROR(INDEX('Watershed plans'!$O$12:$O$267,MATCH(4,'Watershed plans'!$AG$12:$AG$267,0)),"")</f>
        <v/>
      </c>
      <c r="G53" s="26">
        <f>IFERROR(INDEX('Watershed plans'!$AE$12:$AE$267,MATCH(4,'Watershed plans'!$AG$12:$AG$267,0)),"")</f>
        <v/>
      </c>
      <c r="H53" s="21">
        <f>IF(ISNUMBER(D53),D53-D52,"")</f>
        <v/>
      </c>
      <c r="I53" s="26">
        <f>IF(ISNUMBER(E53),E53-E52,"")</f>
        <v/>
      </c>
      <c r="J53" s="26">
        <f>IF(AND(ISNUMBER(H53),H53&lt;&gt;0),I53/H53,"")</f>
        <v/>
      </c>
      <c r="K53" s="15" t="inlineStr">
        <is>
          <t>Yes</t>
        </is>
      </c>
      <c r="L53" s="31" t="inlineStr">
        <is>
          <t>Site 17B extends actions upstream and cuts sediment delivered to Sites 2A and 2B.</t>
        </is>
      </c>
    </row>
    <row r="54">
      <c r="A54" s="4" t="n">
        <v>5</v>
      </c>
      <c r="B54" s="6">
        <f>IFERROR(INDEX('Watershed plans'!$L$12:$L$267,MATCH(5,'Watershed plans'!$AG$12:$AG$267,0)),"")</f>
        <v/>
      </c>
      <c r="C54" s="10">
        <f>IFERROR(INDEX('Watershed plans'!$B$12:$B$267,MATCH(5,'Watershed plans'!$AG$12:$AG$267,0)),"")</f>
        <v/>
      </c>
      <c r="D54" s="21">
        <f>IFERROR(INDEX('Watershed plans'!$P$12:$P$267,MATCH(5,'Watershed plans'!$AG$12:$AG$267,0)),"")</f>
        <v/>
      </c>
      <c r="E54" s="26">
        <f>IFERROR(INDEX('Watershed plans'!$Q$12:$Q$267,MATCH(5,'Watershed plans'!$AG$12:$AG$267,0)),"")</f>
        <v/>
      </c>
      <c r="F54" s="25">
        <f>IFERROR(INDEX('Watershed plans'!$O$12:$O$267,MATCH(5,'Watershed plans'!$AG$12:$AG$267,0)),"")</f>
        <v/>
      </c>
      <c r="G54" s="26">
        <f>IFERROR(INDEX('Watershed plans'!$AE$12:$AE$267,MATCH(5,'Watershed plans'!$AG$12:$AG$267,0)),"")</f>
        <v/>
      </c>
      <c r="H54" s="21">
        <f>IF(ISNUMBER(D54),D54-D53,"")</f>
        <v/>
      </c>
      <c r="I54" s="26">
        <f>IF(ISNUMBER(E54),E54-E53,"")</f>
        <v/>
      </c>
      <c r="J54" s="26">
        <f>IF(AND(ISNUMBER(H54),H54&lt;&gt;0),I54/H54,"")</f>
        <v/>
      </c>
      <c r="K54" s="15" t="inlineStr">
        <is>
          <t>Yes</t>
        </is>
      </c>
      <c r="L54" s="31" t="inlineStr">
        <is>
          <t>Site 17D2E begins to address the concrete channel, a major cause of degradation.</t>
        </is>
      </c>
    </row>
    <row r="55">
      <c r="A55" s="4" t="n">
        <v>6</v>
      </c>
      <c r="B55" s="6">
        <f>IFERROR(INDEX('Watershed plans'!$L$12:$L$267,MATCH(6,'Watershed plans'!$AG$12:$AG$267,0)),"")</f>
        <v/>
      </c>
      <c r="C55" s="10">
        <f>IFERROR(INDEX('Watershed plans'!$B$12:$B$267,MATCH(6,'Watershed plans'!$AG$12:$AG$267,0)),"")</f>
        <v/>
      </c>
      <c r="D55" s="21">
        <f>IFERROR(INDEX('Watershed plans'!$P$12:$P$267,MATCH(6,'Watershed plans'!$AG$12:$AG$267,0)),"")</f>
        <v/>
      </c>
      <c r="E55" s="26">
        <f>IFERROR(INDEX('Watershed plans'!$Q$12:$Q$267,MATCH(6,'Watershed plans'!$AG$12:$AG$267,0)),"")</f>
        <v/>
      </c>
      <c r="F55" s="25">
        <f>IFERROR(INDEX('Watershed plans'!$O$12:$O$267,MATCH(6,'Watershed plans'!$AG$12:$AG$267,0)),"")</f>
        <v/>
      </c>
      <c r="G55" s="26">
        <f>IFERROR(INDEX('Watershed plans'!$AE$12:$AE$267,MATCH(6,'Watershed plans'!$AG$12:$AG$267,0)),"")</f>
        <v/>
      </c>
      <c r="H55" s="21">
        <f>IF(ISNUMBER(D55),D55-D54,"")</f>
        <v/>
      </c>
      <c r="I55" s="26">
        <f>IF(ISNUMBER(E55),E55-E54,"")</f>
        <v/>
      </c>
      <c r="J55" s="26">
        <f>IF(AND(ISNUMBER(H55),H55&lt;&gt;0),I55/H55,"")</f>
        <v/>
      </c>
      <c r="K55" s="15" t="inlineStr">
        <is>
          <t>Yes</t>
        </is>
      </c>
      <c r="L55" s="31" t="inlineStr">
        <is>
          <t>Site 17F2M addresses the largest extent of concrete channel; working with 17D2E should cut mobilization costs, and the plan has the widest coverage.</t>
        </is>
      </c>
    </row>
    <row r="56">
      <c r="A56" s="4" t="n">
        <v>7</v>
      </c>
      <c r="B56" s="6">
        <f>IFERROR(INDEX('Watershed plans'!$L$12:$L$267,MATCH(7,'Watershed plans'!$AG$12:$AG$267,0)),"")</f>
        <v/>
      </c>
      <c r="C56" s="10">
        <f>IFERROR(INDEX('Watershed plans'!$B$12:$B$267,MATCH(7,'Watershed plans'!$AG$12:$AG$267,0)),"")</f>
        <v/>
      </c>
      <c r="D56" s="21">
        <f>IFERROR(INDEX('Watershed plans'!$P$12:$P$267,MATCH(7,'Watershed plans'!$AG$12:$AG$267,0)),"")</f>
        <v/>
      </c>
      <c r="E56" s="26">
        <f>IFERROR(INDEX('Watershed plans'!$Q$12:$Q$267,MATCH(7,'Watershed plans'!$AG$12:$AG$267,0)),"")</f>
        <v/>
      </c>
      <c r="F56" s="25">
        <f>IFERROR(INDEX('Watershed plans'!$O$12:$O$267,MATCH(7,'Watershed plans'!$AG$12:$AG$267,0)),"")</f>
        <v/>
      </c>
      <c r="G56" s="26">
        <f>IFERROR(INDEX('Watershed plans'!$AE$12:$AE$267,MATCH(7,'Watershed plans'!$AG$12:$AG$267,0)),"")</f>
        <v/>
      </c>
      <c r="H56" s="21">
        <f>IF(ISNUMBER(D56),D56-D55,"")</f>
        <v/>
      </c>
      <c r="I56" s="26">
        <f>IF(ISNUMBER(E56),E56-E55,"")</f>
        <v/>
      </c>
      <c r="J56" s="26">
        <f>IF(AND(ISNUMBER(H56),H56&lt;&gt;0),I56/H56,"")</f>
        <v/>
      </c>
      <c r="K56" s="15" t="inlineStr"/>
      <c r="L56" s="31" t="inlineStr"/>
    </row>
    <row r="57">
      <c r="A57" s="4" t="n">
        <v>8</v>
      </c>
      <c r="B57" s="6">
        <f>IFERROR(INDEX('Watershed plans'!$L$12:$L$267,MATCH(8,'Watershed plans'!$AG$12:$AG$267,0)),"")</f>
        <v/>
      </c>
      <c r="C57" s="10">
        <f>IFERROR(INDEX('Watershed plans'!$B$12:$B$267,MATCH(8,'Watershed plans'!$AG$12:$AG$267,0)),"")</f>
        <v/>
      </c>
      <c r="D57" s="21">
        <f>IFERROR(INDEX('Watershed plans'!$P$12:$P$267,MATCH(8,'Watershed plans'!$AG$12:$AG$267,0)),"")</f>
        <v/>
      </c>
      <c r="E57" s="26">
        <f>IFERROR(INDEX('Watershed plans'!$Q$12:$Q$267,MATCH(8,'Watershed plans'!$AG$12:$AG$267,0)),"")</f>
        <v/>
      </c>
      <c r="F57" s="25">
        <f>IFERROR(INDEX('Watershed plans'!$O$12:$O$267,MATCH(8,'Watershed plans'!$AG$12:$AG$267,0)),"")</f>
        <v/>
      </c>
      <c r="G57" s="26">
        <f>IFERROR(INDEX('Watershed plans'!$AE$12:$AE$267,MATCH(8,'Watershed plans'!$AG$12:$AG$267,0)),"")</f>
        <v/>
      </c>
      <c r="H57" s="21">
        <f>IF(ISNUMBER(D57),D57-D56,"")</f>
        <v/>
      </c>
      <c r="I57" s="26">
        <f>IF(ISNUMBER(E57),E57-E56,"")</f>
        <v/>
      </c>
      <c r="J57" s="26">
        <f>IF(AND(ISNUMBER(H57),H57&lt;&gt;0),I57/H57,"")</f>
        <v/>
      </c>
      <c r="K57" s="15" t="inlineStr"/>
      <c r="L57" s="31" t="inlineStr"/>
    </row>
    <row r="58">
      <c r="A58" s="4" t="n">
        <v>9</v>
      </c>
      <c r="B58" s="6">
        <f>IFERROR(INDEX('Watershed plans'!$L$12:$L$267,MATCH(9,'Watershed plans'!$AG$12:$AG$267,0)),"")</f>
        <v/>
      </c>
      <c r="C58" s="10">
        <f>IFERROR(INDEX('Watershed plans'!$B$12:$B$267,MATCH(9,'Watershed plans'!$AG$12:$AG$267,0)),"")</f>
        <v/>
      </c>
      <c r="D58" s="21">
        <f>IFERROR(INDEX('Watershed plans'!$P$12:$P$267,MATCH(9,'Watershed plans'!$AG$12:$AG$267,0)),"")</f>
        <v/>
      </c>
      <c r="E58" s="26">
        <f>IFERROR(INDEX('Watershed plans'!$Q$12:$Q$267,MATCH(9,'Watershed plans'!$AG$12:$AG$267,0)),"")</f>
        <v/>
      </c>
      <c r="F58" s="25">
        <f>IFERROR(INDEX('Watershed plans'!$O$12:$O$267,MATCH(9,'Watershed plans'!$AG$12:$AG$267,0)),"")</f>
        <v/>
      </c>
      <c r="G58" s="26">
        <f>IFERROR(INDEX('Watershed plans'!$AE$12:$AE$267,MATCH(9,'Watershed plans'!$AG$12:$AG$267,0)),"")</f>
        <v/>
      </c>
      <c r="H58" s="21">
        <f>IF(ISNUMBER(D58),D58-D57,"")</f>
        <v/>
      </c>
      <c r="I58" s="26">
        <f>IF(ISNUMBER(E58),E58-E57,"")</f>
        <v/>
      </c>
      <c r="J58" s="26">
        <f>IF(AND(ISNUMBER(H58),H58&lt;&gt;0),I58/H58,"")</f>
        <v/>
      </c>
      <c r="K58" s="15" t="inlineStr"/>
      <c r="L58" s="31" t="inlineStr"/>
    </row>
    <row r="59">
      <c r="A59" s="4" t="n">
        <v>10</v>
      </c>
      <c r="B59" s="6">
        <f>IFERROR(INDEX('Watershed plans'!$L$12:$L$267,MATCH(10,'Watershed plans'!$AG$12:$AG$267,0)),"")</f>
        <v/>
      </c>
      <c r="C59" s="10">
        <f>IFERROR(INDEX('Watershed plans'!$B$12:$B$267,MATCH(10,'Watershed plans'!$AG$12:$AG$267,0)),"")</f>
        <v/>
      </c>
      <c r="D59" s="21">
        <f>IFERROR(INDEX('Watershed plans'!$P$12:$P$267,MATCH(10,'Watershed plans'!$AG$12:$AG$267,0)),"")</f>
        <v/>
      </c>
      <c r="E59" s="26">
        <f>IFERROR(INDEX('Watershed plans'!$Q$12:$Q$267,MATCH(10,'Watershed plans'!$AG$12:$AG$267,0)),"")</f>
        <v/>
      </c>
      <c r="F59" s="25">
        <f>IFERROR(INDEX('Watershed plans'!$O$12:$O$267,MATCH(10,'Watershed plans'!$AG$12:$AG$267,0)),"")</f>
        <v/>
      </c>
      <c r="G59" s="26">
        <f>IFERROR(INDEX('Watershed plans'!$AE$12:$AE$267,MATCH(10,'Watershed plans'!$AG$12:$AG$267,0)),"")</f>
        <v/>
      </c>
      <c r="H59" s="21">
        <f>IF(ISNUMBER(D59),D59-D58,"")</f>
        <v/>
      </c>
      <c r="I59" s="26">
        <f>IF(ISNUMBER(E59),E59-E58,"")</f>
        <v/>
      </c>
      <c r="J59" s="26">
        <f>IF(AND(ISNUMBER(H59),H59&lt;&gt;0),I59/H59,"")</f>
        <v/>
      </c>
      <c r="K59" s="15" t="inlineStr"/>
      <c r="L59" s="31" t="inlineStr"/>
    </row>
    <row r="60">
      <c r="A60" s="4" t="n">
        <v>11</v>
      </c>
      <c r="B60" s="6">
        <f>IFERROR(INDEX('Watershed plans'!$L$12:$L$267,MATCH(11,'Watershed plans'!$AG$12:$AG$267,0)),"")</f>
        <v/>
      </c>
      <c r="C60" s="10">
        <f>IFERROR(INDEX('Watershed plans'!$B$12:$B$267,MATCH(11,'Watershed plans'!$AG$12:$AG$267,0)),"")</f>
        <v/>
      </c>
      <c r="D60" s="21">
        <f>IFERROR(INDEX('Watershed plans'!$P$12:$P$267,MATCH(11,'Watershed plans'!$AG$12:$AG$267,0)),"")</f>
        <v/>
      </c>
      <c r="E60" s="26">
        <f>IFERROR(INDEX('Watershed plans'!$Q$12:$Q$267,MATCH(11,'Watershed plans'!$AG$12:$AG$267,0)),"")</f>
        <v/>
      </c>
      <c r="F60" s="25">
        <f>IFERROR(INDEX('Watershed plans'!$O$12:$O$267,MATCH(11,'Watershed plans'!$AG$12:$AG$267,0)),"")</f>
        <v/>
      </c>
      <c r="G60" s="26">
        <f>IFERROR(INDEX('Watershed plans'!$AE$12:$AE$267,MATCH(11,'Watershed plans'!$AG$12:$AG$267,0)),"")</f>
        <v/>
      </c>
      <c r="H60" s="21">
        <f>IF(ISNUMBER(D60),D60-D59,"")</f>
        <v/>
      </c>
      <c r="I60" s="26">
        <f>IF(ISNUMBER(E60),E60-E59,"")</f>
        <v/>
      </c>
      <c r="J60" s="26">
        <f>IF(AND(ISNUMBER(H60),H60&lt;&gt;0),I60/H60,"")</f>
        <v/>
      </c>
      <c r="K60" s="15" t="inlineStr"/>
      <c r="L60" s="31" t="inlineStr"/>
    </row>
    <row r="61">
      <c r="A61" s="4" t="n">
        <v>12</v>
      </c>
      <c r="B61" s="6">
        <f>IFERROR(INDEX('Watershed plans'!$L$12:$L$267,MATCH(12,'Watershed plans'!$AG$12:$AG$267,0)),"")</f>
        <v/>
      </c>
      <c r="C61" s="10">
        <f>IFERROR(INDEX('Watershed plans'!$B$12:$B$267,MATCH(12,'Watershed plans'!$AG$12:$AG$267,0)),"")</f>
        <v/>
      </c>
      <c r="D61" s="21">
        <f>IFERROR(INDEX('Watershed plans'!$P$12:$P$267,MATCH(12,'Watershed plans'!$AG$12:$AG$267,0)),"")</f>
        <v/>
      </c>
      <c r="E61" s="26">
        <f>IFERROR(INDEX('Watershed plans'!$Q$12:$Q$267,MATCH(12,'Watershed plans'!$AG$12:$AG$267,0)),"")</f>
        <v/>
      </c>
      <c r="F61" s="25">
        <f>IFERROR(INDEX('Watershed plans'!$O$12:$O$267,MATCH(12,'Watershed plans'!$AG$12:$AG$267,0)),"")</f>
        <v/>
      </c>
      <c r="G61" s="26">
        <f>IFERROR(INDEX('Watershed plans'!$AE$12:$AE$267,MATCH(12,'Watershed plans'!$AG$12:$AG$267,0)),"")</f>
        <v/>
      </c>
      <c r="H61" s="21">
        <f>IF(ISNUMBER(D61),D61-D60,"")</f>
        <v/>
      </c>
      <c r="I61" s="26">
        <f>IF(ISNUMBER(E61),E61-E60,"")</f>
        <v/>
      </c>
      <c r="J61" s="26">
        <f>IF(AND(ISNUMBER(H61),H61&lt;&gt;0),I61/H61,"")</f>
        <v/>
      </c>
      <c r="K61" s="15" t="inlineStr"/>
      <c r="L61" s="31" t="inlineStr"/>
    </row>
    <row r="62">
      <c r="A62" s="4" t="n">
        <v>13</v>
      </c>
      <c r="B62" s="6">
        <f>IFERROR(INDEX('Watershed plans'!$L$12:$L$267,MATCH(13,'Watershed plans'!$AG$12:$AG$267,0)),"")</f>
        <v/>
      </c>
      <c r="C62" s="10">
        <f>IFERROR(INDEX('Watershed plans'!$B$12:$B$267,MATCH(13,'Watershed plans'!$AG$12:$AG$267,0)),"")</f>
        <v/>
      </c>
      <c r="D62" s="21">
        <f>IFERROR(INDEX('Watershed plans'!$P$12:$P$267,MATCH(13,'Watershed plans'!$AG$12:$AG$267,0)),"")</f>
        <v/>
      </c>
      <c r="E62" s="26">
        <f>IFERROR(INDEX('Watershed plans'!$Q$12:$Q$267,MATCH(13,'Watershed plans'!$AG$12:$AG$267,0)),"")</f>
        <v/>
      </c>
      <c r="F62" s="25">
        <f>IFERROR(INDEX('Watershed plans'!$O$12:$O$267,MATCH(13,'Watershed plans'!$AG$12:$AG$267,0)),"")</f>
        <v/>
      </c>
      <c r="G62" s="26">
        <f>IFERROR(INDEX('Watershed plans'!$AE$12:$AE$267,MATCH(13,'Watershed plans'!$AG$12:$AG$267,0)),"")</f>
        <v/>
      </c>
      <c r="H62" s="21">
        <f>IF(ISNUMBER(D62),D62-D61,"")</f>
        <v/>
      </c>
      <c r="I62" s="26">
        <f>IF(ISNUMBER(E62),E62-E61,"")</f>
        <v/>
      </c>
      <c r="J62" s="26">
        <f>IF(AND(ISNUMBER(H62),H62&lt;&gt;0),I62/H62,"")</f>
        <v/>
      </c>
      <c r="K62" s="15" t="inlineStr"/>
      <c r="L62" s="31" t="inlineStr"/>
    </row>
    <row r="63">
      <c r="A63" s="4" t="n">
        <v>14</v>
      </c>
      <c r="B63" s="6">
        <f>IFERROR(INDEX('Watershed plans'!$L$12:$L$267,MATCH(14,'Watershed plans'!$AG$12:$AG$267,0)),"")</f>
        <v/>
      </c>
      <c r="C63" s="10">
        <f>IFERROR(INDEX('Watershed plans'!$B$12:$B$267,MATCH(14,'Watershed plans'!$AG$12:$AG$267,0)),"")</f>
        <v/>
      </c>
      <c r="D63" s="21">
        <f>IFERROR(INDEX('Watershed plans'!$P$12:$P$267,MATCH(14,'Watershed plans'!$AG$12:$AG$267,0)),"")</f>
        <v/>
      </c>
      <c r="E63" s="26">
        <f>IFERROR(INDEX('Watershed plans'!$Q$12:$Q$267,MATCH(14,'Watershed plans'!$AG$12:$AG$267,0)),"")</f>
        <v/>
      </c>
      <c r="F63" s="25">
        <f>IFERROR(INDEX('Watershed plans'!$O$12:$O$267,MATCH(14,'Watershed plans'!$AG$12:$AG$267,0)),"")</f>
        <v/>
      </c>
      <c r="G63" s="26">
        <f>IFERROR(INDEX('Watershed plans'!$AE$12:$AE$267,MATCH(14,'Watershed plans'!$AG$12:$AG$267,0)),"")</f>
        <v/>
      </c>
      <c r="H63" s="21">
        <f>IF(ISNUMBER(D63),D63-D62,"")</f>
        <v/>
      </c>
      <c r="I63" s="26">
        <f>IF(ISNUMBER(E63),E63-E62,"")</f>
        <v/>
      </c>
      <c r="J63" s="26">
        <f>IF(AND(ISNUMBER(H63),H63&lt;&gt;0),I63/H63,"")</f>
        <v/>
      </c>
      <c r="K63" s="15" t="inlineStr"/>
      <c r="L63" s="31" t="inlineStr"/>
    </row>
    <row r="64">
      <c r="A64" s="4" t="n">
        <v>15</v>
      </c>
      <c r="B64" s="6">
        <f>IFERROR(INDEX('Watershed plans'!$L$12:$L$267,MATCH(15,'Watershed plans'!$AG$12:$AG$267,0)),"")</f>
        <v/>
      </c>
      <c r="C64" s="10">
        <f>IFERROR(INDEX('Watershed plans'!$B$12:$B$267,MATCH(15,'Watershed plans'!$AG$12:$AG$267,0)),"")</f>
        <v/>
      </c>
      <c r="D64" s="21">
        <f>IFERROR(INDEX('Watershed plans'!$P$12:$P$267,MATCH(15,'Watershed plans'!$AG$12:$AG$267,0)),"")</f>
        <v/>
      </c>
      <c r="E64" s="26">
        <f>IFERROR(INDEX('Watershed plans'!$Q$12:$Q$267,MATCH(15,'Watershed plans'!$AG$12:$AG$267,0)),"")</f>
        <v/>
      </c>
      <c r="F64" s="25">
        <f>IFERROR(INDEX('Watershed plans'!$O$12:$O$267,MATCH(15,'Watershed plans'!$AG$12:$AG$267,0)),"")</f>
        <v/>
      </c>
      <c r="G64" s="26">
        <f>IFERROR(INDEX('Watershed plans'!$AE$12:$AE$267,MATCH(15,'Watershed plans'!$AG$12:$AG$267,0)),"")</f>
        <v/>
      </c>
      <c r="H64" s="21">
        <f>IF(ISNUMBER(D64),D64-D63,"")</f>
        <v/>
      </c>
      <c r="I64" s="26">
        <f>IF(ISNUMBER(E64),E64-E63,"")</f>
        <v/>
      </c>
      <c r="J64" s="26">
        <f>IF(AND(ISNUMBER(H64),H64&lt;&gt;0),I64/H64,"")</f>
        <v/>
      </c>
      <c r="K64" s="15" t="inlineStr"/>
      <c r="L64" s="31" t="inlineStr"/>
    </row>
    <row r="65">
      <c r="A65" s="4" t="n">
        <v>16</v>
      </c>
      <c r="B65" s="6">
        <f>IFERROR(INDEX('Watershed plans'!$L$12:$L$267,MATCH(16,'Watershed plans'!$AG$12:$AG$267,0)),"")</f>
        <v/>
      </c>
      <c r="C65" s="10">
        <f>IFERROR(INDEX('Watershed plans'!$B$12:$B$267,MATCH(16,'Watershed plans'!$AG$12:$AG$267,0)),"")</f>
        <v/>
      </c>
      <c r="D65" s="21">
        <f>IFERROR(INDEX('Watershed plans'!$P$12:$P$267,MATCH(16,'Watershed plans'!$AG$12:$AG$267,0)),"")</f>
        <v/>
      </c>
      <c r="E65" s="26">
        <f>IFERROR(INDEX('Watershed plans'!$Q$12:$Q$267,MATCH(16,'Watershed plans'!$AG$12:$AG$267,0)),"")</f>
        <v/>
      </c>
      <c r="F65" s="25">
        <f>IFERROR(INDEX('Watershed plans'!$O$12:$O$267,MATCH(16,'Watershed plans'!$AG$12:$AG$267,0)),"")</f>
        <v/>
      </c>
      <c r="G65" s="26">
        <f>IFERROR(INDEX('Watershed plans'!$AE$12:$AE$267,MATCH(16,'Watershed plans'!$AG$12:$AG$267,0)),"")</f>
        <v/>
      </c>
      <c r="H65" s="21">
        <f>IF(ISNUMBER(D65),D65-D64,"")</f>
        <v/>
      </c>
      <c r="I65" s="26">
        <f>IF(ISNUMBER(E65),E65-E64,"")</f>
        <v/>
      </c>
      <c r="J65" s="26">
        <f>IF(AND(ISNUMBER(H65),H65&lt;&gt;0),I65/H65,"")</f>
        <v/>
      </c>
      <c r="K65" s="15" t="inlineStr"/>
      <c r="L65" s="31" t="inlineStr"/>
    </row>
    <row r="66">
      <c r="A66" s="4" t="n">
        <v>17</v>
      </c>
      <c r="B66" s="6">
        <f>IFERROR(INDEX('Watershed plans'!$L$12:$L$267,MATCH(17,'Watershed plans'!$AG$12:$AG$267,0)),"")</f>
        <v/>
      </c>
      <c r="C66" s="10">
        <f>IFERROR(INDEX('Watershed plans'!$B$12:$B$267,MATCH(17,'Watershed plans'!$AG$12:$AG$267,0)),"")</f>
        <v/>
      </c>
      <c r="D66" s="21">
        <f>IFERROR(INDEX('Watershed plans'!$P$12:$P$267,MATCH(17,'Watershed plans'!$AG$12:$AG$267,0)),"")</f>
        <v/>
      </c>
      <c r="E66" s="26">
        <f>IFERROR(INDEX('Watershed plans'!$Q$12:$Q$267,MATCH(17,'Watershed plans'!$AG$12:$AG$267,0)),"")</f>
        <v/>
      </c>
      <c r="F66" s="25">
        <f>IFERROR(INDEX('Watershed plans'!$O$12:$O$267,MATCH(17,'Watershed plans'!$AG$12:$AG$267,0)),"")</f>
        <v/>
      </c>
      <c r="G66" s="26">
        <f>IFERROR(INDEX('Watershed plans'!$AE$12:$AE$267,MATCH(17,'Watershed plans'!$AG$12:$AG$267,0)),"")</f>
        <v/>
      </c>
      <c r="H66" s="21">
        <f>IF(ISNUMBER(D66),D66-D65,"")</f>
        <v/>
      </c>
      <c r="I66" s="26">
        <f>IF(ISNUMBER(E66),E66-E65,"")</f>
        <v/>
      </c>
      <c r="J66" s="26">
        <f>IF(AND(ISNUMBER(H66),H66&lt;&gt;0),I66/H66,"")</f>
        <v/>
      </c>
      <c r="K66" s="15" t="inlineStr"/>
      <c r="L66" s="31" t="inlineStr"/>
    </row>
    <row r="67">
      <c r="A67" s="4" t="n">
        <v>18</v>
      </c>
      <c r="B67" s="6">
        <f>IFERROR(INDEX('Watershed plans'!$L$12:$L$267,MATCH(18,'Watershed plans'!$AG$12:$AG$267,0)),"")</f>
        <v/>
      </c>
      <c r="C67" s="10">
        <f>IFERROR(INDEX('Watershed plans'!$B$12:$B$267,MATCH(18,'Watershed plans'!$AG$12:$AG$267,0)),"")</f>
        <v/>
      </c>
      <c r="D67" s="21">
        <f>IFERROR(INDEX('Watershed plans'!$P$12:$P$267,MATCH(18,'Watershed plans'!$AG$12:$AG$267,0)),"")</f>
        <v/>
      </c>
      <c r="E67" s="26">
        <f>IFERROR(INDEX('Watershed plans'!$Q$12:$Q$267,MATCH(18,'Watershed plans'!$AG$12:$AG$267,0)),"")</f>
        <v/>
      </c>
      <c r="F67" s="25">
        <f>IFERROR(INDEX('Watershed plans'!$O$12:$O$267,MATCH(18,'Watershed plans'!$AG$12:$AG$267,0)),"")</f>
        <v/>
      </c>
      <c r="G67" s="26">
        <f>IFERROR(INDEX('Watershed plans'!$AE$12:$AE$267,MATCH(18,'Watershed plans'!$AG$12:$AG$267,0)),"")</f>
        <v/>
      </c>
      <c r="H67" s="21">
        <f>IF(ISNUMBER(D67),D67-D66,"")</f>
        <v/>
      </c>
      <c r="I67" s="26">
        <f>IF(ISNUMBER(E67),E67-E66,"")</f>
        <v/>
      </c>
      <c r="J67" s="26">
        <f>IF(AND(ISNUMBER(H67),H67&lt;&gt;0),I67/H67,"")</f>
        <v/>
      </c>
      <c r="K67" s="15" t="inlineStr"/>
      <c r="L67" s="31" t="inlineStr"/>
    </row>
    <row r="68">
      <c r="A68" s="4" t="n">
        <v>19</v>
      </c>
      <c r="B68" s="6">
        <f>IFERROR(INDEX('Watershed plans'!$L$12:$L$267,MATCH(19,'Watershed plans'!$AG$12:$AG$267,0)),"")</f>
        <v/>
      </c>
      <c r="C68" s="10">
        <f>IFERROR(INDEX('Watershed plans'!$B$12:$B$267,MATCH(19,'Watershed plans'!$AG$12:$AG$267,0)),"")</f>
        <v/>
      </c>
      <c r="D68" s="21">
        <f>IFERROR(INDEX('Watershed plans'!$P$12:$P$267,MATCH(19,'Watershed plans'!$AG$12:$AG$267,0)),"")</f>
        <v/>
      </c>
      <c r="E68" s="26">
        <f>IFERROR(INDEX('Watershed plans'!$Q$12:$Q$267,MATCH(19,'Watershed plans'!$AG$12:$AG$267,0)),"")</f>
        <v/>
      </c>
      <c r="F68" s="25">
        <f>IFERROR(INDEX('Watershed plans'!$O$12:$O$267,MATCH(19,'Watershed plans'!$AG$12:$AG$267,0)),"")</f>
        <v/>
      </c>
      <c r="G68" s="26">
        <f>IFERROR(INDEX('Watershed plans'!$AE$12:$AE$267,MATCH(19,'Watershed plans'!$AG$12:$AG$267,0)),"")</f>
        <v/>
      </c>
      <c r="H68" s="21">
        <f>IF(ISNUMBER(D68),D68-D67,"")</f>
        <v/>
      </c>
      <c r="I68" s="26">
        <f>IF(ISNUMBER(E68),E68-E67,"")</f>
        <v/>
      </c>
      <c r="J68" s="26">
        <f>IF(AND(ISNUMBER(H68),H68&lt;&gt;0),I68/H68,"")</f>
        <v/>
      </c>
      <c r="K68" s="15" t="inlineStr"/>
      <c r="L68" s="31" t="inlineStr"/>
    </row>
    <row r="69">
      <c r="A69" s="4" t="n">
        <v>20</v>
      </c>
      <c r="B69" s="6">
        <f>IFERROR(INDEX('Watershed plans'!$L$12:$L$267,MATCH(20,'Watershed plans'!$AG$12:$AG$267,0)),"")</f>
        <v/>
      </c>
      <c r="C69" s="10">
        <f>IFERROR(INDEX('Watershed plans'!$B$12:$B$267,MATCH(20,'Watershed plans'!$AG$12:$AG$267,0)),"")</f>
        <v/>
      </c>
      <c r="D69" s="21">
        <f>IFERROR(INDEX('Watershed plans'!$P$12:$P$267,MATCH(20,'Watershed plans'!$AG$12:$AG$267,0)),"")</f>
        <v/>
      </c>
      <c r="E69" s="26">
        <f>IFERROR(INDEX('Watershed plans'!$Q$12:$Q$267,MATCH(20,'Watershed plans'!$AG$12:$AG$267,0)),"")</f>
        <v/>
      </c>
      <c r="F69" s="25">
        <f>IFERROR(INDEX('Watershed plans'!$O$12:$O$267,MATCH(20,'Watershed plans'!$AG$12:$AG$267,0)),"")</f>
        <v/>
      </c>
      <c r="G69" s="26">
        <f>IFERROR(INDEX('Watershed plans'!$AE$12:$AE$267,MATCH(20,'Watershed plans'!$AG$12:$AG$267,0)),"")</f>
        <v/>
      </c>
      <c r="H69" s="21">
        <f>IF(ISNUMBER(D69),D69-D68,"")</f>
        <v/>
      </c>
      <c r="I69" s="26">
        <f>IF(ISNUMBER(E69),E69-E68,"")</f>
        <v/>
      </c>
      <c r="J69" s="26">
        <f>IF(AND(ISNUMBER(H69),H69&lt;&gt;0),I69/H69,"")</f>
        <v/>
      </c>
      <c r="K69" s="15" t="inlineStr"/>
      <c r="L69" s="31" t="inlineStr"/>
    </row>
    <row r="70">
      <c r="A70" s="4" t="n">
        <v>21</v>
      </c>
      <c r="B70" s="6">
        <f>IFERROR(INDEX('Watershed plans'!$L$12:$L$267,MATCH(21,'Watershed plans'!$AG$12:$AG$267,0)),"")</f>
        <v/>
      </c>
      <c r="C70" s="10">
        <f>IFERROR(INDEX('Watershed plans'!$B$12:$B$267,MATCH(21,'Watershed plans'!$AG$12:$AG$267,0)),"")</f>
        <v/>
      </c>
      <c r="D70" s="21">
        <f>IFERROR(INDEX('Watershed plans'!$P$12:$P$267,MATCH(21,'Watershed plans'!$AG$12:$AG$267,0)),"")</f>
        <v/>
      </c>
      <c r="E70" s="26">
        <f>IFERROR(INDEX('Watershed plans'!$Q$12:$Q$267,MATCH(21,'Watershed plans'!$AG$12:$AG$267,0)),"")</f>
        <v/>
      </c>
      <c r="F70" s="25">
        <f>IFERROR(INDEX('Watershed plans'!$O$12:$O$267,MATCH(21,'Watershed plans'!$AG$12:$AG$267,0)),"")</f>
        <v/>
      </c>
      <c r="G70" s="26">
        <f>IFERROR(INDEX('Watershed plans'!$AE$12:$AE$267,MATCH(21,'Watershed plans'!$AG$12:$AG$267,0)),"")</f>
        <v/>
      </c>
      <c r="H70" s="21">
        <f>IF(ISNUMBER(D70),D70-D69,"")</f>
        <v/>
      </c>
      <c r="I70" s="26">
        <f>IF(ISNUMBER(E70),E70-E69,"")</f>
        <v/>
      </c>
      <c r="J70" s="26">
        <f>IF(AND(ISNUMBER(H70),H70&lt;&gt;0),I70/H70,"")</f>
        <v/>
      </c>
      <c r="K70" s="15" t="inlineStr"/>
      <c r="L70" s="31" t="inlineStr"/>
    </row>
    <row r="71">
      <c r="A71" s="4" t="n">
        <v>22</v>
      </c>
      <c r="B71" s="6">
        <f>IFERROR(INDEX('Watershed plans'!$L$12:$L$267,MATCH(22,'Watershed plans'!$AG$12:$AG$267,0)),"")</f>
        <v/>
      </c>
      <c r="C71" s="10">
        <f>IFERROR(INDEX('Watershed plans'!$B$12:$B$267,MATCH(22,'Watershed plans'!$AG$12:$AG$267,0)),"")</f>
        <v/>
      </c>
      <c r="D71" s="21">
        <f>IFERROR(INDEX('Watershed plans'!$P$12:$P$267,MATCH(22,'Watershed plans'!$AG$12:$AG$267,0)),"")</f>
        <v/>
      </c>
      <c r="E71" s="26">
        <f>IFERROR(INDEX('Watershed plans'!$Q$12:$Q$267,MATCH(22,'Watershed plans'!$AG$12:$AG$267,0)),"")</f>
        <v/>
      </c>
      <c r="F71" s="25">
        <f>IFERROR(INDEX('Watershed plans'!$O$12:$O$267,MATCH(22,'Watershed plans'!$AG$12:$AG$267,0)),"")</f>
        <v/>
      </c>
      <c r="G71" s="26">
        <f>IFERROR(INDEX('Watershed plans'!$AE$12:$AE$267,MATCH(22,'Watershed plans'!$AG$12:$AG$267,0)),"")</f>
        <v/>
      </c>
      <c r="H71" s="21">
        <f>IF(ISNUMBER(D71),D71-D70,"")</f>
        <v/>
      </c>
      <c r="I71" s="26">
        <f>IF(ISNUMBER(E71),E71-E70,"")</f>
        <v/>
      </c>
      <c r="J71" s="26">
        <f>IF(AND(ISNUMBER(H71),H71&lt;&gt;0),I71/H71,"")</f>
        <v/>
      </c>
      <c r="K71" s="15" t="inlineStr"/>
      <c r="L71" s="31" t="inlineStr"/>
    </row>
    <row r="72">
      <c r="A72" s="4" t="n">
        <v>23</v>
      </c>
      <c r="B72" s="6">
        <f>IFERROR(INDEX('Watershed plans'!$L$12:$L$267,MATCH(23,'Watershed plans'!$AG$12:$AG$267,0)),"")</f>
        <v/>
      </c>
      <c r="C72" s="10">
        <f>IFERROR(INDEX('Watershed plans'!$B$12:$B$267,MATCH(23,'Watershed plans'!$AG$12:$AG$267,0)),"")</f>
        <v/>
      </c>
      <c r="D72" s="21">
        <f>IFERROR(INDEX('Watershed plans'!$P$12:$P$267,MATCH(23,'Watershed plans'!$AG$12:$AG$267,0)),"")</f>
        <v/>
      </c>
      <c r="E72" s="26">
        <f>IFERROR(INDEX('Watershed plans'!$Q$12:$Q$267,MATCH(23,'Watershed plans'!$AG$12:$AG$267,0)),"")</f>
        <v/>
      </c>
      <c r="F72" s="25">
        <f>IFERROR(INDEX('Watershed plans'!$O$12:$O$267,MATCH(23,'Watershed plans'!$AG$12:$AG$267,0)),"")</f>
        <v/>
      </c>
      <c r="G72" s="26">
        <f>IFERROR(INDEX('Watershed plans'!$AE$12:$AE$267,MATCH(23,'Watershed plans'!$AG$12:$AG$267,0)),"")</f>
        <v/>
      </c>
      <c r="H72" s="21">
        <f>IF(ISNUMBER(D72),D72-D71,"")</f>
        <v/>
      </c>
      <c r="I72" s="26">
        <f>IF(ISNUMBER(E72),E72-E71,"")</f>
        <v/>
      </c>
      <c r="J72" s="26">
        <f>IF(AND(ISNUMBER(H72),H72&lt;&gt;0),I72/H72,"")</f>
        <v/>
      </c>
      <c r="K72" s="15" t="inlineStr"/>
      <c r="L72" s="31" t="inlineStr"/>
    </row>
    <row r="73">
      <c r="A73" s="4" t="n">
        <v>24</v>
      </c>
      <c r="B73" s="6">
        <f>IFERROR(INDEX('Watershed plans'!$L$12:$L$267,MATCH(24,'Watershed plans'!$AG$12:$AG$267,0)),"")</f>
        <v/>
      </c>
      <c r="C73" s="10">
        <f>IFERROR(INDEX('Watershed plans'!$B$12:$B$267,MATCH(24,'Watershed plans'!$AG$12:$AG$267,0)),"")</f>
        <v/>
      </c>
      <c r="D73" s="21">
        <f>IFERROR(INDEX('Watershed plans'!$P$12:$P$267,MATCH(24,'Watershed plans'!$AG$12:$AG$267,0)),"")</f>
        <v/>
      </c>
      <c r="E73" s="26">
        <f>IFERROR(INDEX('Watershed plans'!$Q$12:$Q$267,MATCH(24,'Watershed plans'!$AG$12:$AG$267,0)),"")</f>
        <v/>
      </c>
      <c r="F73" s="25">
        <f>IFERROR(INDEX('Watershed plans'!$O$12:$O$267,MATCH(24,'Watershed plans'!$AG$12:$AG$267,0)),"")</f>
        <v/>
      </c>
      <c r="G73" s="26">
        <f>IFERROR(INDEX('Watershed plans'!$AE$12:$AE$267,MATCH(24,'Watershed plans'!$AG$12:$AG$267,0)),"")</f>
        <v/>
      </c>
      <c r="H73" s="21">
        <f>IF(ISNUMBER(D73),D73-D72,"")</f>
        <v/>
      </c>
      <c r="I73" s="26">
        <f>IF(ISNUMBER(E73),E73-E72,"")</f>
        <v/>
      </c>
      <c r="J73" s="26">
        <f>IF(AND(ISNUMBER(H73),H73&lt;&gt;0),I73/H73,"")</f>
        <v/>
      </c>
      <c r="K73" s="15" t="inlineStr"/>
      <c r="L73" s="31" t="inlineStr"/>
    </row>
    <row r="74">
      <c r="A74" s="4" t="n">
        <v>25</v>
      </c>
      <c r="B74" s="6">
        <f>IFERROR(INDEX('Watershed plans'!$L$12:$L$267,MATCH(25,'Watershed plans'!$AG$12:$AG$267,0)),"")</f>
        <v/>
      </c>
      <c r="C74" s="10">
        <f>IFERROR(INDEX('Watershed plans'!$B$12:$B$267,MATCH(25,'Watershed plans'!$AG$12:$AG$267,0)),"")</f>
        <v/>
      </c>
      <c r="D74" s="21">
        <f>IFERROR(INDEX('Watershed plans'!$P$12:$P$267,MATCH(25,'Watershed plans'!$AG$12:$AG$267,0)),"")</f>
        <v/>
      </c>
      <c r="E74" s="26">
        <f>IFERROR(INDEX('Watershed plans'!$Q$12:$Q$267,MATCH(25,'Watershed plans'!$AG$12:$AG$267,0)),"")</f>
        <v/>
      </c>
      <c r="F74" s="25">
        <f>IFERROR(INDEX('Watershed plans'!$O$12:$O$267,MATCH(25,'Watershed plans'!$AG$12:$AG$267,0)),"")</f>
        <v/>
      </c>
      <c r="G74" s="26">
        <f>IFERROR(INDEX('Watershed plans'!$AE$12:$AE$267,MATCH(25,'Watershed plans'!$AG$12:$AG$267,0)),"")</f>
        <v/>
      </c>
      <c r="H74" s="21">
        <f>IF(ISNUMBER(D74),D74-D73,"")</f>
        <v/>
      </c>
      <c r="I74" s="26">
        <f>IF(ISNUMBER(E74),E74-E73,"")</f>
        <v/>
      </c>
      <c r="J74" s="26">
        <f>IF(AND(ISNUMBER(H74),H74&lt;&gt;0),I74/H74,"")</f>
        <v/>
      </c>
      <c r="K74" s="15" t="inlineStr"/>
      <c r="L74" s="31" t="inlineStr"/>
    </row>
    <row r="75">
      <c r="A75" s="4" t="n">
        <v>26</v>
      </c>
      <c r="B75" s="6">
        <f>IFERROR(INDEX('Watershed plans'!$L$12:$L$267,MATCH(26,'Watershed plans'!$AG$12:$AG$267,0)),"")</f>
        <v/>
      </c>
      <c r="C75" s="10">
        <f>IFERROR(INDEX('Watershed plans'!$B$12:$B$267,MATCH(26,'Watershed plans'!$AG$12:$AG$267,0)),"")</f>
        <v/>
      </c>
      <c r="D75" s="21">
        <f>IFERROR(INDEX('Watershed plans'!$P$12:$P$267,MATCH(26,'Watershed plans'!$AG$12:$AG$267,0)),"")</f>
        <v/>
      </c>
      <c r="E75" s="26">
        <f>IFERROR(INDEX('Watershed plans'!$Q$12:$Q$267,MATCH(26,'Watershed plans'!$AG$12:$AG$267,0)),"")</f>
        <v/>
      </c>
      <c r="F75" s="25">
        <f>IFERROR(INDEX('Watershed plans'!$O$12:$O$267,MATCH(26,'Watershed plans'!$AG$12:$AG$267,0)),"")</f>
        <v/>
      </c>
      <c r="G75" s="26">
        <f>IFERROR(INDEX('Watershed plans'!$AE$12:$AE$267,MATCH(26,'Watershed plans'!$AG$12:$AG$267,0)),"")</f>
        <v/>
      </c>
      <c r="H75" s="21">
        <f>IF(ISNUMBER(D75),D75-D74,"")</f>
        <v/>
      </c>
      <c r="I75" s="26">
        <f>IF(ISNUMBER(E75),E75-E74,"")</f>
        <v/>
      </c>
      <c r="J75" s="26">
        <f>IF(AND(ISNUMBER(H75),H75&lt;&gt;0),I75/H75,"")</f>
        <v/>
      </c>
      <c r="K75" s="15" t="inlineStr"/>
      <c r="L75" s="31" t="inlineStr"/>
    </row>
    <row r="76">
      <c r="A76" s="4" t="n">
        <v>27</v>
      </c>
      <c r="B76" s="6">
        <f>IFERROR(INDEX('Watershed plans'!$L$12:$L$267,MATCH(27,'Watershed plans'!$AG$12:$AG$267,0)),"")</f>
        <v/>
      </c>
      <c r="C76" s="10">
        <f>IFERROR(INDEX('Watershed plans'!$B$12:$B$267,MATCH(27,'Watershed plans'!$AG$12:$AG$267,0)),"")</f>
        <v/>
      </c>
      <c r="D76" s="21">
        <f>IFERROR(INDEX('Watershed plans'!$P$12:$P$267,MATCH(27,'Watershed plans'!$AG$12:$AG$267,0)),"")</f>
        <v/>
      </c>
      <c r="E76" s="26">
        <f>IFERROR(INDEX('Watershed plans'!$Q$12:$Q$267,MATCH(27,'Watershed plans'!$AG$12:$AG$267,0)),"")</f>
        <v/>
      </c>
      <c r="F76" s="25">
        <f>IFERROR(INDEX('Watershed plans'!$O$12:$O$267,MATCH(27,'Watershed plans'!$AG$12:$AG$267,0)),"")</f>
        <v/>
      </c>
      <c r="G76" s="26">
        <f>IFERROR(INDEX('Watershed plans'!$AE$12:$AE$267,MATCH(27,'Watershed plans'!$AG$12:$AG$267,0)),"")</f>
        <v/>
      </c>
      <c r="H76" s="21">
        <f>IF(ISNUMBER(D76),D76-D75,"")</f>
        <v/>
      </c>
      <c r="I76" s="26">
        <f>IF(ISNUMBER(E76),E76-E75,"")</f>
        <v/>
      </c>
      <c r="J76" s="26">
        <f>IF(AND(ISNUMBER(H76),H76&lt;&gt;0),I76/H76,"")</f>
        <v/>
      </c>
      <c r="K76" s="15" t="inlineStr"/>
      <c r="L76" s="31" t="inlineStr"/>
    </row>
    <row r="77">
      <c r="A77" s="4" t="n">
        <v>28</v>
      </c>
      <c r="B77" s="6">
        <f>IFERROR(INDEX('Watershed plans'!$L$12:$L$267,MATCH(28,'Watershed plans'!$AG$12:$AG$267,0)),"")</f>
        <v/>
      </c>
      <c r="C77" s="10">
        <f>IFERROR(INDEX('Watershed plans'!$B$12:$B$267,MATCH(28,'Watershed plans'!$AG$12:$AG$267,0)),"")</f>
        <v/>
      </c>
      <c r="D77" s="21">
        <f>IFERROR(INDEX('Watershed plans'!$P$12:$P$267,MATCH(28,'Watershed plans'!$AG$12:$AG$267,0)),"")</f>
        <v/>
      </c>
      <c r="E77" s="26">
        <f>IFERROR(INDEX('Watershed plans'!$Q$12:$Q$267,MATCH(28,'Watershed plans'!$AG$12:$AG$267,0)),"")</f>
        <v/>
      </c>
      <c r="F77" s="25">
        <f>IFERROR(INDEX('Watershed plans'!$O$12:$O$267,MATCH(28,'Watershed plans'!$AG$12:$AG$267,0)),"")</f>
        <v/>
      </c>
      <c r="G77" s="26">
        <f>IFERROR(INDEX('Watershed plans'!$AE$12:$AE$267,MATCH(28,'Watershed plans'!$AG$12:$AG$267,0)),"")</f>
        <v/>
      </c>
      <c r="H77" s="21">
        <f>IF(ISNUMBER(D77),D77-D76,"")</f>
        <v/>
      </c>
      <c r="I77" s="26">
        <f>IF(ISNUMBER(E77),E77-E76,"")</f>
        <v/>
      </c>
      <c r="J77" s="26">
        <f>IF(AND(ISNUMBER(H77),H77&lt;&gt;0),I77/H77,"")</f>
        <v/>
      </c>
      <c r="K77" s="15" t="inlineStr"/>
      <c r="L77" s="31" t="inlineStr"/>
    </row>
    <row r="78">
      <c r="A78" s="4" t="n">
        <v>29</v>
      </c>
      <c r="B78" s="6">
        <f>IFERROR(INDEX('Watershed plans'!$L$12:$L$267,MATCH(29,'Watershed plans'!$AG$12:$AG$267,0)),"")</f>
        <v/>
      </c>
      <c r="C78" s="10">
        <f>IFERROR(INDEX('Watershed plans'!$B$12:$B$267,MATCH(29,'Watershed plans'!$AG$12:$AG$267,0)),"")</f>
        <v/>
      </c>
      <c r="D78" s="21">
        <f>IFERROR(INDEX('Watershed plans'!$P$12:$P$267,MATCH(29,'Watershed plans'!$AG$12:$AG$267,0)),"")</f>
        <v/>
      </c>
      <c r="E78" s="26">
        <f>IFERROR(INDEX('Watershed plans'!$Q$12:$Q$267,MATCH(29,'Watershed plans'!$AG$12:$AG$267,0)),"")</f>
        <v/>
      </c>
      <c r="F78" s="25">
        <f>IFERROR(INDEX('Watershed plans'!$O$12:$O$267,MATCH(29,'Watershed plans'!$AG$12:$AG$267,0)),"")</f>
        <v/>
      </c>
      <c r="G78" s="26">
        <f>IFERROR(INDEX('Watershed plans'!$AE$12:$AE$267,MATCH(29,'Watershed plans'!$AG$12:$AG$267,0)),"")</f>
        <v/>
      </c>
      <c r="H78" s="21">
        <f>IF(ISNUMBER(D78),D78-D77,"")</f>
        <v/>
      </c>
      <c r="I78" s="26">
        <f>IF(ISNUMBER(E78),E78-E77,"")</f>
        <v/>
      </c>
      <c r="J78" s="26">
        <f>IF(AND(ISNUMBER(H78),H78&lt;&gt;0),I78/H78,"")</f>
        <v/>
      </c>
      <c r="K78" s="15" t="inlineStr"/>
      <c r="L78" s="31" t="inlineStr"/>
    </row>
    <row r="79">
      <c r="A79" s="4" t="n">
        <v>30</v>
      </c>
      <c r="B79" s="6">
        <f>IFERROR(INDEX('Watershed plans'!$L$12:$L$267,MATCH(30,'Watershed plans'!$AG$12:$AG$267,0)),"")</f>
        <v/>
      </c>
      <c r="C79" s="10">
        <f>IFERROR(INDEX('Watershed plans'!$B$12:$B$267,MATCH(30,'Watershed plans'!$AG$12:$AG$267,0)),"")</f>
        <v/>
      </c>
      <c r="D79" s="21">
        <f>IFERROR(INDEX('Watershed plans'!$P$12:$P$267,MATCH(30,'Watershed plans'!$AG$12:$AG$267,0)),"")</f>
        <v/>
      </c>
      <c r="E79" s="26">
        <f>IFERROR(INDEX('Watershed plans'!$Q$12:$Q$267,MATCH(30,'Watershed plans'!$AG$12:$AG$267,0)),"")</f>
        <v/>
      </c>
      <c r="F79" s="25">
        <f>IFERROR(INDEX('Watershed plans'!$O$12:$O$267,MATCH(30,'Watershed plans'!$AG$12:$AG$267,0)),"")</f>
        <v/>
      </c>
      <c r="G79" s="26">
        <f>IFERROR(INDEX('Watershed plans'!$AE$12:$AE$267,MATCH(30,'Watershed plans'!$AG$12:$AG$267,0)),"")</f>
        <v/>
      </c>
      <c r="H79" s="21">
        <f>IF(ISNUMBER(D79),D79-D78,"")</f>
        <v/>
      </c>
      <c r="I79" s="26">
        <f>IF(ISNUMBER(E79),E79-E78,"")</f>
        <v/>
      </c>
      <c r="J79" s="26">
        <f>IF(AND(ISNUMBER(H79),H79&lt;&gt;0),I79/H79,"")</f>
        <v/>
      </c>
      <c r="K79" s="15" t="inlineStr"/>
      <c r="L79" s="31" t="inlineStr"/>
    </row>
    <row r="80">
      <c r="A80" s="4" t="n">
        <v>31</v>
      </c>
      <c r="B80" s="6">
        <f>IFERROR(INDEX('Watershed plans'!$L$12:$L$267,MATCH(31,'Watershed plans'!$AG$12:$AG$267,0)),"")</f>
        <v/>
      </c>
      <c r="C80" s="10">
        <f>IFERROR(INDEX('Watershed plans'!$B$12:$B$267,MATCH(31,'Watershed plans'!$AG$12:$AG$267,0)),"")</f>
        <v/>
      </c>
      <c r="D80" s="21">
        <f>IFERROR(INDEX('Watershed plans'!$P$12:$P$267,MATCH(31,'Watershed plans'!$AG$12:$AG$267,0)),"")</f>
        <v/>
      </c>
      <c r="E80" s="26">
        <f>IFERROR(INDEX('Watershed plans'!$Q$12:$Q$267,MATCH(31,'Watershed plans'!$AG$12:$AG$267,0)),"")</f>
        <v/>
      </c>
      <c r="F80" s="25">
        <f>IFERROR(INDEX('Watershed plans'!$O$12:$O$267,MATCH(31,'Watershed plans'!$AG$12:$AG$267,0)),"")</f>
        <v/>
      </c>
      <c r="G80" s="26">
        <f>IFERROR(INDEX('Watershed plans'!$AE$12:$AE$267,MATCH(31,'Watershed plans'!$AG$12:$AG$267,0)),"")</f>
        <v/>
      </c>
      <c r="H80" s="21">
        <f>IF(ISNUMBER(D80),D80-D79,"")</f>
        <v/>
      </c>
      <c r="I80" s="26">
        <f>IF(ISNUMBER(E80),E80-E79,"")</f>
        <v/>
      </c>
      <c r="J80" s="26">
        <f>IF(AND(ISNUMBER(H80),H80&lt;&gt;0),I80/H80,"")</f>
        <v/>
      </c>
      <c r="K80" s="15" t="inlineStr"/>
      <c r="L80" s="31" t="inlineStr"/>
    </row>
    <row r="81">
      <c r="A81" s="4" t="n">
        <v>32</v>
      </c>
      <c r="B81" s="6">
        <f>IFERROR(INDEX('Watershed plans'!$L$12:$L$267,MATCH(32,'Watershed plans'!$AG$12:$AG$267,0)),"")</f>
        <v/>
      </c>
      <c r="C81" s="10">
        <f>IFERROR(INDEX('Watershed plans'!$B$12:$B$267,MATCH(32,'Watershed plans'!$AG$12:$AG$267,0)),"")</f>
        <v/>
      </c>
      <c r="D81" s="21">
        <f>IFERROR(INDEX('Watershed plans'!$P$12:$P$267,MATCH(32,'Watershed plans'!$AG$12:$AG$267,0)),"")</f>
        <v/>
      </c>
      <c r="E81" s="26">
        <f>IFERROR(INDEX('Watershed plans'!$Q$12:$Q$267,MATCH(32,'Watershed plans'!$AG$12:$AG$267,0)),"")</f>
        <v/>
      </c>
      <c r="F81" s="25">
        <f>IFERROR(INDEX('Watershed plans'!$O$12:$O$267,MATCH(32,'Watershed plans'!$AG$12:$AG$267,0)),"")</f>
        <v/>
      </c>
      <c r="G81" s="26">
        <f>IFERROR(INDEX('Watershed plans'!$AE$12:$AE$267,MATCH(32,'Watershed plans'!$AG$12:$AG$267,0)),"")</f>
        <v/>
      </c>
      <c r="H81" s="21">
        <f>IF(ISNUMBER(D81),D81-D80,"")</f>
        <v/>
      </c>
      <c r="I81" s="26">
        <f>IF(ISNUMBER(E81),E81-E80,"")</f>
        <v/>
      </c>
      <c r="J81" s="26">
        <f>IF(AND(ISNUMBER(H81),H81&lt;&gt;0),I81/H81,"")</f>
        <v/>
      </c>
      <c r="K81" s="15" t="inlineStr"/>
      <c r="L81" s="31" t="inlineStr"/>
    </row>
    <row r="82">
      <c r="A82" s="4" t="n">
        <v>33</v>
      </c>
      <c r="B82" s="6">
        <f>IFERROR(INDEX('Watershed plans'!$L$12:$L$267,MATCH(33,'Watershed plans'!$AG$12:$AG$267,0)),"")</f>
        <v/>
      </c>
      <c r="C82" s="10">
        <f>IFERROR(INDEX('Watershed plans'!$B$12:$B$267,MATCH(33,'Watershed plans'!$AG$12:$AG$267,0)),"")</f>
        <v/>
      </c>
      <c r="D82" s="21">
        <f>IFERROR(INDEX('Watershed plans'!$P$12:$P$267,MATCH(33,'Watershed plans'!$AG$12:$AG$267,0)),"")</f>
        <v/>
      </c>
      <c r="E82" s="26">
        <f>IFERROR(INDEX('Watershed plans'!$Q$12:$Q$267,MATCH(33,'Watershed plans'!$AG$12:$AG$267,0)),"")</f>
        <v/>
      </c>
      <c r="F82" s="25">
        <f>IFERROR(INDEX('Watershed plans'!$O$12:$O$267,MATCH(33,'Watershed plans'!$AG$12:$AG$267,0)),"")</f>
        <v/>
      </c>
      <c r="G82" s="26">
        <f>IFERROR(INDEX('Watershed plans'!$AE$12:$AE$267,MATCH(33,'Watershed plans'!$AG$12:$AG$267,0)),"")</f>
        <v/>
      </c>
      <c r="H82" s="21">
        <f>IF(ISNUMBER(D82),D82-D81,"")</f>
        <v/>
      </c>
      <c r="I82" s="26">
        <f>IF(ISNUMBER(E82),E82-E81,"")</f>
        <v/>
      </c>
      <c r="J82" s="26">
        <f>IF(AND(ISNUMBER(H82),H82&lt;&gt;0),I82/H82,"")</f>
        <v/>
      </c>
      <c r="K82" s="15" t="inlineStr"/>
      <c r="L82" s="31" t="inlineStr"/>
    </row>
    <row r="83">
      <c r="A83" s="4" t="n">
        <v>34</v>
      </c>
      <c r="B83" s="6">
        <f>IFERROR(INDEX('Watershed plans'!$L$12:$L$267,MATCH(34,'Watershed plans'!$AG$12:$AG$267,0)),"")</f>
        <v/>
      </c>
      <c r="C83" s="10">
        <f>IFERROR(INDEX('Watershed plans'!$B$12:$B$267,MATCH(34,'Watershed plans'!$AG$12:$AG$267,0)),"")</f>
        <v/>
      </c>
      <c r="D83" s="21">
        <f>IFERROR(INDEX('Watershed plans'!$P$12:$P$267,MATCH(34,'Watershed plans'!$AG$12:$AG$267,0)),"")</f>
        <v/>
      </c>
      <c r="E83" s="26">
        <f>IFERROR(INDEX('Watershed plans'!$Q$12:$Q$267,MATCH(34,'Watershed plans'!$AG$12:$AG$267,0)),"")</f>
        <v/>
      </c>
      <c r="F83" s="25">
        <f>IFERROR(INDEX('Watershed plans'!$O$12:$O$267,MATCH(34,'Watershed plans'!$AG$12:$AG$267,0)),"")</f>
        <v/>
      </c>
      <c r="G83" s="26">
        <f>IFERROR(INDEX('Watershed plans'!$AE$12:$AE$267,MATCH(34,'Watershed plans'!$AG$12:$AG$267,0)),"")</f>
        <v/>
      </c>
      <c r="H83" s="21">
        <f>IF(ISNUMBER(D83),D83-D82,"")</f>
        <v/>
      </c>
      <c r="I83" s="26">
        <f>IF(ISNUMBER(E83),E83-E82,"")</f>
        <v/>
      </c>
      <c r="J83" s="26">
        <f>IF(AND(ISNUMBER(H83),H83&lt;&gt;0),I83/H83,"")</f>
        <v/>
      </c>
      <c r="K83" s="15" t="inlineStr"/>
      <c r="L83" s="31" t="inlineStr"/>
    </row>
    <row r="84">
      <c r="A84" s="4" t="n">
        <v>35</v>
      </c>
      <c r="B84" s="6">
        <f>IFERROR(INDEX('Watershed plans'!$L$12:$L$267,MATCH(35,'Watershed plans'!$AG$12:$AG$267,0)),"")</f>
        <v/>
      </c>
      <c r="C84" s="10">
        <f>IFERROR(INDEX('Watershed plans'!$B$12:$B$267,MATCH(35,'Watershed plans'!$AG$12:$AG$267,0)),"")</f>
        <v/>
      </c>
      <c r="D84" s="21">
        <f>IFERROR(INDEX('Watershed plans'!$P$12:$P$267,MATCH(35,'Watershed plans'!$AG$12:$AG$267,0)),"")</f>
        <v/>
      </c>
      <c r="E84" s="26">
        <f>IFERROR(INDEX('Watershed plans'!$Q$12:$Q$267,MATCH(35,'Watershed plans'!$AG$12:$AG$267,0)),"")</f>
        <v/>
      </c>
      <c r="F84" s="25">
        <f>IFERROR(INDEX('Watershed plans'!$O$12:$O$267,MATCH(35,'Watershed plans'!$AG$12:$AG$267,0)),"")</f>
        <v/>
      </c>
      <c r="G84" s="26">
        <f>IFERROR(INDEX('Watershed plans'!$AE$12:$AE$267,MATCH(35,'Watershed plans'!$AG$12:$AG$267,0)),"")</f>
        <v/>
      </c>
      <c r="H84" s="21">
        <f>IF(ISNUMBER(D84),D84-D83,"")</f>
        <v/>
      </c>
      <c r="I84" s="26">
        <f>IF(ISNUMBER(E84),E84-E83,"")</f>
        <v/>
      </c>
      <c r="J84" s="26">
        <f>IF(AND(ISNUMBER(H84),H84&lt;&gt;0),I84/H84,"")</f>
        <v/>
      </c>
      <c r="K84" s="15" t="inlineStr"/>
      <c r="L84" s="31" t="inlineStr"/>
    </row>
    <row r="85">
      <c r="A85" s="4" t="n">
        <v>36</v>
      </c>
      <c r="B85" s="6">
        <f>IFERROR(INDEX('Watershed plans'!$L$12:$L$267,MATCH(36,'Watershed plans'!$AG$12:$AG$267,0)),"")</f>
        <v/>
      </c>
      <c r="C85" s="10">
        <f>IFERROR(INDEX('Watershed plans'!$B$12:$B$267,MATCH(36,'Watershed plans'!$AG$12:$AG$267,0)),"")</f>
        <v/>
      </c>
      <c r="D85" s="21">
        <f>IFERROR(INDEX('Watershed plans'!$P$12:$P$267,MATCH(36,'Watershed plans'!$AG$12:$AG$267,0)),"")</f>
        <v/>
      </c>
      <c r="E85" s="26">
        <f>IFERROR(INDEX('Watershed plans'!$Q$12:$Q$267,MATCH(36,'Watershed plans'!$AG$12:$AG$267,0)),"")</f>
        <v/>
      </c>
      <c r="F85" s="25">
        <f>IFERROR(INDEX('Watershed plans'!$O$12:$O$267,MATCH(36,'Watershed plans'!$AG$12:$AG$267,0)),"")</f>
        <v/>
      </c>
      <c r="G85" s="26">
        <f>IFERROR(INDEX('Watershed plans'!$AE$12:$AE$267,MATCH(36,'Watershed plans'!$AG$12:$AG$267,0)),"")</f>
        <v/>
      </c>
      <c r="H85" s="21">
        <f>IF(ISNUMBER(D85),D85-D84,"")</f>
        <v/>
      </c>
      <c r="I85" s="26">
        <f>IF(ISNUMBER(E85),E85-E84,"")</f>
        <v/>
      </c>
      <c r="J85" s="26">
        <f>IF(AND(ISNUMBER(H85),H85&lt;&gt;0),I85/H85,"")</f>
        <v/>
      </c>
      <c r="K85" s="15" t="inlineStr"/>
      <c r="L85" s="31" t="inlineStr"/>
    </row>
    <row r="86">
      <c r="A86" s="4" t="n">
        <v>37</v>
      </c>
      <c r="B86" s="6">
        <f>IFERROR(INDEX('Watershed plans'!$L$12:$L$267,MATCH(37,'Watershed plans'!$AG$12:$AG$267,0)),"")</f>
        <v/>
      </c>
      <c r="C86" s="10">
        <f>IFERROR(INDEX('Watershed plans'!$B$12:$B$267,MATCH(37,'Watershed plans'!$AG$12:$AG$267,0)),"")</f>
        <v/>
      </c>
      <c r="D86" s="21">
        <f>IFERROR(INDEX('Watershed plans'!$P$12:$P$267,MATCH(37,'Watershed plans'!$AG$12:$AG$267,0)),"")</f>
        <v/>
      </c>
      <c r="E86" s="26">
        <f>IFERROR(INDEX('Watershed plans'!$Q$12:$Q$267,MATCH(37,'Watershed plans'!$AG$12:$AG$267,0)),"")</f>
        <v/>
      </c>
      <c r="F86" s="25">
        <f>IFERROR(INDEX('Watershed plans'!$O$12:$O$267,MATCH(37,'Watershed plans'!$AG$12:$AG$267,0)),"")</f>
        <v/>
      </c>
      <c r="G86" s="26">
        <f>IFERROR(INDEX('Watershed plans'!$AE$12:$AE$267,MATCH(37,'Watershed plans'!$AG$12:$AG$267,0)),"")</f>
        <v/>
      </c>
      <c r="H86" s="21">
        <f>IF(ISNUMBER(D86),D86-D85,"")</f>
        <v/>
      </c>
      <c r="I86" s="26">
        <f>IF(ISNUMBER(E86),E86-E85,"")</f>
        <v/>
      </c>
      <c r="J86" s="26">
        <f>IF(AND(ISNUMBER(H86),H86&lt;&gt;0),I86/H86,"")</f>
        <v/>
      </c>
      <c r="K86" s="15" t="inlineStr"/>
      <c r="L86" s="31" t="inlineStr"/>
    </row>
    <row r="87">
      <c r="A87" s="4" t="n">
        <v>38</v>
      </c>
      <c r="B87" s="6">
        <f>IFERROR(INDEX('Watershed plans'!$L$12:$L$267,MATCH(38,'Watershed plans'!$AG$12:$AG$267,0)),"")</f>
        <v/>
      </c>
      <c r="C87" s="10">
        <f>IFERROR(INDEX('Watershed plans'!$B$12:$B$267,MATCH(38,'Watershed plans'!$AG$12:$AG$267,0)),"")</f>
        <v/>
      </c>
      <c r="D87" s="21">
        <f>IFERROR(INDEX('Watershed plans'!$P$12:$P$267,MATCH(38,'Watershed plans'!$AG$12:$AG$267,0)),"")</f>
        <v/>
      </c>
      <c r="E87" s="26">
        <f>IFERROR(INDEX('Watershed plans'!$Q$12:$Q$267,MATCH(38,'Watershed plans'!$AG$12:$AG$267,0)),"")</f>
        <v/>
      </c>
      <c r="F87" s="25">
        <f>IFERROR(INDEX('Watershed plans'!$O$12:$O$267,MATCH(38,'Watershed plans'!$AG$12:$AG$267,0)),"")</f>
        <v/>
      </c>
      <c r="G87" s="26">
        <f>IFERROR(INDEX('Watershed plans'!$AE$12:$AE$267,MATCH(38,'Watershed plans'!$AG$12:$AG$267,0)),"")</f>
        <v/>
      </c>
      <c r="H87" s="21">
        <f>IF(ISNUMBER(D87),D87-D86,"")</f>
        <v/>
      </c>
      <c r="I87" s="26">
        <f>IF(ISNUMBER(E87),E87-E86,"")</f>
        <v/>
      </c>
      <c r="J87" s="26">
        <f>IF(AND(ISNUMBER(H87),H87&lt;&gt;0),I87/H87,"")</f>
        <v/>
      </c>
      <c r="K87" s="15" t="inlineStr"/>
      <c r="L87" s="31" t="inlineStr"/>
    </row>
    <row r="88">
      <c r="A88" s="4" t="n">
        <v>39</v>
      </c>
      <c r="B88" s="6">
        <f>IFERROR(INDEX('Watershed plans'!$L$12:$L$267,MATCH(39,'Watershed plans'!$AG$12:$AG$267,0)),"")</f>
        <v/>
      </c>
      <c r="C88" s="10">
        <f>IFERROR(INDEX('Watershed plans'!$B$12:$B$267,MATCH(39,'Watershed plans'!$AG$12:$AG$267,0)),"")</f>
        <v/>
      </c>
      <c r="D88" s="21">
        <f>IFERROR(INDEX('Watershed plans'!$P$12:$P$267,MATCH(39,'Watershed plans'!$AG$12:$AG$267,0)),"")</f>
        <v/>
      </c>
      <c r="E88" s="26">
        <f>IFERROR(INDEX('Watershed plans'!$Q$12:$Q$267,MATCH(39,'Watershed plans'!$AG$12:$AG$267,0)),"")</f>
        <v/>
      </c>
      <c r="F88" s="25">
        <f>IFERROR(INDEX('Watershed plans'!$O$12:$O$267,MATCH(39,'Watershed plans'!$AG$12:$AG$267,0)),"")</f>
        <v/>
      </c>
      <c r="G88" s="26">
        <f>IFERROR(INDEX('Watershed plans'!$AE$12:$AE$267,MATCH(39,'Watershed plans'!$AG$12:$AG$267,0)),"")</f>
        <v/>
      </c>
      <c r="H88" s="21">
        <f>IF(ISNUMBER(D88),D88-D87,"")</f>
        <v/>
      </c>
      <c r="I88" s="26">
        <f>IF(ISNUMBER(E88),E88-E87,"")</f>
        <v/>
      </c>
      <c r="J88" s="26">
        <f>IF(AND(ISNUMBER(H88),H88&lt;&gt;0),I88/H88,"")</f>
        <v/>
      </c>
      <c r="K88" s="15" t="inlineStr"/>
      <c r="L88" s="31" t="inlineStr"/>
    </row>
    <row r="89">
      <c r="A89" s="4" t="n">
        <v>40</v>
      </c>
      <c r="B89" s="6">
        <f>IFERROR(INDEX('Watershed plans'!$L$12:$L$267,MATCH(40,'Watershed plans'!$AG$12:$AG$267,0)),"")</f>
        <v/>
      </c>
      <c r="C89" s="10">
        <f>IFERROR(INDEX('Watershed plans'!$B$12:$B$267,MATCH(40,'Watershed plans'!$AG$12:$AG$267,0)),"")</f>
        <v/>
      </c>
      <c r="D89" s="21">
        <f>IFERROR(INDEX('Watershed plans'!$P$12:$P$267,MATCH(40,'Watershed plans'!$AG$12:$AG$267,0)),"")</f>
        <v/>
      </c>
      <c r="E89" s="26">
        <f>IFERROR(INDEX('Watershed plans'!$Q$12:$Q$267,MATCH(40,'Watershed plans'!$AG$12:$AG$267,0)),"")</f>
        <v/>
      </c>
      <c r="F89" s="25">
        <f>IFERROR(INDEX('Watershed plans'!$O$12:$O$267,MATCH(40,'Watershed plans'!$AG$12:$AG$267,0)),"")</f>
        <v/>
      </c>
      <c r="G89" s="26">
        <f>IFERROR(INDEX('Watershed plans'!$AE$12:$AE$267,MATCH(40,'Watershed plans'!$AG$12:$AG$267,0)),"")</f>
        <v/>
      </c>
      <c r="H89" s="21">
        <f>IF(ISNUMBER(D89),D89-D88,"")</f>
        <v/>
      </c>
      <c r="I89" s="26">
        <f>IF(ISNUMBER(E89),E89-E88,"")</f>
        <v/>
      </c>
      <c r="J89" s="26">
        <f>IF(AND(ISNUMBER(H89),H89&lt;&gt;0),I89/H89,"")</f>
        <v/>
      </c>
      <c r="K89" s="15" t="inlineStr"/>
      <c r="L89" s="31" t="inlineStr"/>
    </row>
    <row r="92">
      <c r="A92" s="7" t="inlineStr">
        <is>
          <t>Tentatively selected plan</t>
        </is>
      </c>
    </row>
    <row r="93">
      <c r="A93" s="4" t="inlineStr">
        <is>
          <t>Plan number</t>
        </is>
      </c>
      <c r="B93" s="14" t="n">
        <v>62</v>
      </c>
    </row>
    <row r="94">
      <c r="A94" s="4" t="inlineStr">
        <is>
          <t>Plan</t>
        </is>
      </c>
      <c r="B94" s="10">
        <f>IFERROR(INDEX('Watershed plans'!$B$12:$B$267,MATCH($B$93,'Watershed plans'!$L$12:$L$267,0)),"n/a")</f>
        <v/>
      </c>
    </row>
    <row r="95">
      <c r="A95" s="4" t="inlineStr">
        <is>
          <t>Lift (AAHU)</t>
        </is>
      </c>
      <c r="B95" s="21">
        <f>IFERROR(INDEX('Watershed plans'!$P$12:$P$267,MATCH($B$93,'Watershed plans'!$L$12:$L$267,0)),"n/a")</f>
        <v/>
      </c>
    </row>
    <row r="96">
      <c r="A96" s="4" t="inlineStr">
        <is>
          <t>Average annual cost</t>
        </is>
      </c>
      <c r="B96" s="26">
        <f>IFERROR(INDEX('Watershed plans'!$Q$12:$Q$267,MATCH($B$93,'Watershed plans'!$L$12:$L$267,0)),"n/a")</f>
        <v/>
      </c>
    </row>
    <row r="97">
      <c r="A97" s="4" t="inlineStr">
        <is>
          <t>Construction cost</t>
        </is>
      </c>
      <c r="B97" s="25">
        <f>IFERROR(INDEX('Watershed plans'!$O$12:$O$267,MATCH($B$93,'Watershed plans'!$L$12:$L$267,0)),"n/a")</f>
        <v/>
      </c>
    </row>
    <row r="98">
      <c r="A98" s="4" t="inlineStr">
        <is>
          <t>Unit cost</t>
        </is>
      </c>
      <c r="B98" s="26">
        <f>IFERROR(INDEX('Watershed plans'!$AE$12:$AE$267,MATCH($B$93,'Watershed plans'!$L$12:$L$267,0)),"n/a")</f>
        <v/>
      </c>
    </row>
    <row r="99">
      <c r="A99" s="4" t="inlineStr">
        <is>
          <t>In the final array</t>
        </is>
      </c>
      <c r="B99" s="10">
        <f>IFERROR(INDEX('Watershed plans'!$AF$12:$AF$267,MATCH($B$93,'Watershed plans'!$L$12:$L$267,0)),"n/a")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K50:L89">
    <cfRule type="expression" priority="1" dxfId="0" stopIfTrue="0">
      <formula>K50&lt;&gt;'snap Watershed summary'!K50</formula>
    </cfRule>
  </conditionalFormatting>
  <conditionalFormatting sqref="B93">
    <cfRule type="expression" priority="2" dxfId="0" stopIfTrue="0">
      <formula>B93&lt;&gt;'snap Watershed summary'!B93</formula>
    </cfRule>
  </conditionalFormatting>
  <dataValidations count="2">
    <dataValidation sqref="K51:K89" showDropDown="0" showInputMessage="0" showErrorMessage="0" allowBlank="1" type="list">
      <formula1>"Yes,No"</formula1>
    </dataValidation>
    <dataValidation sqref="B93" showDropDown="0" showInputMessage="0" showErrorMessage="0" allowBlank="1" type="list">
      <formula1>='Watershed summary'!$B$50:$B$89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5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16" customWidth="1" style="8" min="2" max="2"/>
    <col width="20" customWidth="1" style="8" min="3" max="3"/>
    <col width="22" customWidth="1" style="8" min="4" max="4"/>
  </cols>
  <sheetData>
    <row r="1">
      <c r="A1" s="1" t="inlineStr">
        <is>
          <t>IWR Planning Suite II input</t>
        </is>
      </c>
    </row>
    <row r="2">
      <c r="A2" s="2" t="inlineStr">
        <is>
          <t>Paste-ready plan, output and cost columns for an independent re-run in IWR Planning Suite II (user-entered planning set; No Action is the first plan).</t>
        </is>
      </c>
    </row>
    <row r="4">
      <c r="A4" s="7" t="inlineStr">
        <is>
          <t>Site planning sets</t>
        </is>
      </c>
    </row>
    <row r="5">
      <c r="A5" s="12" t="inlineStr">
        <is>
          <t>Site</t>
        </is>
      </c>
      <c r="B5" s="12" t="inlineStr">
        <is>
          <t>Plan</t>
        </is>
      </c>
      <c r="C5" s="12" t="inlineStr">
        <is>
          <t>Output (AAHU above No Action)</t>
        </is>
      </c>
      <c r="D5" s="12" t="inlineStr">
        <is>
          <t>Cost (average annual, above No Action)</t>
        </is>
      </c>
    </row>
    <row r="6">
      <c r="A6" s="4" t="inlineStr">
        <is>
          <t>17F2M</t>
        </is>
      </c>
      <c r="B6" s="4" t="inlineStr">
        <is>
          <t>FWOP</t>
        </is>
      </c>
      <c r="C6" s="21">
        <f>'Site CE-ICA'!I6/10^in_out_dp</f>
        <v/>
      </c>
      <c r="D6" s="26">
        <f>'Site CE-ICA'!J6/10^in_cost_dp</f>
        <v/>
      </c>
    </row>
    <row r="7">
      <c r="A7" s="4" t="inlineStr">
        <is>
          <t>17F2M</t>
        </is>
      </c>
      <c r="B7" s="4" t="inlineStr">
        <is>
          <t>Alternative1</t>
        </is>
      </c>
      <c r="C7" s="21">
        <f>'Site CE-ICA'!I7/10^in_out_dp</f>
        <v/>
      </c>
      <c r="D7" s="26">
        <f>'Site CE-ICA'!J7/10^in_cost_dp</f>
        <v/>
      </c>
    </row>
    <row r="8">
      <c r="A8" s="4" t="inlineStr">
        <is>
          <t>17F2M</t>
        </is>
      </c>
      <c r="B8" s="4" t="inlineStr">
        <is>
          <t>Alternative2</t>
        </is>
      </c>
      <c r="C8" s="21">
        <f>'Site CE-ICA'!I8/10^in_out_dp</f>
        <v/>
      </c>
      <c r="D8" s="26">
        <f>'Site CE-ICA'!J8/10^in_cost_dp</f>
        <v/>
      </c>
    </row>
    <row r="9">
      <c r="A9" s="4" t="inlineStr">
        <is>
          <t>17F2M</t>
        </is>
      </c>
      <c r="B9" s="4" t="inlineStr">
        <is>
          <t>Alternative3</t>
        </is>
      </c>
      <c r="C9" s="21">
        <f>'Site CE-ICA'!I9/10^in_out_dp</f>
        <v/>
      </c>
      <c r="D9" s="26">
        <f>'Site CE-ICA'!J9/10^in_cost_dp</f>
        <v/>
      </c>
    </row>
    <row r="10">
      <c r="A10" s="4" t="inlineStr">
        <is>
          <t>17D2E</t>
        </is>
      </c>
      <c r="B10" s="4" t="inlineStr">
        <is>
          <t>FWOP</t>
        </is>
      </c>
      <c r="C10" s="21">
        <f>'Site CE-ICA'!I12/10^in_out_dp</f>
        <v/>
      </c>
      <c r="D10" s="26">
        <f>'Site CE-ICA'!J12/10^in_cost_dp</f>
        <v/>
      </c>
    </row>
    <row r="11">
      <c r="A11" s="4" t="inlineStr">
        <is>
          <t>17D2E</t>
        </is>
      </c>
      <c r="B11" s="4" t="inlineStr">
        <is>
          <t>Alternative1</t>
        </is>
      </c>
      <c r="C11" s="21">
        <f>'Site CE-ICA'!I13/10^in_out_dp</f>
        <v/>
      </c>
      <c r="D11" s="26">
        <f>'Site CE-ICA'!J13/10^in_cost_dp</f>
        <v/>
      </c>
    </row>
    <row r="12">
      <c r="A12" s="4" t="inlineStr">
        <is>
          <t>17D2E</t>
        </is>
      </c>
      <c r="B12" s="4" t="inlineStr">
        <is>
          <t>Alternative2</t>
        </is>
      </c>
      <c r="C12" s="21">
        <f>'Site CE-ICA'!I14/10^in_out_dp</f>
        <v/>
      </c>
      <c r="D12" s="26">
        <f>'Site CE-ICA'!J14/10^in_cost_dp</f>
        <v/>
      </c>
    </row>
    <row r="13">
      <c r="A13" s="4" t="inlineStr">
        <is>
          <t>17D2E</t>
        </is>
      </c>
      <c r="B13" s="4" t="inlineStr">
        <is>
          <t>Alternative3</t>
        </is>
      </c>
      <c r="C13" s="21">
        <f>'Site CE-ICA'!I15/10^in_out_dp</f>
        <v/>
      </c>
      <c r="D13" s="26">
        <f>'Site CE-ICA'!J15/10^in_cost_dp</f>
        <v/>
      </c>
    </row>
    <row r="14">
      <c r="A14" s="4" t="inlineStr">
        <is>
          <t>17B</t>
        </is>
      </c>
      <c r="B14" s="4" t="inlineStr">
        <is>
          <t>FWOP</t>
        </is>
      </c>
      <c r="C14" s="21">
        <f>'Site CE-ICA'!I18/10^in_out_dp</f>
        <v/>
      </c>
      <c r="D14" s="26">
        <f>'Site CE-ICA'!J18/10^in_cost_dp</f>
        <v/>
      </c>
    </row>
    <row r="15">
      <c r="A15" s="4" t="inlineStr">
        <is>
          <t>17B</t>
        </is>
      </c>
      <c r="B15" s="4" t="inlineStr">
        <is>
          <t>Alternative1</t>
        </is>
      </c>
      <c r="C15" s="21">
        <f>'Site CE-ICA'!I19/10^in_out_dp</f>
        <v/>
      </c>
      <c r="D15" s="26">
        <f>'Site CE-ICA'!J19/10^in_cost_dp</f>
        <v/>
      </c>
    </row>
    <row r="16">
      <c r="A16" s="4" t="inlineStr">
        <is>
          <t>17B</t>
        </is>
      </c>
      <c r="B16" s="4" t="inlineStr">
        <is>
          <t>Alternative2</t>
        </is>
      </c>
      <c r="C16" s="21">
        <f>'Site CE-ICA'!I20/10^in_out_dp</f>
        <v/>
      </c>
      <c r="D16" s="26">
        <f>'Site CE-ICA'!J20/10^in_cost_dp</f>
        <v/>
      </c>
    </row>
    <row r="17">
      <c r="A17" s="4" t="inlineStr">
        <is>
          <t>17B</t>
        </is>
      </c>
      <c r="B17" s="4" t="inlineStr">
        <is>
          <t>Alternative3</t>
        </is>
      </c>
      <c r="C17" s="21">
        <f>'Site CE-ICA'!I21/10^in_out_dp</f>
        <v/>
      </c>
      <c r="D17" s="26">
        <f>'Site CE-ICA'!J21/10^in_cost_dp</f>
        <v/>
      </c>
    </row>
    <row r="18">
      <c r="A18" s="4" t="inlineStr">
        <is>
          <t>2A</t>
        </is>
      </c>
      <c r="B18" s="4" t="inlineStr">
        <is>
          <t>FWOP</t>
        </is>
      </c>
      <c r="C18" s="21">
        <f>'Site CE-ICA'!I24/10^in_out_dp</f>
        <v/>
      </c>
      <c r="D18" s="26">
        <f>'Site CE-ICA'!J24/10^in_cost_dp</f>
        <v/>
      </c>
    </row>
    <row r="19">
      <c r="A19" s="4" t="inlineStr">
        <is>
          <t>2A</t>
        </is>
      </c>
      <c r="B19" s="4" t="inlineStr">
        <is>
          <t>Alternative1</t>
        </is>
      </c>
      <c r="C19" s="21">
        <f>'Site CE-ICA'!I25/10^in_out_dp</f>
        <v/>
      </c>
      <c r="D19" s="26">
        <f>'Site CE-ICA'!J25/10^in_cost_dp</f>
        <v/>
      </c>
    </row>
    <row r="20">
      <c r="A20" s="4" t="inlineStr">
        <is>
          <t>2A</t>
        </is>
      </c>
      <c r="B20" s="4" t="inlineStr">
        <is>
          <t>Alternative2</t>
        </is>
      </c>
      <c r="C20" s="21">
        <f>'Site CE-ICA'!I26/10^in_out_dp</f>
        <v/>
      </c>
      <c r="D20" s="26">
        <f>'Site CE-ICA'!J26/10^in_cost_dp</f>
        <v/>
      </c>
    </row>
    <row r="21">
      <c r="A21" s="4" t="inlineStr">
        <is>
          <t>2A</t>
        </is>
      </c>
      <c r="B21" s="4" t="inlineStr">
        <is>
          <t>Alternative3</t>
        </is>
      </c>
      <c r="C21" s="21">
        <f>'Site CE-ICA'!I27/10^in_out_dp</f>
        <v/>
      </c>
      <c r="D21" s="26">
        <f>'Site CE-ICA'!J27/10^in_cost_dp</f>
        <v/>
      </c>
    </row>
    <row r="22">
      <c r="A22" s="4" t="inlineStr">
        <is>
          <t>2B</t>
        </is>
      </c>
      <c r="B22" s="4" t="inlineStr">
        <is>
          <t>FWOP</t>
        </is>
      </c>
      <c r="C22" s="21">
        <f>'Site CE-ICA'!I30/10^in_out_dp</f>
        <v/>
      </c>
      <c r="D22" s="26">
        <f>'Site CE-ICA'!J30/10^in_cost_dp</f>
        <v/>
      </c>
    </row>
    <row r="23">
      <c r="A23" s="4" t="inlineStr">
        <is>
          <t>2B</t>
        </is>
      </c>
      <c r="B23" s="4" t="inlineStr">
        <is>
          <t>Alternative1</t>
        </is>
      </c>
      <c r="C23" s="21">
        <f>'Site CE-ICA'!I31/10^in_out_dp</f>
        <v/>
      </c>
      <c r="D23" s="26">
        <f>'Site CE-ICA'!J31/10^in_cost_dp</f>
        <v/>
      </c>
    </row>
    <row r="24">
      <c r="A24" s="4" t="inlineStr">
        <is>
          <t>2B</t>
        </is>
      </c>
      <c r="B24" s="4" t="inlineStr">
        <is>
          <t>Alternative2</t>
        </is>
      </c>
      <c r="C24" s="21">
        <f>'Site CE-ICA'!I32/10^in_out_dp</f>
        <v/>
      </c>
      <c r="D24" s="26">
        <f>'Site CE-ICA'!J32/10^in_cost_dp</f>
        <v/>
      </c>
    </row>
    <row r="25">
      <c r="A25" s="4" t="inlineStr">
        <is>
          <t>2B</t>
        </is>
      </c>
      <c r="B25" s="4" t="inlineStr">
        <is>
          <t>Alternative3</t>
        </is>
      </c>
      <c r="C25" s="21">
        <f>'Site CE-ICA'!I33/10^in_out_dp</f>
        <v/>
      </c>
      <c r="D25" s="26">
        <f>'Site CE-ICA'!J33/10^in_cost_dp</f>
        <v/>
      </c>
    </row>
    <row r="26">
      <c r="A26" s="4" t="inlineStr">
        <is>
          <t>3E</t>
        </is>
      </c>
      <c r="B26" s="4" t="inlineStr">
        <is>
          <t>FWOP</t>
        </is>
      </c>
      <c r="C26" s="21">
        <f>'Site CE-ICA'!I36/10^in_out_dp</f>
        <v/>
      </c>
      <c r="D26" s="26">
        <f>'Site CE-ICA'!J36/10^in_cost_dp</f>
        <v/>
      </c>
    </row>
    <row r="27">
      <c r="A27" s="4" t="inlineStr">
        <is>
          <t>3E</t>
        </is>
      </c>
      <c r="B27" s="4" t="inlineStr">
        <is>
          <t>Alternative1</t>
        </is>
      </c>
      <c r="C27" s="21">
        <f>'Site CE-ICA'!I37/10^in_out_dp</f>
        <v/>
      </c>
      <c r="D27" s="26">
        <f>'Site CE-ICA'!J37/10^in_cost_dp</f>
        <v/>
      </c>
    </row>
    <row r="28">
      <c r="A28" s="4" t="inlineStr">
        <is>
          <t>3E</t>
        </is>
      </c>
      <c r="B28" s="4" t="inlineStr">
        <is>
          <t>Alternative2</t>
        </is>
      </c>
      <c r="C28" s="21">
        <f>'Site CE-ICA'!I38/10^in_out_dp</f>
        <v/>
      </c>
      <c r="D28" s="26">
        <f>'Site CE-ICA'!J38/10^in_cost_dp</f>
        <v/>
      </c>
    </row>
    <row r="29">
      <c r="A29" s="4" t="inlineStr">
        <is>
          <t>3E</t>
        </is>
      </c>
      <c r="B29" s="4" t="inlineStr">
        <is>
          <t>Alternative3</t>
        </is>
      </c>
      <c r="C29" s="21">
        <f>'Site CE-ICA'!I39/10^in_out_dp</f>
        <v/>
      </c>
      <c r="D29" s="26">
        <f>'Site CE-ICA'!J39/10^in_cost_dp</f>
        <v/>
      </c>
    </row>
    <row r="30">
      <c r="A30" s="4" t="inlineStr">
        <is>
          <t>3F</t>
        </is>
      </c>
      <c r="B30" s="4" t="inlineStr">
        <is>
          <t>FWOP</t>
        </is>
      </c>
      <c r="C30" s="21">
        <f>'Site CE-ICA'!I42/10^in_out_dp</f>
        <v/>
      </c>
      <c r="D30" s="26">
        <f>'Site CE-ICA'!J42/10^in_cost_dp</f>
        <v/>
      </c>
    </row>
    <row r="31">
      <c r="A31" s="4" t="inlineStr">
        <is>
          <t>3F</t>
        </is>
      </c>
      <c r="B31" s="4" t="inlineStr">
        <is>
          <t>Alternative1</t>
        </is>
      </c>
      <c r="C31" s="21">
        <f>'Site CE-ICA'!I43/10^in_out_dp</f>
        <v/>
      </c>
      <c r="D31" s="26">
        <f>'Site CE-ICA'!J43/10^in_cost_dp</f>
        <v/>
      </c>
    </row>
    <row r="32">
      <c r="A32" s="4" t="inlineStr">
        <is>
          <t>3F</t>
        </is>
      </c>
      <c r="B32" s="4" t="inlineStr">
        <is>
          <t>Alternative2</t>
        </is>
      </c>
      <c r="C32" s="21">
        <f>'Site CE-ICA'!I44/10^in_out_dp</f>
        <v/>
      </c>
      <c r="D32" s="26">
        <f>'Site CE-ICA'!J44/10^in_cost_dp</f>
        <v/>
      </c>
    </row>
    <row r="33">
      <c r="A33" s="4" t="inlineStr">
        <is>
          <t>3F</t>
        </is>
      </c>
      <c r="B33" s="4" t="inlineStr">
        <is>
          <t>Alternative3</t>
        </is>
      </c>
      <c r="C33" s="21">
        <f>'Site CE-ICA'!I45/10^in_out_dp</f>
        <v/>
      </c>
      <c r="D33" s="26">
        <f>'Site CE-ICA'!J45/10^in_cost_dp</f>
        <v/>
      </c>
    </row>
    <row r="34">
      <c r="A34" s="4" t="inlineStr">
        <is>
          <t>19A</t>
        </is>
      </c>
      <c r="B34" s="4" t="inlineStr">
        <is>
          <t>FWOP</t>
        </is>
      </c>
      <c r="C34" s="21">
        <f>'Site CE-ICA'!I48/10^in_out_dp</f>
        <v/>
      </c>
      <c r="D34" s="26">
        <f>'Site CE-ICA'!J48/10^in_cost_dp</f>
        <v/>
      </c>
    </row>
    <row r="35">
      <c r="A35" s="4" t="inlineStr">
        <is>
          <t>19A</t>
        </is>
      </c>
      <c r="B35" s="4" t="inlineStr">
        <is>
          <t>Alternative2</t>
        </is>
      </c>
      <c r="C35" s="21">
        <f>'Site CE-ICA'!I49/10^in_out_dp</f>
        <v/>
      </c>
      <c r="D35" s="26">
        <f>'Site CE-ICA'!J49/10^in_cost_dp</f>
        <v/>
      </c>
    </row>
    <row r="36">
      <c r="A36" s="4" t="inlineStr">
        <is>
          <t>19A</t>
        </is>
      </c>
      <c r="B36" s="4" t="inlineStr">
        <is>
          <t>Alternative3</t>
        </is>
      </c>
      <c r="C36" s="21">
        <f>'Site CE-ICA'!I50/10^in_out_dp</f>
        <v/>
      </c>
      <c r="D36" s="26">
        <f>'Site CE-ICA'!J50/10^in_cost_dp</f>
        <v/>
      </c>
    </row>
    <row r="38">
      <c r="A38" s="7" t="inlineStr">
        <is>
          <t>Watershed planning set (valid plans)</t>
        </is>
      </c>
    </row>
    <row r="39">
      <c r="A39" s="12" t="inlineStr">
        <is>
          <t>Plan number</t>
        </is>
      </c>
      <c r="B39" s="12" t="inlineStr">
        <is>
          <t>Plan</t>
        </is>
      </c>
      <c r="C39" s="12" t="inlineStr">
        <is>
          <t>Output</t>
        </is>
      </c>
      <c r="D39" s="12" t="inlineStr">
        <is>
          <t>Cost</t>
        </is>
      </c>
    </row>
    <row r="40">
      <c r="A40" s="6">
        <f>'Watershed plans'!L12</f>
        <v/>
      </c>
      <c r="B40" s="10">
        <f>'Watershed plans'!B12</f>
        <v/>
      </c>
      <c r="C40" s="21">
        <f>IF('Watershed plans'!C12=1,'Watershed plans'!P12,"")</f>
        <v/>
      </c>
      <c r="D40" s="26">
        <f>IF('Watershed plans'!C12=1,'Watershed plans'!Q12,"")</f>
        <v/>
      </c>
    </row>
    <row r="41">
      <c r="A41" s="6">
        <f>'Watershed plans'!L13</f>
        <v/>
      </c>
      <c r="B41" s="10">
        <f>'Watershed plans'!B13</f>
        <v/>
      </c>
      <c r="C41" s="21">
        <f>IF('Watershed plans'!C13=1,'Watershed plans'!P13,"")</f>
        <v/>
      </c>
      <c r="D41" s="26">
        <f>IF('Watershed plans'!C13=1,'Watershed plans'!Q13,"")</f>
        <v/>
      </c>
    </row>
    <row r="42">
      <c r="A42" s="6">
        <f>'Watershed plans'!L14</f>
        <v/>
      </c>
      <c r="B42" s="10">
        <f>'Watershed plans'!B14</f>
        <v/>
      </c>
      <c r="C42" s="21">
        <f>IF('Watershed plans'!C14=1,'Watershed plans'!P14,"")</f>
        <v/>
      </c>
      <c r="D42" s="26">
        <f>IF('Watershed plans'!C14=1,'Watershed plans'!Q14,"")</f>
        <v/>
      </c>
    </row>
    <row r="43">
      <c r="A43" s="6">
        <f>'Watershed plans'!L15</f>
        <v/>
      </c>
      <c r="B43" s="10">
        <f>'Watershed plans'!B15</f>
        <v/>
      </c>
      <c r="C43" s="21">
        <f>IF('Watershed plans'!C15=1,'Watershed plans'!P15,"")</f>
        <v/>
      </c>
      <c r="D43" s="26">
        <f>IF('Watershed plans'!C15=1,'Watershed plans'!Q15,"")</f>
        <v/>
      </c>
    </row>
    <row r="44">
      <c r="A44" s="6">
        <f>'Watershed plans'!L16</f>
        <v/>
      </c>
      <c r="B44" s="10">
        <f>'Watershed plans'!B16</f>
        <v/>
      </c>
      <c r="C44" s="21">
        <f>IF('Watershed plans'!C16=1,'Watershed plans'!P16,"")</f>
        <v/>
      </c>
      <c r="D44" s="26">
        <f>IF('Watershed plans'!C16=1,'Watershed plans'!Q16,"")</f>
        <v/>
      </c>
    </row>
    <row r="45">
      <c r="A45" s="6">
        <f>'Watershed plans'!L17</f>
        <v/>
      </c>
      <c r="B45" s="10">
        <f>'Watershed plans'!B17</f>
        <v/>
      </c>
      <c r="C45" s="21">
        <f>IF('Watershed plans'!C17=1,'Watershed plans'!P17,"")</f>
        <v/>
      </c>
      <c r="D45" s="26">
        <f>IF('Watershed plans'!C17=1,'Watershed plans'!Q17,"")</f>
        <v/>
      </c>
    </row>
    <row r="46">
      <c r="A46" s="6">
        <f>'Watershed plans'!L18</f>
        <v/>
      </c>
      <c r="B46" s="10">
        <f>'Watershed plans'!B18</f>
        <v/>
      </c>
      <c r="C46" s="21">
        <f>IF('Watershed plans'!C18=1,'Watershed plans'!P18,"")</f>
        <v/>
      </c>
      <c r="D46" s="26">
        <f>IF('Watershed plans'!C18=1,'Watershed plans'!Q18,"")</f>
        <v/>
      </c>
    </row>
    <row r="47">
      <c r="A47" s="6">
        <f>'Watershed plans'!L19</f>
        <v/>
      </c>
      <c r="B47" s="10">
        <f>'Watershed plans'!B19</f>
        <v/>
      </c>
      <c r="C47" s="21">
        <f>IF('Watershed plans'!C19=1,'Watershed plans'!P19,"")</f>
        <v/>
      </c>
      <c r="D47" s="26">
        <f>IF('Watershed plans'!C19=1,'Watershed plans'!Q19,"")</f>
        <v/>
      </c>
    </row>
    <row r="48">
      <c r="A48" s="6">
        <f>'Watershed plans'!L20</f>
        <v/>
      </c>
      <c r="B48" s="10">
        <f>'Watershed plans'!B20</f>
        <v/>
      </c>
      <c r="C48" s="21">
        <f>IF('Watershed plans'!C20=1,'Watershed plans'!P20,"")</f>
        <v/>
      </c>
      <c r="D48" s="26">
        <f>IF('Watershed plans'!C20=1,'Watershed plans'!Q20,"")</f>
        <v/>
      </c>
    </row>
    <row r="49">
      <c r="A49" s="6">
        <f>'Watershed plans'!L21</f>
        <v/>
      </c>
      <c r="B49" s="10">
        <f>'Watershed plans'!B21</f>
        <v/>
      </c>
      <c r="C49" s="21">
        <f>IF('Watershed plans'!C21=1,'Watershed plans'!P21,"")</f>
        <v/>
      </c>
      <c r="D49" s="26">
        <f>IF('Watershed plans'!C21=1,'Watershed plans'!Q21,"")</f>
        <v/>
      </c>
    </row>
    <row r="50">
      <c r="A50" s="6">
        <f>'Watershed plans'!L22</f>
        <v/>
      </c>
      <c r="B50" s="10">
        <f>'Watershed plans'!B22</f>
        <v/>
      </c>
      <c r="C50" s="21">
        <f>IF('Watershed plans'!C22=1,'Watershed plans'!P22,"")</f>
        <v/>
      </c>
      <c r="D50" s="26">
        <f>IF('Watershed plans'!C22=1,'Watershed plans'!Q22,"")</f>
        <v/>
      </c>
    </row>
    <row r="51">
      <c r="A51" s="6">
        <f>'Watershed plans'!L23</f>
        <v/>
      </c>
      <c r="B51" s="10">
        <f>'Watershed plans'!B23</f>
        <v/>
      </c>
      <c r="C51" s="21">
        <f>IF('Watershed plans'!C23=1,'Watershed plans'!P23,"")</f>
        <v/>
      </c>
      <c r="D51" s="26">
        <f>IF('Watershed plans'!C23=1,'Watershed plans'!Q23,"")</f>
        <v/>
      </c>
    </row>
    <row r="52">
      <c r="A52" s="6">
        <f>'Watershed plans'!L24</f>
        <v/>
      </c>
      <c r="B52" s="10">
        <f>'Watershed plans'!B24</f>
        <v/>
      </c>
      <c r="C52" s="21">
        <f>IF('Watershed plans'!C24=1,'Watershed plans'!P24,"")</f>
        <v/>
      </c>
      <c r="D52" s="26">
        <f>IF('Watershed plans'!C24=1,'Watershed plans'!Q24,"")</f>
        <v/>
      </c>
    </row>
    <row r="53">
      <c r="A53" s="6">
        <f>'Watershed plans'!L25</f>
        <v/>
      </c>
      <c r="B53" s="10">
        <f>'Watershed plans'!B25</f>
        <v/>
      </c>
      <c r="C53" s="21">
        <f>IF('Watershed plans'!C25=1,'Watershed plans'!P25,"")</f>
        <v/>
      </c>
      <c r="D53" s="26">
        <f>IF('Watershed plans'!C25=1,'Watershed plans'!Q25,"")</f>
        <v/>
      </c>
    </row>
    <row r="54">
      <c r="A54" s="6">
        <f>'Watershed plans'!L26</f>
        <v/>
      </c>
      <c r="B54" s="10">
        <f>'Watershed plans'!B26</f>
        <v/>
      </c>
      <c r="C54" s="21">
        <f>IF('Watershed plans'!C26=1,'Watershed plans'!P26,"")</f>
        <v/>
      </c>
      <c r="D54" s="26">
        <f>IF('Watershed plans'!C26=1,'Watershed plans'!Q26,"")</f>
        <v/>
      </c>
    </row>
    <row r="55">
      <c r="A55" s="6">
        <f>'Watershed plans'!L27</f>
        <v/>
      </c>
      <c r="B55" s="10">
        <f>'Watershed plans'!B27</f>
        <v/>
      </c>
      <c r="C55" s="21">
        <f>IF('Watershed plans'!C27=1,'Watershed plans'!P27,"")</f>
        <v/>
      </c>
      <c r="D55" s="26">
        <f>IF('Watershed plans'!C27=1,'Watershed plans'!Q27,"")</f>
        <v/>
      </c>
    </row>
    <row r="56">
      <c r="A56" s="6">
        <f>'Watershed plans'!L28</f>
        <v/>
      </c>
      <c r="B56" s="10">
        <f>'Watershed plans'!B28</f>
        <v/>
      </c>
      <c r="C56" s="21">
        <f>IF('Watershed plans'!C28=1,'Watershed plans'!P28,"")</f>
        <v/>
      </c>
      <c r="D56" s="26">
        <f>IF('Watershed plans'!C28=1,'Watershed plans'!Q28,"")</f>
        <v/>
      </c>
    </row>
    <row r="57">
      <c r="A57" s="6">
        <f>'Watershed plans'!L29</f>
        <v/>
      </c>
      <c r="B57" s="10">
        <f>'Watershed plans'!B29</f>
        <v/>
      </c>
      <c r="C57" s="21">
        <f>IF('Watershed plans'!C29=1,'Watershed plans'!P29,"")</f>
        <v/>
      </c>
      <c r="D57" s="26">
        <f>IF('Watershed plans'!C29=1,'Watershed plans'!Q29,"")</f>
        <v/>
      </c>
    </row>
    <row r="58">
      <c r="A58" s="6">
        <f>'Watershed plans'!L30</f>
        <v/>
      </c>
      <c r="B58" s="10">
        <f>'Watershed plans'!B30</f>
        <v/>
      </c>
      <c r="C58" s="21">
        <f>IF('Watershed plans'!C30=1,'Watershed plans'!P30,"")</f>
        <v/>
      </c>
      <c r="D58" s="26">
        <f>IF('Watershed plans'!C30=1,'Watershed plans'!Q30,"")</f>
        <v/>
      </c>
    </row>
    <row r="59">
      <c r="A59" s="6">
        <f>'Watershed plans'!L31</f>
        <v/>
      </c>
      <c r="B59" s="10">
        <f>'Watershed plans'!B31</f>
        <v/>
      </c>
      <c r="C59" s="21">
        <f>IF('Watershed plans'!C31=1,'Watershed plans'!P31,"")</f>
        <v/>
      </c>
      <c r="D59" s="26">
        <f>IF('Watershed plans'!C31=1,'Watershed plans'!Q31,"")</f>
        <v/>
      </c>
    </row>
    <row r="60">
      <c r="A60" s="6">
        <f>'Watershed plans'!L32</f>
        <v/>
      </c>
      <c r="B60" s="10">
        <f>'Watershed plans'!B32</f>
        <v/>
      </c>
      <c r="C60" s="21">
        <f>IF('Watershed plans'!C32=1,'Watershed plans'!P32,"")</f>
        <v/>
      </c>
      <c r="D60" s="26">
        <f>IF('Watershed plans'!C32=1,'Watershed plans'!Q32,"")</f>
        <v/>
      </c>
    </row>
    <row r="61">
      <c r="A61" s="6">
        <f>'Watershed plans'!L33</f>
        <v/>
      </c>
      <c r="B61" s="10">
        <f>'Watershed plans'!B33</f>
        <v/>
      </c>
      <c r="C61" s="21">
        <f>IF('Watershed plans'!C33=1,'Watershed plans'!P33,"")</f>
        <v/>
      </c>
      <c r="D61" s="26">
        <f>IF('Watershed plans'!C33=1,'Watershed plans'!Q33,"")</f>
        <v/>
      </c>
    </row>
    <row r="62">
      <c r="A62" s="6">
        <f>'Watershed plans'!L34</f>
        <v/>
      </c>
      <c r="B62" s="10">
        <f>'Watershed plans'!B34</f>
        <v/>
      </c>
      <c r="C62" s="21">
        <f>IF('Watershed plans'!C34=1,'Watershed plans'!P34,"")</f>
        <v/>
      </c>
      <c r="D62" s="26">
        <f>IF('Watershed plans'!C34=1,'Watershed plans'!Q34,"")</f>
        <v/>
      </c>
    </row>
    <row r="63">
      <c r="A63" s="6">
        <f>'Watershed plans'!L35</f>
        <v/>
      </c>
      <c r="B63" s="10">
        <f>'Watershed plans'!B35</f>
        <v/>
      </c>
      <c r="C63" s="21">
        <f>IF('Watershed plans'!C35=1,'Watershed plans'!P35,"")</f>
        <v/>
      </c>
      <c r="D63" s="26">
        <f>IF('Watershed plans'!C35=1,'Watershed plans'!Q35,"")</f>
        <v/>
      </c>
    </row>
    <row r="64">
      <c r="A64" s="6">
        <f>'Watershed plans'!L36</f>
        <v/>
      </c>
      <c r="B64" s="10">
        <f>'Watershed plans'!B36</f>
        <v/>
      </c>
      <c r="C64" s="21">
        <f>IF('Watershed plans'!C36=1,'Watershed plans'!P36,"")</f>
        <v/>
      </c>
      <c r="D64" s="26">
        <f>IF('Watershed plans'!C36=1,'Watershed plans'!Q36,"")</f>
        <v/>
      </c>
    </row>
    <row r="65">
      <c r="A65" s="6">
        <f>'Watershed plans'!L37</f>
        <v/>
      </c>
      <c r="B65" s="10">
        <f>'Watershed plans'!B37</f>
        <v/>
      </c>
      <c r="C65" s="21">
        <f>IF('Watershed plans'!C37=1,'Watershed plans'!P37,"")</f>
        <v/>
      </c>
      <c r="D65" s="26">
        <f>IF('Watershed plans'!C37=1,'Watershed plans'!Q37,"")</f>
        <v/>
      </c>
    </row>
    <row r="66">
      <c r="A66" s="6">
        <f>'Watershed plans'!L38</f>
        <v/>
      </c>
      <c r="B66" s="10">
        <f>'Watershed plans'!B38</f>
        <v/>
      </c>
      <c r="C66" s="21">
        <f>IF('Watershed plans'!C38=1,'Watershed plans'!P38,"")</f>
        <v/>
      </c>
      <c r="D66" s="26">
        <f>IF('Watershed plans'!C38=1,'Watershed plans'!Q38,"")</f>
        <v/>
      </c>
    </row>
    <row r="67">
      <c r="A67" s="6">
        <f>'Watershed plans'!L39</f>
        <v/>
      </c>
      <c r="B67" s="10">
        <f>'Watershed plans'!B39</f>
        <v/>
      </c>
      <c r="C67" s="21">
        <f>IF('Watershed plans'!C39=1,'Watershed plans'!P39,"")</f>
        <v/>
      </c>
      <c r="D67" s="26">
        <f>IF('Watershed plans'!C39=1,'Watershed plans'!Q39,"")</f>
        <v/>
      </c>
    </row>
    <row r="68">
      <c r="A68" s="6">
        <f>'Watershed plans'!L40</f>
        <v/>
      </c>
      <c r="B68" s="10">
        <f>'Watershed plans'!B40</f>
        <v/>
      </c>
      <c r="C68" s="21">
        <f>IF('Watershed plans'!C40=1,'Watershed plans'!P40,"")</f>
        <v/>
      </c>
      <c r="D68" s="26">
        <f>IF('Watershed plans'!C40=1,'Watershed plans'!Q40,"")</f>
        <v/>
      </c>
    </row>
    <row r="69">
      <c r="A69" s="6">
        <f>'Watershed plans'!L41</f>
        <v/>
      </c>
      <c r="B69" s="10">
        <f>'Watershed plans'!B41</f>
        <v/>
      </c>
      <c r="C69" s="21">
        <f>IF('Watershed plans'!C41=1,'Watershed plans'!P41,"")</f>
        <v/>
      </c>
      <c r="D69" s="26">
        <f>IF('Watershed plans'!C41=1,'Watershed plans'!Q41,"")</f>
        <v/>
      </c>
    </row>
    <row r="70">
      <c r="A70" s="6">
        <f>'Watershed plans'!L42</f>
        <v/>
      </c>
      <c r="B70" s="10">
        <f>'Watershed plans'!B42</f>
        <v/>
      </c>
      <c r="C70" s="21">
        <f>IF('Watershed plans'!C42=1,'Watershed plans'!P42,"")</f>
        <v/>
      </c>
      <c r="D70" s="26">
        <f>IF('Watershed plans'!C42=1,'Watershed plans'!Q42,"")</f>
        <v/>
      </c>
    </row>
    <row r="71">
      <c r="A71" s="6">
        <f>'Watershed plans'!L43</f>
        <v/>
      </c>
      <c r="B71" s="10">
        <f>'Watershed plans'!B43</f>
        <v/>
      </c>
      <c r="C71" s="21">
        <f>IF('Watershed plans'!C43=1,'Watershed plans'!P43,"")</f>
        <v/>
      </c>
      <c r="D71" s="26">
        <f>IF('Watershed plans'!C43=1,'Watershed plans'!Q43,"")</f>
        <v/>
      </c>
    </row>
    <row r="72">
      <c r="A72" s="6">
        <f>'Watershed plans'!L44</f>
        <v/>
      </c>
      <c r="B72" s="10">
        <f>'Watershed plans'!B44</f>
        <v/>
      </c>
      <c r="C72" s="21">
        <f>IF('Watershed plans'!C44=1,'Watershed plans'!P44,"")</f>
        <v/>
      </c>
      <c r="D72" s="26">
        <f>IF('Watershed plans'!C44=1,'Watershed plans'!Q44,"")</f>
        <v/>
      </c>
    </row>
    <row r="73">
      <c r="A73" s="6">
        <f>'Watershed plans'!L45</f>
        <v/>
      </c>
      <c r="B73" s="10">
        <f>'Watershed plans'!B45</f>
        <v/>
      </c>
      <c r="C73" s="21">
        <f>IF('Watershed plans'!C45=1,'Watershed plans'!P45,"")</f>
        <v/>
      </c>
      <c r="D73" s="26">
        <f>IF('Watershed plans'!C45=1,'Watershed plans'!Q45,"")</f>
        <v/>
      </c>
    </row>
    <row r="74">
      <c r="A74" s="6">
        <f>'Watershed plans'!L46</f>
        <v/>
      </c>
      <c r="B74" s="10">
        <f>'Watershed plans'!B46</f>
        <v/>
      </c>
      <c r="C74" s="21">
        <f>IF('Watershed plans'!C46=1,'Watershed plans'!P46,"")</f>
        <v/>
      </c>
      <c r="D74" s="26">
        <f>IF('Watershed plans'!C46=1,'Watershed plans'!Q46,"")</f>
        <v/>
      </c>
    </row>
    <row r="75">
      <c r="A75" s="6">
        <f>'Watershed plans'!L47</f>
        <v/>
      </c>
      <c r="B75" s="10">
        <f>'Watershed plans'!B47</f>
        <v/>
      </c>
      <c r="C75" s="21">
        <f>IF('Watershed plans'!C47=1,'Watershed plans'!P47,"")</f>
        <v/>
      </c>
      <c r="D75" s="26">
        <f>IF('Watershed plans'!C47=1,'Watershed plans'!Q47,"")</f>
        <v/>
      </c>
    </row>
    <row r="76">
      <c r="A76" s="6">
        <f>'Watershed plans'!L48</f>
        <v/>
      </c>
      <c r="B76" s="10">
        <f>'Watershed plans'!B48</f>
        <v/>
      </c>
      <c r="C76" s="21">
        <f>IF('Watershed plans'!C48=1,'Watershed plans'!P48,"")</f>
        <v/>
      </c>
      <c r="D76" s="26">
        <f>IF('Watershed plans'!C48=1,'Watershed plans'!Q48,"")</f>
        <v/>
      </c>
    </row>
    <row r="77">
      <c r="A77" s="6">
        <f>'Watershed plans'!L49</f>
        <v/>
      </c>
      <c r="B77" s="10">
        <f>'Watershed plans'!B49</f>
        <v/>
      </c>
      <c r="C77" s="21">
        <f>IF('Watershed plans'!C49=1,'Watershed plans'!P49,"")</f>
        <v/>
      </c>
      <c r="D77" s="26">
        <f>IF('Watershed plans'!C49=1,'Watershed plans'!Q49,"")</f>
        <v/>
      </c>
    </row>
    <row r="78">
      <c r="A78" s="6">
        <f>'Watershed plans'!L50</f>
        <v/>
      </c>
      <c r="B78" s="10">
        <f>'Watershed plans'!B50</f>
        <v/>
      </c>
      <c r="C78" s="21">
        <f>IF('Watershed plans'!C50=1,'Watershed plans'!P50,"")</f>
        <v/>
      </c>
      <c r="D78" s="26">
        <f>IF('Watershed plans'!C50=1,'Watershed plans'!Q50,"")</f>
        <v/>
      </c>
    </row>
    <row r="79">
      <c r="A79" s="6">
        <f>'Watershed plans'!L51</f>
        <v/>
      </c>
      <c r="B79" s="10">
        <f>'Watershed plans'!B51</f>
        <v/>
      </c>
      <c r="C79" s="21">
        <f>IF('Watershed plans'!C51=1,'Watershed plans'!P51,"")</f>
        <v/>
      </c>
      <c r="D79" s="26">
        <f>IF('Watershed plans'!C51=1,'Watershed plans'!Q51,"")</f>
        <v/>
      </c>
    </row>
    <row r="80">
      <c r="A80" s="6">
        <f>'Watershed plans'!L52</f>
        <v/>
      </c>
      <c r="B80" s="10">
        <f>'Watershed plans'!B52</f>
        <v/>
      </c>
      <c r="C80" s="21">
        <f>IF('Watershed plans'!C52=1,'Watershed plans'!P52,"")</f>
        <v/>
      </c>
      <c r="D80" s="26">
        <f>IF('Watershed plans'!C52=1,'Watershed plans'!Q52,"")</f>
        <v/>
      </c>
    </row>
    <row r="81">
      <c r="A81" s="6">
        <f>'Watershed plans'!L53</f>
        <v/>
      </c>
      <c r="B81" s="10">
        <f>'Watershed plans'!B53</f>
        <v/>
      </c>
      <c r="C81" s="21">
        <f>IF('Watershed plans'!C53=1,'Watershed plans'!P53,"")</f>
        <v/>
      </c>
      <c r="D81" s="26">
        <f>IF('Watershed plans'!C53=1,'Watershed plans'!Q53,"")</f>
        <v/>
      </c>
    </row>
    <row r="82">
      <c r="A82" s="6">
        <f>'Watershed plans'!L54</f>
        <v/>
      </c>
      <c r="B82" s="10">
        <f>'Watershed plans'!B54</f>
        <v/>
      </c>
      <c r="C82" s="21">
        <f>IF('Watershed plans'!C54=1,'Watershed plans'!P54,"")</f>
        <v/>
      </c>
      <c r="D82" s="26">
        <f>IF('Watershed plans'!C54=1,'Watershed plans'!Q54,"")</f>
        <v/>
      </c>
    </row>
    <row r="83">
      <c r="A83" s="6">
        <f>'Watershed plans'!L55</f>
        <v/>
      </c>
      <c r="B83" s="10">
        <f>'Watershed plans'!B55</f>
        <v/>
      </c>
      <c r="C83" s="21">
        <f>IF('Watershed plans'!C55=1,'Watershed plans'!P55,"")</f>
        <v/>
      </c>
      <c r="D83" s="26">
        <f>IF('Watershed plans'!C55=1,'Watershed plans'!Q55,"")</f>
        <v/>
      </c>
    </row>
    <row r="84">
      <c r="A84" s="6">
        <f>'Watershed plans'!L56</f>
        <v/>
      </c>
      <c r="B84" s="10">
        <f>'Watershed plans'!B56</f>
        <v/>
      </c>
      <c r="C84" s="21">
        <f>IF('Watershed plans'!C56=1,'Watershed plans'!P56,"")</f>
        <v/>
      </c>
      <c r="D84" s="26">
        <f>IF('Watershed plans'!C56=1,'Watershed plans'!Q56,"")</f>
        <v/>
      </c>
    </row>
    <row r="85">
      <c r="A85" s="6">
        <f>'Watershed plans'!L57</f>
        <v/>
      </c>
      <c r="B85" s="10">
        <f>'Watershed plans'!B57</f>
        <v/>
      </c>
      <c r="C85" s="21">
        <f>IF('Watershed plans'!C57=1,'Watershed plans'!P57,"")</f>
        <v/>
      </c>
      <c r="D85" s="26">
        <f>IF('Watershed plans'!C57=1,'Watershed plans'!Q57,"")</f>
        <v/>
      </c>
    </row>
    <row r="86">
      <c r="A86" s="6">
        <f>'Watershed plans'!L58</f>
        <v/>
      </c>
      <c r="B86" s="10">
        <f>'Watershed plans'!B58</f>
        <v/>
      </c>
      <c r="C86" s="21">
        <f>IF('Watershed plans'!C58=1,'Watershed plans'!P58,"")</f>
        <v/>
      </c>
      <c r="D86" s="26">
        <f>IF('Watershed plans'!C58=1,'Watershed plans'!Q58,"")</f>
        <v/>
      </c>
    </row>
    <row r="87">
      <c r="A87" s="6">
        <f>'Watershed plans'!L59</f>
        <v/>
      </c>
      <c r="B87" s="10">
        <f>'Watershed plans'!B59</f>
        <v/>
      </c>
      <c r="C87" s="21">
        <f>IF('Watershed plans'!C59=1,'Watershed plans'!P59,"")</f>
        <v/>
      </c>
      <c r="D87" s="26">
        <f>IF('Watershed plans'!C59=1,'Watershed plans'!Q59,"")</f>
        <v/>
      </c>
    </row>
    <row r="88">
      <c r="A88" s="6">
        <f>'Watershed plans'!L60</f>
        <v/>
      </c>
      <c r="B88" s="10">
        <f>'Watershed plans'!B60</f>
        <v/>
      </c>
      <c r="C88" s="21">
        <f>IF('Watershed plans'!C60=1,'Watershed plans'!P60,"")</f>
        <v/>
      </c>
      <c r="D88" s="26">
        <f>IF('Watershed plans'!C60=1,'Watershed plans'!Q60,"")</f>
        <v/>
      </c>
    </row>
    <row r="89">
      <c r="A89" s="6">
        <f>'Watershed plans'!L61</f>
        <v/>
      </c>
      <c r="B89" s="10">
        <f>'Watershed plans'!B61</f>
        <v/>
      </c>
      <c r="C89" s="21">
        <f>IF('Watershed plans'!C61=1,'Watershed plans'!P61,"")</f>
        <v/>
      </c>
      <c r="D89" s="26">
        <f>IF('Watershed plans'!C61=1,'Watershed plans'!Q61,"")</f>
        <v/>
      </c>
    </row>
    <row r="90">
      <c r="A90" s="6">
        <f>'Watershed plans'!L62</f>
        <v/>
      </c>
      <c r="B90" s="10">
        <f>'Watershed plans'!B62</f>
        <v/>
      </c>
      <c r="C90" s="21">
        <f>IF('Watershed plans'!C62=1,'Watershed plans'!P62,"")</f>
        <v/>
      </c>
      <c r="D90" s="26">
        <f>IF('Watershed plans'!C62=1,'Watershed plans'!Q62,"")</f>
        <v/>
      </c>
    </row>
    <row r="91">
      <c r="A91" s="6">
        <f>'Watershed plans'!L63</f>
        <v/>
      </c>
      <c r="B91" s="10">
        <f>'Watershed plans'!B63</f>
        <v/>
      </c>
      <c r="C91" s="21">
        <f>IF('Watershed plans'!C63=1,'Watershed plans'!P63,"")</f>
        <v/>
      </c>
      <c r="D91" s="26">
        <f>IF('Watershed plans'!C63=1,'Watershed plans'!Q63,"")</f>
        <v/>
      </c>
    </row>
    <row r="92">
      <c r="A92" s="6">
        <f>'Watershed plans'!L64</f>
        <v/>
      </c>
      <c r="B92" s="10">
        <f>'Watershed plans'!B64</f>
        <v/>
      </c>
      <c r="C92" s="21">
        <f>IF('Watershed plans'!C64=1,'Watershed plans'!P64,"")</f>
        <v/>
      </c>
      <c r="D92" s="26">
        <f>IF('Watershed plans'!C64=1,'Watershed plans'!Q64,"")</f>
        <v/>
      </c>
    </row>
    <row r="93">
      <c r="A93" s="6">
        <f>'Watershed plans'!L65</f>
        <v/>
      </c>
      <c r="B93" s="10">
        <f>'Watershed plans'!B65</f>
        <v/>
      </c>
      <c r="C93" s="21">
        <f>IF('Watershed plans'!C65=1,'Watershed plans'!P65,"")</f>
        <v/>
      </c>
      <c r="D93" s="26">
        <f>IF('Watershed plans'!C65=1,'Watershed plans'!Q65,"")</f>
        <v/>
      </c>
    </row>
    <row r="94">
      <c r="A94" s="6">
        <f>'Watershed plans'!L66</f>
        <v/>
      </c>
      <c r="B94" s="10">
        <f>'Watershed plans'!B66</f>
        <v/>
      </c>
      <c r="C94" s="21">
        <f>IF('Watershed plans'!C66=1,'Watershed plans'!P66,"")</f>
        <v/>
      </c>
      <c r="D94" s="26">
        <f>IF('Watershed plans'!C66=1,'Watershed plans'!Q66,"")</f>
        <v/>
      </c>
    </row>
    <row r="95">
      <c r="A95" s="6">
        <f>'Watershed plans'!L67</f>
        <v/>
      </c>
      <c r="B95" s="10">
        <f>'Watershed plans'!B67</f>
        <v/>
      </c>
      <c r="C95" s="21">
        <f>IF('Watershed plans'!C67=1,'Watershed plans'!P67,"")</f>
        <v/>
      </c>
      <c r="D95" s="26">
        <f>IF('Watershed plans'!C67=1,'Watershed plans'!Q67,"")</f>
        <v/>
      </c>
    </row>
    <row r="96">
      <c r="A96" s="6">
        <f>'Watershed plans'!L68</f>
        <v/>
      </c>
      <c r="B96" s="10">
        <f>'Watershed plans'!B68</f>
        <v/>
      </c>
      <c r="C96" s="21">
        <f>IF('Watershed plans'!C68=1,'Watershed plans'!P68,"")</f>
        <v/>
      </c>
      <c r="D96" s="26">
        <f>IF('Watershed plans'!C68=1,'Watershed plans'!Q68,"")</f>
        <v/>
      </c>
    </row>
    <row r="97">
      <c r="A97" s="6">
        <f>'Watershed plans'!L69</f>
        <v/>
      </c>
      <c r="B97" s="10">
        <f>'Watershed plans'!B69</f>
        <v/>
      </c>
      <c r="C97" s="21">
        <f>IF('Watershed plans'!C69=1,'Watershed plans'!P69,"")</f>
        <v/>
      </c>
      <c r="D97" s="26">
        <f>IF('Watershed plans'!C69=1,'Watershed plans'!Q69,"")</f>
        <v/>
      </c>
    </row>
    <row r="98">
      <c r="A98" s="6">
        <f>'Watershed plans'!L70</f>
        <v/>
      </c>
      <c r="B98" s="10">
        <f>'Watershed plans'!B70</f>
        <v/>
      </c>
      <c r="C98" s="21">
        <f>IF('Watershed plans'!C70=1,'Watershed plans'!P70,"")</f>
        <v/>
      </c>
      <c r="D98" s="26">
        <f>IF('Watershed plans'!C70=1,'Watershed plans'!Q70,"")</f>
        <v/>
      </c>
    </row>
    <row r="99">
      <c r="A99" s="6">
        <f>'Watershed plans'!L71</f>
        <v/>
      </c>
      <c r="B99" s="10">
        <f>'Watershed plans'!B71</f>
        <v/>
      </c>
      <c r="C99" s="21">
        <f>IF('Watershed plans'!C71=1,'Watershed plans'!P71,"")</f>
        <v/>
      </c>
      <c r="D99" s="26">
        <f>IF('Watershed plans'!C71=1,'Watershed plans'!Q71,"")</f>
        <v/>
      </c>
    </row>
    <row r="100">
      <c r="A100" s="6">
        <f>'Watershed plans'!L72</f>
        <v/>
      </c>
      <c r="B100" s="10">
        <f>'Watershed plans'!B72</f>
        <v/>
      </c>
      <c r="C100" s="21">
        <f>IF('Watershed plans'!C72=1,'Watershed plans'!P72,"")</f>
        <v/>
      </c>
      <c r="D100" s="26">
        <f>IF('Watershed plans'!C72=1,'Watershed plans'!Q72,"")</f>
        <v/>
      </c>
    </row>
    <row r="101">
      <c r="A101" s="6">
        <f>'Watershed plans'!L73</f>
        <v/>
      </c>
      <c r="B101" s="10">
        <f>'Watershed plans'!B73</f>
        <v/>
      </c>
      <c r="C101" s="21">
        <f>IF('Watershed plans'!C73=1,'Watershed plans'!P73,"")</f>
        <v/>
      </c>
      <c r="D101" s="26">
        <f>IF('Watershed plans'!C73=1,'Watershed plans'!Q73,"")</f>
        <v/>
      </c>
    </row>
    <row r="102">
      <c r="A102" s="6">
        <f>'Watershed plans'!L74</f>
        <v/>
      </c>
      <c r="B102" s="10">
        <f>'Watershed plans'!B74</f>
        <v/>
      </c>
      <c r="C102" s="21">
        <f>IF('Watershed plans'!C74=1,'Watershed plans'!P74,"")</f>
        <v/>
      </c>
      <c r="D102" s="26">
        <f>IF('Watershed plans'!C74=1,'Watershed plans'!Q74,"")</f>
        <v/>
      </c>
    </row>
    <row r="103">
      <c r="A103" s="6">
        <f>'Watershed plans'!L75</f>
        <v/>
      </c>
      <c r="B103" s="10">
        <f>'Watershed plans'!B75</f>
        <v/>
      </c>
      <c r="C103" s="21">
        <f>IF('Watershed plans'!C75=1,'Watershed plans'!P75,"")</f>
        <v/>
      </c>
      <c r="D103" s="26">
        <f>IF('Watershed plans'!C75=1,'Watershed plans'!Q75,"")</f>
        <v/>
      </c>
    </row>
    <row r="104">
      <c r="A104" s="6">
        <f>'Watershed plans'!L76</f>
        <v/>
      </c>
      <c r="B104" s="10">
        <f>'Watershed plans'!B76</f>
        <v/>
      </c>
      <c r="C104" s="21">
        <f>IF('Watershed plans'!C76=1,'Watershed plans'!P76,"")</f>
        <v/>
      </c>
      <c r="D104" s="26">
        <f>IF('Watershed plans'!C76=1,'Watershed plans'!Q76,"")</f>
        <v/>
      </c>
    </row>
    <row r="105">
      <c r="A105" s="6">
        <f>'Watershed plans'!L77</f>
        <v/>
      </c>
      <c r="B105" s="10">
        <f>'Watershed plans'!B77</f>
        <v/>
      </c>
      <c r="C105" s="21">
        <f>IF('Watershed plans'!C77=1,'Watershed plans'!P77,"")</f>
        <v/>
      </c>
      <c r="D105" s="26">
        <f>IF('Watershed plans'!C77=1,'Watershed plans'!Q77,"")</f>
        <v/>
      </c>
    </row>
    <row r="106">
      <c r="A106" s="6">
        <f>'Watershed plans'!L78</f>
        <v/>
      </c>
      <c r="B106" s="10">
        <f>'Watershed plans'!B78</f>
        <v/>
      </c>
      <c r="C106" s="21">
        <f>IF('Watershed plans'!C78=1,'Watershed plans'!P78,"")</f>
        <v/>
      </c>
      <c r="D106" s="26">
        <f>IF('Watershed plans'!C78=1,'Watershed plans'!Q78,"")</f>
        <v/>
      </c>
    </row>
    <row r="107">
      <c r="A107" s="6">
        <f>'Watershed plans'!L79</f>
        <v/>
      </c>
      <c r="B107" s="10">
        <f>'Watershed plans'!B79</f>
        <v/>
      </c>
      <c r="C107" s="21">
        <f>IF('Watershed plans'!C79=1,'Watershed plans'!P79,"")</f>
        <v/>
      </c>
      <c r="D107" s="26">
        <f>IF('Watershed plans'!C79=1,'Watershed plans'!Q79,"")</f>
        <v/>
      </c>
    </row>
    <row r="108">
      <c r="A108" s="6">
        <f>'Watershed plans'!L80</f>
        <v/>
      </c>
      <c r="B108" s="10">
        <f>'Watershed plans'!B80</f>
        <v/>
      </c>
      <c r="C108" s="21">
        <f>IF('Watershed plans'!C80=1,'Watershed plans'!P80,"")</f>
        <v/>
      </c>
      <c r="D108" s="26">
        <f>IF('Watershed plans'!C80=1,'Watershed plans'!Q80,"")</f>
        <v/>
      </c>
    </row>
    <row r="109">
      <c r="A109" s="6">
        <f>'Watershed plans'!L81</f>
        <v/>
      </c>
      <c r="B109" s="10">
        <f>'Watershed plans'!B81</f>
        <v/>
      </c>
      <c r="C109" s="21">
        <f>IF('Watershed plans'!C81=1,'Watershed plans'!P81,"")</f>
        <v/>
      </c>
      <c r="D109" s="26">
        <f>IF('Watershed plans'!C81=1,'Watershed plans'!Q81,"")</f>
        <v/>
      </c>
    </row>
    <row r="110">
      <c r="A110" s="6">
        <f>'Watershed plans'!L82</f>
        <v/>
      </c>
      <c r="B110" s="10">
        <f>'Watershed plans'!B82</f>
        <v/>
      </c>
      <c r="C110" s="21">
        <f>IF('Watershed plans'!C82=1,'Watershed plans'!P82,"")</f>
        <v/>
      </c>
      <c r="D110" s="26">
        <f>IF('Watershed plans'!C82=1,'Watershed plans'!Q82,"")</f>
        <v/>
      </c>
    </row>
    <row r="111">
      <c r="A111" s="6">
        <f>'Watershed plans'!L83</f>
        <v/>
      </c>
      <c r="B111" s="10">
        <f>'Watershed plans'!B83</f>
        <v/>
      </c>
      <c r="C111" s="21">
        <f>IF('Watershed plans'!C83=1,'Watershed plans'!P83,"")</f>
        <v/>
      </c>
      <c r="D111" s="26">
        <f>IF('Watershed plans'!C83=1,'Watershed plans'!Q83,"")</f>
        <v/>
      </c>
    </row>
    <row r="112">
      <c r="A112" s="6">
        <f>'Watershed plans'!L84</f>
        <v/>
      </c>
      <c r="B112" s="10">
        <f>'Watershed plans'!B84</f>
        <v/>
      </c>
      <c r="C112" s="21">
        <f>IF('Watershed plans'!C84=1,'Watershed plans'!P84,"")</f>
        <v/>
      </c>
      <c r="D112" s="26">
        <f>IF('Watershed plans'!C84=1,'Watershed plans'!Q84,"")</f>
        <v/>
      </c>
    </row>
    <row r="113">
      <c r="A113" s="6">
        <f>'Watershed plans'!L85</f>
        <v/>
      </c>
      <c r="B113" s="10">
        <f>'Watershed plans'!B85</f>
        <v/>
      </c>
      <c r="C113" s="21">
        <f>IF('Watershed plans'!C85=1,'Watershed plans'!P85,"")</f>
        <v/>
      </c>
      <c r="D113" s="26">
        <f>IF('Watershed plans'!C85=1,'Watershed plans'!Q85,"")</f>
        <v/>
      </c>
    </row>
    <row r="114">
      <c r="A114" s="6">
        <f>'Watershed plans'!L86</f>
        <v/>
      </c>
      <c r="B114" s="10">
        <f>'Watershed plans'!B86</f>
        <v/>
      </c>
      <c r="C114" s="21">
        <f>IF('Watershed plans'!C86=1,'Watershed plans'!P86,"")</f>
        <v/>
      </c>
      <c r="D114" s="26">
        <f>IF('Watershed plans'!C86=1,'Watershed plans'!Q86,"")</f>
        <v/>
      </c>
    </row>
    <row r="115">
      <c r="A115" s="6">
        <f>'Watershed plans'!L87</f>
        <v/>
      </c>
      <c r="B115" s="10">
        <f>'Watershed plans'!B87</f>
        <v/>
      </c>
      <c r="C115" s="21">
        <f>IF('Watershed plans'!C87=1,'Watershed plans'!P87,"")</f>
        <v/>
      </c>
      <c r="D115" s="26">
        <f>IF('Watershed plans'!C87=1,'Watershed plans'!Q87,"")</f>
        <v/>
      </c>
    </row>
    <row r="116">
      <c r="A116" s="6">
        <f>'Watershed plans'!L88</f>
        <v/>
      </c>
      <c r="B116" s="10">
        <f>'Watershed plans'!B88</f>
        <v/>
      </c>
      <c r="C116" s="21">
        <f>IF('Watershed plans'!C88=1,'Watershed plans'!P88,"")</f>
        <v/>
      </c>
      <c r="D116" s="26">
        <f>IF('Watershed plans'!C88=1,'Watershed plans'!Q88,"")</f>
        <v/>
      </c>
    </row>
    <row r="117">
      <c r="A117" s="6">
        <f>'Watershed plans'!L89</f>
        <v/>
      </c>
      <c r="B117" s="10">
        <f>'Watershed plans'!B89</f>
        <v/>
      </c>
      <c r="C117" s="21">
        <f>IF('Watershed plans'!C89=1,'Watershed plans'!P89,"")</f>
        <v/>
      </c>
      <c r="D117" s="26">
        <f>IF('Watershed plans'!C89=1,'Watershed plans'!Q89,"")</f>
        <v/>
      </c>
    </row>
    <row r="118">
      <c r="A118" s="6">
        <f>'Watershed plans'!L90</f>
        <v/>
      </c>
      <c r="B118" s="10">
        <f>'Watershed plans'!B90</f>
        <v/>
      </c>
      <c r="C118" s="21">
        <f>IF('Watershed plans'!C90=1,'Watershed plans'!P90,"")</f>
        <v/>
      </c>
      <c r="D118" s="26">
        <f>IF('Watershed plans'!C90=1,'Watershed plans'!Q90,"")</f>
        <v/>
      </c>
    </row>
    <row r="119">
      <c r="A119" s="6">
        <f>'Watershed plans'!L91</f>
        <v/>
      </c>
      <c r="B119" s="10">
        <f>'Watershed plans'!B91</f>
        <v/>
      </c>
      <c r="C119" s="21">
        <f>IF('Watershed plans'!C91=1,'Watershed plans'!P91,"")</f>
        <v/>
      </c>
      <c r="D119" s="26">
        <f>IF('Watershed plans'!C91=1,'Watershed plans'!Q91,"")</f>
        <v/>
      </c>
    </row>
    <row r="120">
      <c r="A120" s="6">
        <f>'Watershed plans'!L92</f>
        <v/>
      </c>
      <c r="B120" s="10">
        <f>'Watershed plans'!B92</f>
        <v/>
      </c>
      <c r="C120" s="21">
        <f>IF('Watershed plans'!C92=1,'Watershed plans'!P92,"")</f>
        <v/>
      </c>
      <c r="D120" s="26">
        <f>IF('Watershed plans'!C92=1,'Watershed plans'!Q92,"")</f>
        <v/>
      </c>
    </row>
    <row r="121">
      <c r="A121" s="6">
        <f>'Watershed plans'!L93</f>
        <v/>
      </c>
      <c r="B121" s="10">
        <f>'Watershed plans'!B93</f>
        <v/>
      </c>
      <c r="C121" s="21">
        <f>IF('Watershed plans'!C93=1,'Watershed plans'!P93,"")</f>
        <v/>
      </c>
      <c r="D121" s="26">
        <f>IF('Watershed plans'!C93=1,'Watershed plans'!Q93,"")</f>
        <v/>
      </c>
    </row>
    <row r="122">
      <c r="A122" s="6">
        <f>'Watershed plans'!L94</f>
        <v/>
      </c>
      <c r="B122" s="10">
        <f>'Watershed plans'!B94</f>
        <v/>
      </c>
      <c r="C122" s="21">
        <f>IF('Watershed plans'!C94=1,'Watershed plans'!P94,"")</f>
        <v/>
      </c>
      <c r="D122" s="26">
        <f>IF('Watershed plans'!C94=1,'Watershed plans'!Q94,"")</f>
        <v/>
      </c>
    </row>
    <row r="123">
      <c r="A123" s="6">
        <f>'Watershed plans'!L95</f>
        <v/>
      </c>
      <c r="B123" s="10">
        <f>'Watershed plans'!B95</f>
        <v/>
      </c>
      <c r="C123" s="21">
        <f>IF('Watershed plans'!C95=1,'Watershed plans'!P95,"")</f>
        <v/>
      </c>
      <c r="D123" s="26">
        <f>IF('Watershed plans'!C95=1,'Watershed plans'!Q95,"")</f>
        <v/>
      </c>
    </row>
    <row r="124">
      <c r="A124" s="6">
        <f>'Watershed plans'!L96</f>
        <v/>
      </c>
      <c r="B124" s="10">
        <f>'Watershed plans'!B96</f>
        <v/>
      </c>
      <c r="C124" s="21">
        <f>IF('Watershed plans'!C96=1,'Watershed plans'!P96,"")</f>
        <v/>
      </c>
      <c r="D124" s="26">
        <f>IF('Watershed plans'!C96=1,'Watershed plans'!Q96,"")</f>
        <v/>
      </c>
    </row>
    <row r="125">
      <c r="A125" s="6">
        <f>'Watershed plans'!L97</f>
        <v/>
      </c>
      <c r="B125" s="10">
        <f>'Watershed plans'!B97</f>
        <v/>
      </c>
      <c r="C125" s="21">
        <f>IF('Watershed plans'!C97=1,'Watershed plans'!P97,"")</f>
        <v/>
      </c>
      <c r="D125" s="26">
        <f>IF('Watershed plans'!C97=1,'Watershed plans'!Q97,"")</f>
        <v/>
      </c>
    </row>
    <row r="126">
      <c r="A126" s="6">
        <f>'Watershed plans'!L98</f>
        <v/>
      </c>
      <c r="B126" s="10">
        <f>'Watershed plans'!B98</f>
        <v/>
      </c>
      <c r="C126" s="21">
        <f>IF('Watershed plans'!C98=1,'Watershed plans'!P98,"")</f>
        <v/>
      </c>
      <c r="D126" s="26">
        <f>IF('Watershed plans'!C98=1,'Watershed plans'!Q98,"")</f>
        <v/>
      </c>
    </row>
    <row r="127">
      <c r="A127" s="6">
        <f>'Watershed plans'!L99</f>
        <v/>
      </c>
      <c r="B127" s="10">
        <f>'Watershed plans'!B99</f>
        <v/>
      </c>
      <c r="C127" s="21">
        <f>IF('Watershed plans'!C99=1,'Watershed plans'!P99,"")</f>
        <v/>
      </c>
      <c r="D127" s="26">
        <f>IF('Watershed plans'!C99=1,'Watershed plans'!Q99,"")</f>
        <v/>
      </c>
    </row>
    <row r="128">
      <c r="A128" s="6">
        <f>'Watershed plans'!L100</f>
        <v/>
      </c>
      <c r="B128" s="10">
        <f>'Watershed plans'!B100</f>
        <v/>
      </c>
      <c r="C128" s="21">
        <f>IF('Watershed plans'!C100=1,'Watershed plans'!P100,"")</f>
        <v/>
      </c>
      <c r="D128" s="26">
        <f>IF('Watershed plans'!C100=1,'Watershed plans'!Q100,"")</f>
        <v/>
      </c>
    </row>
    <row r="129">
      <c r="A129" s="6">
        <f>'Watershed plans'!L101</f>
        <v/>
      </c>
      <c r="B129" s="10">
        <f>'Watershed plans'!B101</f>
        <v/>
      </c>
      <c r="C129" s="21">
        <f>IF('Watershed plans'!C101=1,'Watershed plans'!P101,"")</f>
        <v/>
      </c>
      <c r="D129" s="26">
        <f>IF('Watershed plans'!C101=1,'Watershed plans'!Q101,"")</f>
        <v/>
      </c>
    </row>
    <row r="130">
      <c r="A130" s="6">
        <f>'Watershed plans'!L102</f>
        <v/>
      </c>
      <c r="B130" s="10">
        <f>'Watershed plans'!B102</f>
        <v/>
      </c>
      <c r="C130" s="21">
        <f>IF('Watershed plans'!C102=1,'Watershed plans'!P102,"")</f>
        <v/>
      </c>
      <c r="D130" s="26">
        <f>IF('Watershed plans'!C102=1,'Watershed plans'!Q102,"")</f>
        <v/>
      </c>
    </row>
    <row r="131">
      <c r="A131" s="6">
        <f>'Watershed plans'!L103</f>
        <v/>
      </c>
      <c r="B131" s="10">
        <f>'Watershed plans'!B103</f>
        <v/>
      </c>
      <c r="C131" s="21">
        <f>IF('Watershed plans'!C103=1,'Watershed plans'!P103,"")</f>
        <v/>
      </c>
      <c r="D131" s="26">
        <f>IF('Watershed plans'!C103=1,'Watershed plans'!Q103,"")</f>
        <v/>
      </c>
    </row>
    <row r="132">
      <c r="A132" s="6">
        <f>'Watershed plans'!L104</f>
        <v/>
      </c>
      <c r="B132" s="10">
        <f>'Watershed plans'!B104</f>
        <v/>
      </c>
      <c r="C132" s="21">
        <f>IF('Watershed plans'!C104=1,'Watershed plans'!P104,"")</f>
        <v/>
      </c>
      <c r="D132" s="26">
        <f>IF('Watershed plans'!C104=1,'Watershed plans'!Q104,"")</f>
        <v/>
      </c>
    </row>
    <row r="133">
      <c r="A133" s="6">
        <f>'Watershed plans'!L105</f>
        <v/>
      </c>
      <c r="B133" s="10">
        <f>'Watershed plans'!B105</f>
        <v/>
      </c>
      <c r="C133" s="21">
        <f>IF('Watershed plans'!C105=1,'Watershed plans'!P105,"")</f>
        <v/>
      </c>
      <c r="D133" s="26">
        <f>IF('Watershed plans'!C105=1,'Watershed plans'!Q105,"")</f>
        <v/>
      </c>
    </row>
    <row r="134">
      <c r="A134" s="6">
        <f>'Watershed plans'!L106</f>
        <v/>
      </c>
      <c r="B134" s="10">
        <f>'Watershed plans'!B106</f>
        <v/>
      </c>
      <c r="C134" s="21">
        <f>IF('Watershed plans'!C106=1,'Watershed plans'!P106,"")</f>
        <v/>
      </c>
      <c r="D134" s="26">
        <f>IF('Watershed plans'!C106=1,'Watershed plans'!Q106,"")</f>
        <v/>
      </c>
    </row>
    <row r="135">
      <c r="A135" s="6">
        <f>'Watershed plans'!L107</f>
        <v/>
      </c>
      <c r="B135" s="10">
        <f>'Watershed plans'!B107</f>
        <v/>
      </c>
      <c r="C135" s="21">
        <f>IF('Watershed plans'!C107=1,'Watershed plans'!P107,"")</f>
        <v/>
      </c>
      <c r="D135" s="26">
        <f>IF('Watershed plans'!C107=1,'Watershed plans'!Q107,"")</f>
        <v/>
      </c>
    </row>
    <row r="136">
      <c r="A136" s="6">
        <f>'Watershed plans'!L108</f>
        <v/>
      </c>
      <c r="B136" s="10">
        <f>'Watershed plans'!B108</f>
        <v/>
      </c>
      <c r="C136" s="21">
        <f>IF('Watershed plans'!C108=1,'Watershed plans'!P108,"")</f>
        <v/>
      </c>
      <c r="D136" s="26">
        <f>IF('Watershed plans'!C108=1,'Watershed plans'!Q108,"")</f>
        <v/>
      </c>
    </row>
    <row r="137">
      <c r="A137" s="6">
        <f>'Watershed plans'!L109</f>
        <v/>
      </c>
      <c r="B137" s="10">
        <f>'Watershed plans'!B109</f>
        <v/>
      </c>
      <c r="C137" s="21">
        <f>IF('Watershed plans'!C109=1,'Watershed plans'!P109,"")</f>
        <v/>
      </c>
      <c r="D137" s="26">
        <f>IF('Watershed plans'!C109=1,'Watershed plans'!Q109,"")</f>
        <v/>
      </c>
    </row>
    <row r="138">
      <c r="A138" s="6">
        <f>'Watershed plans'!L110</f>
        <v/>
      </c>
      <c r="B138" s="10">
        <f>'Watershed plans'!B110</f>
        <v/>
      </c>
      <c r="C138" s="21">
        <f>IF('Watershed plans'!C110=1,'Watershed plans'!P110,"")</f>
        <v/>
      </c>
      <c r="D138" s="26">
        <f>IF('Watershed plans'!C110=1,'Watershed plans'!Q110,"")</f>
        <v/>
      </c>
    </row>
    <row r="139">
      <c r="A139" s="6">
        <f>'Watershed plans'!L111</f>
        <v/>
      </c>
      <c r="B139" s="10">
        <f>'Watershed plans'!B111</f>
        <v/>
      </c>
      <c r="C139" s="21">
        <f>IF('Watershed plans'!C111=1,'Watershed plans'!P111,"")</f>
        <v/>
      </c>
      <c r="D139" s="26">
        <f>IF('Watershed plans'!C111=1,'Watershed plans'!Q111,"")</f>
        <v/>
      </c>
    </row>
    <row r="140">
      <c r="A140" s="6">
        <f>'Watershed plans'!L112</f>
        <v/>
      </c>
      <c r="B140" s="10">
        <f>'Watershed plans'!B112</f>
        <v/>
      </c>
      <c r="C140" s="21">
        <f>IF('Watershed plans'!C112=1,'Watershed plans'!P112,"")</f>
        <v/>
      </c>
      <c r="D140" s="26">
        <f>IF('Watershed plans'!C112=1,'Watershed plans'!Q112,"")</f>
        <v/>
      </c>
    </row>
    <row r="141">
      <c r="A141" s="6">
        <f>'Watershed plans'!L113</f>
        <v/>
      </c>
      <c r="B141" s="10">
        <f>'Watershed plans'!B113</f>
        <v/>
      </c>
      <c r="C141" s="21">
        <f>IF('Watershed plans'!C113=1,'Watershed plans'!P113,"")</f>
        <v/>
      </c>
      <c r="D141" s="26">
        <f>IF('Watershed plans'!C113=1,'Watershed plans'!Q113,"")</f>
        <v/>
      </c>
    </row>
    <row r="142">
      <c r="A142" s="6">
        <f>'Watershed plans'!L114</f>
        <v/>
      </c>
      <c r="B142" s="10">
        <f>'Watershed plans'!B114</f>
        <v/>
      </c>
      <c r="C142" s="21">
        <f>IF('Watershed plans'!C114=1,'Watershed plans'!P114,"")</f>
        <v/>
      </c>
      <c r="D142" s="26">
        <f>IF('Watershed plans'!C114=1,'Watershed plans'!Q114,"")</f>
        <v/>
      </c>
    </row>
    <row r="143">
      <c r="A143" s="6">
        <f>'Watershed plans'!L115</f>
        <v/>
      </c>
      <c r="B143" s="10">
        <f>'Watershed plans'!B115</f>
        <v/>
      </c>
      <c r="C143" s="21">
        <f>IF('Watershed plans'!C115=1,'Watershed plans'!P115,"")</f>
        <v/>
      </c>
      <c r="D143" s="26">
        <f>IF('Watershed plans'!C115=1,'Watershed plans'!Q115,"")</f>
        <v/>
      </c>
    </row>
    <row r="144">
      <c r="A144" s="6">
        <f>'Watershed plans'!L116</f>
        <v/>
      </c>
      <c r="B144" s="10">
        <f>'Watershed plans'!B116</f>
        <v/>
      </c>
      <c r="C144" s="21">
        <f>IF('Watershed plans'!C116=1,'Watershed plans'!P116,"")</f>
        <v/>
      </c>
      <c r="D144" s="26">
        <f>IF('Watershed plans'!C116=1,'Watershed plans'!Q116,"")</f>
        <v/>
      </c>
    </row>
    <row r="145">
      <c r="A145" s="6">
        <f>'Watershed plans'!L117</f>
        <v/>
      </c>
      <c r="B145" s="10">
        <f>'Watershed plans'!B117</f>
        <v/>
      </c>
      <c r="C145" s="21">
        <f>IF('Watershed plans'!C117=1,'Watershed plans'!P117,"")</f>
        <v/>
      </c>
      <c r="D145" s="26">
        <f>IF('Watershed plans'!C117=1,'Watershed plans'!Q117,"")</f>
        <v/>
      </c>
    </row>
    <row r="146">
      <c r="A146" s="6">
        <f>'Watershed plans'!L118</f>
        <v/>
      </c>
      <c r="B146" s="10">
        <f>'Watershed plans'!B118</f>
        <v/>
      </c>
      <c r="C146" s="21">
        <f>IF('Watershed plans'!C118=1,'Watershed plans'!P118,"")</f>
        <v/>
      </c>
      <c r="D146" s="26">
        <f>IF('Watershed plans'!C118=1,'Watershed plans'!Q118,"")</f>
        <v/>
      </c>
    </row>
    <row r="147">
      <c r="A147" s="6">
        <f>'Watershed plans'!L119</f>
        <v/>
      </c>
      <c r="B147" s="10">
        <f>'Watershed plans'!B119</f>
        <v/>
      </c>
      <c r="C147" s="21">
        <f>IF('Watershed plans'!C119=1,'Watershed plans'!P119,"")</f>
        <v/>
      </c>
      <c r="D147" s="26">
        <f>IF('Watershed plans'!C119=1,'Watershed plans'!Q119,"")</f>
        <v/>
      </c>
    </row>
    <row r="148">
      <c r="A148" s="6">
        <f>'Watershed plans'!L120</f>
        <v/>
      </c>
      <c r="B148" s="10">
        <f>'Watershed plans'!B120</f>
        <v/>
      </c>
      <c r="C148" s="21">
        <f>IF('Watershed plans'!C120=1,'Watershed plans'!P120,"")</f>
        <v/>
      </c>
      <c r="D148" s="26">
        <f>IF('Watershed plans'!C120=1,'Watershed plans'!Q120,"")</f>
        <v/>
      </c>
    </row>
    <row r="149">
      <c r="A149" s="6">
        <f>'Watershed plans'!L121</f>
        <v/>
      </c>
      <c r="B149" s="10">
        <f>'Watershed plans'!B121</f>
        <v/>
      </c>
      <c r="C149" s="21">
        <f>IF('Watershed plans'!C121=1,'Watershed plans'!P121,"")</f>
        <v/>
      </c>
      <c r="D149" s="26">
        <f>IF('Watershed plans'!C121=1,'Watershed plans'!Q121,"")</f>
        <v/>
      </c>
    </row>
    <row r="150">
      <c r="A150" s="6">
        <f>'Watershed plans'!L122</f>
        <v/>
      </c>
      <c r="B150" s="10">
        <f>'Watershed plans'!B122</f>
        <v/>
      </c>
      <c r="C150" s="21">
        <f>IF('Watershed plans'!C122=1,'Watershed plans'!P122,"")</f>
        <v/>
      </c>
      <c r="D150" s="26">
        <f>IF('Watershed plans'!C122=1,'Watershed plans'!Q122,"")</f>
        <v/>
      </c>
    </row>
    <row r="151">
      <c r="A151" s="6">
        <f>'Watershed plans'!L123</f>
        <v/>
      </c>
      <c r="B151" s="10">
        <f>'Watershed plans'!B123</f>
        <v/>
      </c>
      <c r="C151" s="21">
        <f>IF('Watershed plans'!C123=1,'Watershed plans'!P123,"")</f>
        <v/>
      </c>
      <c r="D151" s="26">
        <f>IF('Watershed plans'!C123=1,'Watershed plans'!Q123,"")</f>
        <v/>
      </c>
    </row>
    <row r="152">
      <c r="A152" s="6">
        <f>'Watershed plans'!L124</f>
        <v/>
      </c>
      <c r="B152" s="10">
        <f>'Watershed plans'!B124</f>
        <v/>
      </c>
      <c r="C152" s="21">
        <f>IF('Watershed plans'!C124=1,'Watershed plans'!P124,"")</f>
        <v/>
      </c>
      <c r="D152" s="26">
        <f>IF('Watershed plans'!C124=1,'Watershed plans'!Q124,"")</f>
        <v/>
      </c>
    </row>
    <row r="153">
      <c r="A153" s="6">
        <f>'Watershed plans'!L125</f>
        <v/>
      </c>
      <c r="B153" s="10">
        <f>'Watershed plans'!B125</f>
        <v/>
      </c>
      <c r="C153" s="21">
        <f>IF('Watershed plans'!C125=1,'Watershed plans'!P125,"")</f>
        <v/>
      </c>
      <c r="D153" s="26">
        <f>IF('Watershed plans'!C125=1,'Watershed plans'!Q125,"")</f>
        <v/>
      </c>
    </row>
    <row r="154">
      <c r="A154" s="6">
        <f>'Watershed plans'!L126</f>
        <v/>
      </c>
      <c r="B154" s="10">
        <f>'Watershed plans'!B126</f>
        <v/>
      </c>
      <c r="C154" s="21">
        <f>IF('Watershed plans'!C126=1,'Watershed plans'!P126,"")</f>
        <v/>
      </c>
      <c r="D154" s="26">
        <f>IF('Watershed plans'!C126=1,'Watershed plans'!Q126,"")</f>
        <v/>
      </c>
    </row>
    <row r="155">
      <c r="A155" s="6">
        <f>'Watershed plans'!L127</f>
        <v/>
      </c>
      <c r="B155" s="10">
        <f>'Watershed plans'!B127</f>
        <v/>
      </c>
      <c r="C155" s="21">
        <f>IF('Watershed plans'!C127=1,'Watershed plans'!P127,"")</f>
        <v/>
      </c>
      <c r="D155" s="26">
        <f>IF('Watershed plans'!C127=1,'Watershed plans'!Q127,"")</f>
        <v/>
      </c>
    </row>
    <row r="156">
      <c r="A156" s="6">
        <f>'Watershed plans'!L128</f>
        <v/>
      </c>
      <c r="B156" s="10">
        <f>'Watershed plans'!B128</f>
        <v/>
      </c>
      <c r="C156" s="21">
        <f>IF('Watershed plans'!C128=1,'Watershed plans'!P128,"")</f>
        <v/>
      </c>
      <c r="D156" s="26">
        <f>IF('Watershed plans'!C128=1,'Watershed plans'!Q128,"")</f>
        <v/>
      </c>
    </row>
    <row r="157">
      <c r="A157" s="6">
        <f>'Watershed plans'!L129</f>
        <v/>
      </c>
      <c r="B157" s="10">
        <f>'Watershed plans'!B129</f>
        <v/>
      </c>
      <c r="C157" s="21">
        <f>IF('Watershed plans'!C129=1,'Watershed plans'!P129,"")</f>
        <v/>
      </c>
      <c r="D157" s="26">
        <f>IF('Watershed plans'!C129=1,'Watershed plans'!Q129,"")</f>
        <v/>
      </c>
    </row>
    <row r="158">
      <c r="A158" s="6">
        <f>'Watershed plans'!L130</f>
        <v/>
      </c>
      <c r="B158" s="10">
        <f>'Watershed plans'!B130</f>
        <v/>
      </c>
      <c r="C158" s="21">
        <f>IF('Watershed plans'!C130=1,'Watershed plans'!P130,"")</f>
        <v/>
      </c>
      <c r="D158" s="26">
        <f>IF('Watershed plans'!C130=1,'Watershed plans'!Q130,"")</f>
        <v/>
      </c>
    </row>
    <row r="159">
      <c r="A159" s="6">
        <f>'Watershed plans'!L131</f>
        <v/>
      </c>
      <c r="B159" s="10">
        <f>'Watershed plans'!B131</f>
        <v/>
      </c>
      <c r="C159" s="21">
        <f>IF('Watershed plans'!C131=1,'Watershed plans'!P131,"")</f>
        <v/>
      </c>
      <c r="D159" s="26">
        <f>IF('Watershed plans'!C131=1,'Watershed plans'!Q131,"")</f>
        <v/>
      </c>
    </row>
    <row r="160">
      <c r="A160" s="6">
        <f>'Watershed plans'!L132</f>
        <v/>
      </c>
      <c r="B160" s="10">
        <f>'Watershed plans'!B132</f>
        <v/>
      </c>
      <c r="C160" s="21">
        <f>IF('Watershed plans'!C132=1,'Watershed plans'!P132,"")</f>
        <v/>
      </c>
      <c r="D160" s="26">
        <f>IF('Watershed plans'!C132=1,'Watershed plans'!Q132,"")</f>
        <v/>
      </c>
    </row>
    <row r="161">
      <c r="A161" s="6">
        <f>'Watershed plans'!L133</f>
        <v/>
      </c>
      <c r="B161" s="10">
        <f>'Watershed plans'!B133</f>
        <v/>
      </c>
      <c r="C161" s="21">
        <f>IF('Watershed plans'!C133=1,'Watershed plans'!P133,"")</f>
        <v/>
      </c>
      <c r="D161" s="26">
        <f>IF('Watershed plans'!C133=1,'Watershed plans'!Q133,"")</f>
        <v/>
      </c>
    </row>
    <row r="162">
      <c r="A162" s="6">
        <f>'Watershed plans'!L134</f>
        <v/>
      </c>
      <c r="B162" s="10">
        <f>'Watershed plans'!B134</f>
        <v/>
      </c>
      <c r="C162" s="21">
        <f>IF('Watershed plans'!C134=1,'Watershed plans'!P134,"")</f>
        <v/>
      </c>
      <c r="D162" s="26">
        <f>IF('Watershed plans'!C134=1,'Watershed plans'!Q134,"")</f>
        <v/>
      </c>
    </row>
    <row r="163">
      <c r="A163" s="6">
        <f>'Watershed plans'!L135</f>
        <v/>
      </c>
      <c r="B163" s="10">
        <f>'Watershed plans'!B135</f>
        <v/>
      </c>
      <c r="C163" s="21">
        <f>IF('Watershed plans'!C135=1,'Watershed plans'!P135,"")</f>
        <v/>
      </c>
      <c r="D163" s="26">
        <f>IF('Watershed plans'!C135=1,'Watershed plans'!Q135,"")</f>
        <v/>
      </c>
    </row>
    <row r="164">
      <c r="A164" s="6">
        <f>'Watershed plans'!L136</f>
        <v/>
      </c>
      <c r="B164" s="10">
        <f>'Watershed plans'!B136</f>
        <v/>
      </c>
      <c r="C164" s="21">
        <f>IF('Watershed plans'!C136=1,'Watershed plans'!P136,"")</f>
        <v/>
      </c>
      <c r="D164" s="26">
        <f>IF('Watershed plans'!C136=1,'Watershed plans'!Q136,"")</f>
        <v/>
      </c>
    </row>
    <row r="165">
      <c r="A165" s="6">
        <f>'Watershed plans'!L137</f>
        <v/>
      </c>
      <c r="B165" s="10">
        <f>'Watershed plans'!B137</f>
        <v/>
      </c>
      <c r="C165" s="21">
        <f>IF('Watershed plans'!C137=1,'Watershed plans'!P137,"")</f>
        <v/>
      </c>
      <c r="D165" s="26">
        <f>IF('Watershed plans'!C137=1,'Watershed plans'!Q137,"")</f>
        <v/>
      </c>
    </row>
    <row r="166">
      <c r="A166" s="6">
        <f>'Watershed plans'!L138</f>
        <v/>
      </c>
      <c r="B166" s="10">
        <f>'Watershed plans'!B138</f>
        <v/>
      </c>
      <c r="C166" s="21">
        <f>IF('Watershed plans'!C138=1,'Watershed plans'!P138,"")</f>
        <v/>
      </c>
      <c r="D166" s="26">
        <f>IF('Watershed plans'!C138=1,'Watershed plans'!Q138,"")</f>
        <v/>
      </c>
    </row>
    <row r="167">
      <c r="A167" s="6">
        <f>'Watershed plans'!L139</f>
        <v/>
      </c>
      <c r="B167" s="10">
        <f>'Watershed plans'!B139</f>
        <v/>
      </c>
      <c r="C167" s="21">
        <f>IF('Watershed plans'!C139=1,'Watershed plans'!P139,"")</f>
        <v/>
      </c>
      <c r="D167" s="26">
        <f>IF('Watershed plans'!C139=1,'Watershed plans'!Q139,"")</f>
        <v/>
      </c>
    </row>
    <row r="168">
      <c r="A168" s="6">
        <f>'Watershed plans'!L140</f>
        <v/>
      </c>
      <c r="B168" s="10">
        <f>'Watershed plans'!B140</f>
        <v/>
      </c>
      <c r="C168" s="21">
        <f>IF('Watershed plans'!C140=1,'Watershed plans'!P140,"")</f>
        <v/>
      </c>
      <c r="D168" s="26">
        <f>IF('Watershed plans'!C140=1,'Watershed plans'!Q140,"")</f>
        <v/>
      </c>
    </row>
    <row r="169">
      <c r="A169" s="6">
        <f>'Watershed plans'!L141</f>
        <v/>
      </c>
      <c r="B169" s="10">
        <f>'Watershed plans'!B141</f>
        <v/>
      </c>
      <c r="C169" s="21">
        <f>IF('Watershed plans'!C141=1,'Watershed plans'!P141,"")</f>
        <v/>
      </c>
      <c r="D169" s="26">
        <f>IF('Watershed plans'!C141=1,'Watershed plans'!Q141,"")</f>
        <v/>
      </c>
    </row>
    <row r="170">
      <c r="A170" s="6">
        <f>'Watershed plans'!L142</f>
        <v/>
      </c>
      <c r="B170" s="10">
        <f>'Watershed plans'!B142</f>
        <v/>
      </c>
      <c r="C170" s="21">
        <f>IF('Watershed plans'!C142=1,'Watershed plans'!P142,"")</f>
        <v/>
      </c>
      <c r="D170" s="26">
        <f>IF('Watershed plans'!C142=1,'Watershed plans'!Q142,"")</f>
        <v/>
      </c>
    </row>
    <row r="171">
      <c r="A171" s="6">
        <f>'Watershed plans'!L143</f>
        <v/>
      </c>
      <c r="B171" s="10">
        <f>'Watershed plans'!B143</f>
        <v/>
      </c>
      <c r="C171" s="21">
        <f>IF('Watershed plans'!C143=1,'Watershed plans'!P143,"")</f>
        <v/>
      </c>
      <c r="D171" s="26">
        <f>IF('Watershed plans'!C143=1,'Watershed plans'!Q143,"")</f>
        <v/>
      </c>
    </row>
    <row r="172">
      <c r="A172" s="6">
        <f>'Watershed plans'!L144</f>
        <v/>
      </c>
      <c r="B172" s="10">
        <f>'Watershed plans'!B144</f>
        <v/>
      </c>
      <c r="C172" s="21">
        <f>IF('Watershed plans'!C144=1,'Watershed plans'!P144,"")</f>
        <v/>
      </c>
      <c r="D172" s="26">
        <f>IF('Watershed plans'!C144=1,'Watershed plans'!Q144,"")</f>
        <v/>
      </c>
    </row>
    <row r="173">
      <c r="A173" s="6">
        <f>'Watershed plans'!L145</f>
        <v/>
      </c>
      <c r="B173" s="10">
        <f>'Watershed plans'!B145</f>
        <v/>
      </c>
      <c r="C173" s="21">
        <f>IF('Watershed plans'!C145=1,'Watershed plans'!P145,"")</f>
        <v/>
      </c>
      <c r="D173" s="26">
        <f>IF('Watershed plans'!C145=1,'Watershed plans'!Q145,"")</f>
        <v/>
      </c>
    </row>
    <row r="174">
      <c r="A174" s="6">
        <f>'Watershed plans'!L146</f>
        <v/>
      </c>
      <c r="B174" s="10">
        <f>'Watershed plans'!B146</f>
        <v/>
      </c>
      <c r="C174" s="21">
        <f>IF('Watershed plans'!C146=1,'Watershed plans'!P146,"")</f>
        <v/>
      </c>
      <c r="D174" s="26">
        <f>IF('Watershed plans'!C146=1,'Watershed plans'!Q146,"")</f>
        <v/>
      </c>
    </row>
    <row r="175">
      <c r="A175" s="6">
        <f>'Watershed plans'!L147</f>
        <v/>
      </c>
      <c r="B175" s="10">
        <f>'Watershed plans'!B147</f>
        <v/>
      </c>
      <c r="C175" s="21">
        <f>IF('Watershed plans'!C147=1,'Watershed plans'!P147,"")</f>
        <v/>
      </c>
      <c r="D175" s="26">
        <f>IF('Watershed plans'!C147=1,'Watershed plans'!Q147,"")</f>
        <v/>
      </c>
    </row>
    <row r="176">
      <c r="A176" s="6">
        <f>'Watershed plans'!L148</f>
        <v/>
      </c>
      <c r="B176" s="10">
        <f>'Watershed plans'!B148</f>
        <v/>
      </c>
      <c r="C176" s="21">
        <f>IF('Watershed plans'!C148=1,'Watershed plans'!P148,"")</f>
        <v/>
      </c>
      <c r="D176" s="26">
        <f>IF('Watershed plans'!C148=1,'Watershed plans'!Q148,"")</f>
        <v/>
      </c>
    </row>
    <row r="177">
      <c r="A177" s="6">
        <f>'Watershed plans'!L149</f>
        <v/>
      </c>
      <c r="B177" s="10">
        <f>'Watershed plans'!B149</f>
        <v/>
      </c>
      <c r="C177" s="21">
        <f>IF('Watershed plans'!C149=1,'Watershed plans'!P149,"")</f>
        <v/>
      </c>
      <c r="D177" s="26">
        <f>IF('Watershed plans'!C149=1,'Watershed plans'!Q149,"")</f>
        <v/>
      </c>
    </row>
    <row r="178">
      <c r="A178" s="6">
        <f>'Watershed plans'!L150</f>
        <v/>
      </c>
      <c r="B178" s="10">
        <f>'Watershed plans'!B150</f>
        <v/>
      </c>
      <c r="C178" s="21">
        <f>IF('Watershed plans'!C150=1,'Watershed plans'!P150,"")</f>
        <v/>
      </c>
      <c r="D178" s="26">
        <f>IF('Watershed plans'!C150=1,'Watershed plans'!Q150,"")</f>
        <v/>
      </c>
    </row>
    <row r="179">
      <c r="A179" s="6">
        <f>'Watershed plans'!L151</f>
        <v/>
      </c>
      <c r="B179" s="10">
        <f>'Watershed plans'!B151</f>
        <v/>
      </c>
      <c r="C179" s="21">
        <f>IF('Watershed plans'!C151=1,'Watershed plans'!P151,"")</f>
        <v/>
      </c>
      <c r="D179" s="26">
        <f>IF('Watershed plans'!C151=1,'Watershed plans'!Q151,"")</f>
        <v/>
      </c>
    </row>
    <row r="180">
      <c r="A180" s="6">
        <f>'Watershed plans'!L152</f>
        <v/>
      </c>
      <c r="B180" s="10">
        <f>'Watershed plans'!B152</f>
        <v/>
      </c>
      <c r="C180" s="21">
        <f>IF('Watershed plans'!C152=1,'Watershed plans'!P152,"")</f>
        <v/>
      </c>
      <c r="D180" s="26">
        <f>IF('Watershed plans'!C152=1,'Watershed plans'!Q152,"")</f>
        <v/>
      </c>
    </row>
    <row r="181">
      <c r="A181" s="6">
        <f>'Watershed plans'!L153</f>
        <v/>
      </c>
      <c r="B181" s="10">
        <f>'Watershed plans'!B153</f>
        <v/>
      </c>
      <c r="C181" s="21">
        <f>IF('Watershed plans'!C153=1,'Watershed plans'!P153,"")</f>
        <v/>
      </c>
      <c r="D181" s="26">
        <f>IF('Watershed plans'!C153=1,'Watershed plans'!Q153,"")</f>
        <v/>
      </c>
    </row>
    <row r="182">
      <c r="A182" s="6">
        <f>'Watershed plans'!L154</f>
        <v/>
      </c>
      <c r="B182" s="10">
        <f>'Watershed plans'!B154</f>
        <v/>
      </c>
      <c r="C182" s="21">
        <f>IF('Watershed plans'!C154=1,'Watershed plans'!P154,"")</f>
        <v/>
      </c>
      <c r="D182" s="26">
        <f>IF('Watershed plans'!C154=1,'Watershed plans'!Q154,"")</f>
        <v/>
      </c>
    </row>
    <row r="183">
      <c r="A183" s="6">
        <f>'Watershed plans'!L155</f>
        <v/>
      </c>
      <c r="B183" s="10">
        <f>'Watershed plans'!B155</f>
        <v/>
      </c>
      <c r="C183" s="21">
        <f>IF('Watershed plans'!C155=1,'Watershed plans'!P155,"")</f>
        <v/>
      </c>
      <c r="D183" s="26">
        <f>IF('Watershed plans'!C155=1,'Watershed plans'!Q155,"")</f>
        <v/>
      </c>
    </row>
    <row r="184">
      <c r="A184" s="6">
        <f>'Watershed plans'!L156</f>
        <v/>
      </c>
      <c r="B184" s="10">
        <f>'Watershed plans'!B156</f>
        <v/>
      </c>
      <c r="C184" s="21">
        <f>IF('Watershed plans'!C156=1,'Watershed plans'!P156,"")</f>
        <v/>
      </c>
      <c r="D184" s="26">
        <f>IF('Watershed plans'!C156=1,'Watershed plans'!Q156,"")</f>
        <v/>
      </c>
    </row>
    <row r="185">
      <c r="A185" s="6">
        <f>'Watershed plans'!L157</f>
        <v/>
      </c>
      <c r="B185" s="10">
        <f>'Watershed plans'!B157</f>
        <v/>
      </c>
      <c r="C185" s="21">
        <f>IF('Watershed plans'!C157=1,'Watershed plans'!P157,"")</f>
        <v/>
      </c>
      <c r="D185" s="26">
        <f>IF('Watershed plans'!C157=1,'Watershed plans'!Q157,"")</f>
        <v/>
      </c>
    </row>
    <row r="186">
      <c r="A186" s="6">
        <f>'Watershed plans'!L158</f>
        <v/>
      </c>
      <c r="B186" s="10">
        <f>'Watershed plans'!B158</f>
        <v/>
      </c>
      <c r="C186" s="21">
        <f>IF('Watershed plans'!C158=1,'Watershed plans'!P158,"")</f>
        <v/>
      </c>
      <c r="D186" s="26">
        <f>IF('Watershed plans'!C158=1,'Watershed plans'!Q158,"")</f>
        <v/>
      </c>
    </row>
    <row r="187">
      <c r="A187" s="6">
        <f>'Watershed plans'!L159</f>
        <v/>
      </c>
      <c r="B187" s="10">
        <f>'Watershed plans'!B159</f>
        <v/>
      </c>
      <c r="C187" s="21">
        <f>IF('Watershed plans'!C159=1,'Watershed plans'!P159,"")</f>
        <v/>
      </c>
      <c r="D187" s="26">
        <f>IF('Watershed plans'!C159=1,'Watershed plans'!Q159,"")</f>
        <v/>
      </c>
    </row>
    <row r="188">
      <c r="A188" s="6">
        <f>'Watershed plans'!L160</f>
        <v/>
      </c>
      <c r="B188" s="10">
        <f>'Watershed plans'!B160</f>
        <v/>
      </c>
      <c r="C188" s="21">
        <f>IF('Watershed plans'!C160=1,'Watershed plans'!P160,"")</f>
        <v/>
      </c>
      <c r="D188" s="26">
        <f>IF('Watershed plans'!C160=1,'Watershed plans'!Q160,"")</f>
        <v/>
      </c>
    </row>
    <row r="189">
      <c r="A189" s="6">
        <f>'Watershed plans'!L161</f>
        <v/>
      </c>
      <c r="B189" s="10">
        <f>'Watershed plans'!B161</f>
        <v/>
      </c>
      <c r="C189" s="21">
        <f>IF('Watershed plans'!C161=1,'Watershed plans'!P161,"")</f>
        <v/>
      </c>
      <c r="D189" s="26">
        <f>IF('Watershed plans'!C161=1,'Watershed plans'!Q161,"")</f>
        <v/>
      </c>
    </row>
    <row r="190">
      <c r="A190" s="6">
        <f>'Watershed plans'!L162</f>
        <v/>
      </c>
      <c r="B190" s="10">
        <f>'Watershed plans'!B162</f>
        <v/>
      </c>
      <c r="C190" s="21">
        <f>IF('Watershed plans'!C162=1,'Watershed plans'!P162,"")</f>
        <v/>
      </c>
      <c r="D190" s="26">
        <f>IF('Watershed plans'!C162=1,'Watershed plans'!Q162,"")</f>
        <v/>
      </c>
    </row>
    <row r="191">
      <c r="A191" s="6">
        <f>'Watershed plans'!L163</f>
        <v/>
      </c>
      <c r="B191" s="10">
        <f>'Watershed plans'!B163</f>
        <v/>
      </c>
      <c r="C191" s="21">
        <f>IF('Watershed plans'!C163=1,'Watershed plans'!P163,"")</f>
        <v/>
      </c>
      <c r="D191" s="26">
        <f>IF('Watershed plans'!C163=1,'Watershed plans'!Q163,"")</f>
        <v/>
      </c>
    </row>
    <row r="192">
      <c r="A192" s="6">
        <f>'Watershed plans'!L164</f>
        <v/>
      </c>
      <c r="B192" s="10">
        <f>'Watershed plans'!B164</f>
        <v/>
      </c>
      <c r="C192" s="21">
        <f>IF('Watershed plans'!C164=1,'Watershed plans'!P164,"")</f>
        <v/>
      </c>
      <c r="D192" s="26">
        <f>IF('Watershed plans'!C164=1,'Watershed plans'!Q164,"")</f>
        <v/>
      </c>
    </row>
    <row r="193">
      <c r="A193" s="6">
        <f>'Watershed plans'!L165</f>
        <v/>
      </c>
      <c r="B193" s="10">
        <f>'Watershed plans'!B165</f>
        <v/>
      </c>
      <c r="C193" s="21">
        <f>IF('Watershed plans'!C165=1,'Watershed plans'!P165,"")</f>
        <v/>
      </c>
      <c r="D193" s="26">
        <f>IF('Watershed plans'!C165=1,'Watershed plans'!Q165,"")</f>
        <v/>
      </c>
    </row>
    <row r="194">
      <c r="A194" s="6">
        <f>'Watershed plans'!L166</f>
        <v/>
      </c>
      <c r="B194" s="10">
        <f>'Watershed plans'!B166</f>
        <v/>
      </c>
      <c r="C194" s="21">
        <f>IF('Watershed plans'!C166=1,'Watershed plans'!P166,"")</f>
        <v/>
      </c>
      <c r="D194" s="26">
        <f>IF('Watershed plans'!C166=1,'Watershed plans'!Q166,"")</f>
        <v/>
      </c>
    </row>
    <row r="195">
      <c r="A195" s="6">
        <f>'Watershed plans'!L167</f>
        <v/>
      </c>
      <c r="B195" s="10">
        <f>'Watershed plans'!B167</f>
        <v/>
      </c>
      <c r="C195" s="21">
        <f>IF('Watershed plans'!C167=1,'Watershed plans'!P167,"")</f>
        <v/>
      </c>
      <c r="D195" s="26">
        <f>IF('Watershed plans'!C167=1,'Watershed plans'!Q167,"")</f>
        <v/>
      </c>
    </row>
    <row r="196">
      <c r="A196" s="6">
        <f>'Watershed plans'!L168</f>
        <v/>
      </c>
      <c r="B196" s="10">
        <f>'Watershed plans'!B168</f>
        <v/>
      </c>
      <c r="C196" s="21">
        <f>IF('Watershed plans'!C168=1,'Watershed plans'!P168,"")</f>
        <v/>
      </c>
      <c r="D196" s="26">
        <f>IF('Watershed plans'!C168=1,'Watershed plans'!Q168,"")</f>
        <v/>
      </c>
    </row>
    <row r="197">
      <c r="A197" s="6">
        <f>'Watershed plans'!L169</f>
        <v/>
      </c>
      <c r="B197" s="10">
        <f>'Watershed plans'!B169</f>
        <v/>
      </c>
      <c r="C197" s="21">
        <f>IF('Watershed plans'!C169=1,'Watershed plans'!P169,"")</f>
        <v/>
      </c>
      <c r="D197" s="26">
        <f>IF('Watershed plans'!C169=1,'Watershed plans'!Q169,"")</f>
        <v/>
      </c>
    </row>
    <row r="198">
      <c r="A198" s="6">
        <f>'Watershed plans'!L170</f>
        <v/>
      </c>
      <c r="B198" s="10">
        <f>'Watershed plans'!B170</f>
        <v/>
      </c>
      <c r="C198" s="21">
        <f>IF('Watershed plans'!C170=1,'Watershed plans'!P170,"")</f>
        <v/>
      </c>
      <c r="D198" s="26">
        <f>IF('Watershed plans'!C170=1,'Watershed plans'!Q170,"")</f>
        <v/>
      </c>
    </row>
    <row r="199">
      <c r="A199" s="6">
        <f>'Watershed plans'!L171</f>
        <v/>
      </c>
      <c r="B199" s="10">
        <f>'Watershed plans'!B171</f>
        <v/>
      </c>
      <c r="C199" s="21">
        <f>IF('Watershed plans'!C171=1,'Watershed plans'!P171,"")</f>
        <v/>
      </c>
      <c r="D199" s="26">
        <f>IF('Watershed plans'!C171=1,'Watershed plans'!Q171,"")</f>
        <v/>
      </c>
    </row>
    <row r="200">
      <c r="A200" s="6">
        <f>'Watershed plans'!L172</f>
        <v/>
      </c>
      <c r="B200" s="10">
        <f>'Watershed plans'!B172</f>
        <v/>
      </c>
      <c r="C200" s="21">
        <f>IF('Watershed plans'!C172=1,'Watershed plans'!P172,"")</f>
        <v/>
      </c>
      <c r="D200" s="26">
        <f>IF('Watershed plans'!C172=1,'Watershed plans'!Q172,"")</f>
        <v/>
      </c>
    </row>
    <row r="201">
      <c r="A201" s="6">
        <f>'Watershed plans'!L173</f>
        <v/>
      </c>
      <c r="B201" s="10">
        <f>'Watershed plans'!B173</f>
        <v/>
      </c>
      <c r="C201" s="21">
        <f>IF('Watershed plans'!C173=1,'Watershed plans'!P173,"")</f>
        <v/>
      </c>
      <c r="D201" s="26">
        <f>IF('Watershed plans'!C173=1,'Watershed plans'!Q173,"")</f>
        <v/>
      </c>
    </row>
    <row r="202">
      <c r="A202" s="6">
        <f>'Watershed plans'!L174</f>
        <v/>
      </c>
      <c r="B202" s="10">
        <f>'Watershed plans'!B174</f>
        <v/>
      </c>
      <c r="C202" s="21">
        <f>IF('Watershed plans'!C174=1,'Watershed plans'!P174,"")</f>
        <v/>
      </c>
      <c r="D202" s="26">
        <f>IF('Watershed plans'!C174=1,'Watershed plans'!Q174,"")</f>
        <v/>
      </c>
    </row>
    <row r="203">
      <c r="A203" s="6">
        <f>'Watershed plans'!L175</f>
        <v/>
      </c>
      <c r="B203" s="10">
        <f>'Watershed plans'!B175</f>
        <v/>
      </c>
      <c r="C203" s="21">
        <f>IF('Watershed plans'!C175=1,'Watershed plans'!P175,"")</f>
        <v/>
      </c>
      <c r="D203" s="26">
        <f>IF('Watershed plans'!C175=1,'Watershed plans'!Q175,"")</f>
        <v/>
      </c>
    </row>
    <row r="204">
      <c r="A204" s="6">
        <f>'Watershed plans'!L176</f>
        <v/>
      </c>
      <c r="B204" s="10">
        <f>'Watershed plans'!B176</f>
        <v/>
      </c>
      <c r="C204" s="21">
        <f>IF('Watershed plans'!C176=1,'Watershed plans'!P176,"")</f>
        <v/>
      </c>
      <c r="D204" s="26">
        <f>IF('Watershed plans'!C176=1,'Watershed plans'!Q176,"")</f>
        <v/>
      </c>
    </row>
    <row r="205">
      <c r="A205" s="6">
        <f>'Watershed plans'!L177</f>
        <v/>
      </c>
      <c r="B205" s="10">
        <f>'Watershed plans'!B177</f>
        <v/>
      </c>
      <c r="C205" s="21">
        <f>IF('Watershed plans'!C177=1,'Watershed plans'!P177,"")</f>
        <v/>
      </c>
      <c r="D205" s="26">
        <f>IF('Watershed plans'!C177=1,'Watershed plans'!Q177,"")</f>
        <v/>
      </c>
    </row>
    <row r="206">
      <c r="A206" s="6">
        <f>'Watershed plans'!L178</f>
        <v/>
      </c>
      <c r="B206" s="10">
        <f>'Watershed plans'!B178</f>
        <v/>
      </c>
      <c r="C206" s="21">
        <f>IF('Watershed plans'!C178=1,'Watershed plans'!P178,"")</f>
        <v/>
      </c>
      <c r="D206" s="26">
        <f>IF('Watershed plans'!C178=1,'Watershed plans'!Q178,"")</f>
        <v/>
      </c>
    </row>
    <row r="207">
      <c r="A207" s="6">
        <f>'Watershed plans'!L179</f>
        <v/>
      </c>
      <c r="B207" s="10">
        <f>'Watershed plans'!B179</f>
        <v/>
      </c>
      <c r="C207" s="21">
        <f>IF('Watershed plans'!C179=1,'Watershed plans'!P179,"")</f>
        <v/>
      </c>
      <c r="D207" s="26">
        <f>IF('Watershed plans'!C179=1,'Watershed plans'!Q179,"")</f>
        <v/>
      </c>
    </row>
    <row r="208">
      <c r="A208" s="6">
        <f>'Watershed plans'!L180</f>
        <v/>
      </c>
      <c r="B208" s="10">
        <f>'Watershed plans'!B180</f>
        <v/>
      </c>
      <c r="C208" s="21">
        <f>IF('Watershed plans'!C180=1,'Watershed plans'!P180,"")</f>
        <v/>
      </c>
      <c r="D208" s="26">
        <f>IF('Watershed plans'!C180=1,'Watershed plans'!Q180,"")</f>
        <v/>
      </c>
    </row>
    <row r="209">
      <c r="A209" s="6">
        <f>'Watershed plans'!L181</f>
        <v/>
      </c>
      <c r="B209" s="10">
        <f>'Watershed plans'!B181</f>
        <v/>
      </c>
      <c r="C209" s="21">
        <f>IF('Watershed plans'!C181=1,'Watershed plans'!P181,"")</f>
        <v/>
      </c>
      <c r="D209" s="26">
        <f>IF('Watershed plans'!C181=1,'Watershed plans'!Q181,"")</f>
        <v/>
      </c>
    </row>
    <row r="210">
      <c r="A210" s="6">
        <f>'Watershed plans'!L182</f>
        <v/>
      </c>
      <c r="B210" s="10">
        <f>'Watershed plans'!B182</f>
        <v/>
      </c>
      <c r="C210" s="21">
        <f>IF('Watershed plans'!C182=1,'Watershed plans'!P182,"")</f>
        <v/>
      </c>
      <c r="D210" s="26">
        <f>IF('Watershed plans'!C182=1,'Watershed plans'!Q182,"")</f>
        <v/>
      </c>
    </row>
    <row r="211">
      <c r="A211" s="6">
        <f>'Watershed plans'!L183</f>
        <v/>
      </c>
      <c r="B211" s="10">
        <f>'Watershed plans'!B183</f>
        <v/>
      </c>
      <c r="C211" s="21">
        <f>IF('Watershed plans'!C183=1,'Watershed plans'!P183,"")</f>
        <v/>
      </c>
      <c r="D211" s="26">
        <f>IF('Watershed plans'!C183=1,'Watershed plans'!Q183,"")</f>
        <v/>
      </c>
    </row>
    <row r="212">
      <c r="A212" s="6">
        <f>'Watershed plans'!L184</f>
        <v/>
      </c>
      <c r="B212" s="10">
        <f>'Watershed plans'!B184</f>
        <v/>
      </c>
      <c r="C212" s="21">
        <f>IF('Watershed plans'!C184=1,'Watershed plans'!P184,"")</f>
        <v/>
      </c>
      <c r="D212" s="26">
        <f>IF('Watershed plans'!C184=1,'Watershed plans'!Q184,"")</f>
        <v/>
      </c>
    </row>
    <row r="213">
      <c r="A213" s="6">
        <f>'Watershed plans'!L185</f>
        <v/>
      </c>
      <c r="B213" s="10">
        <f>'Watershed plans'!B185</f>
        <v/>
      </c>
      <c r="C213" s="21">
        <f>IF('Watershed plans'!C185=1,'Watershed plans'!P185,"")</f>
        <v/>
      </c>
      <c r="D213" s="26">
        <f>IF('Watershed plans'!C185=1,'Watershed plans'!Q185,"")</f>
        <v/>
      </c>
    </row>
    <row r="214">
      <c r="A214" s="6">
        <f>'Watershed plans'!L186</f>
        <v/>
      </c>
      <c r="B214" s="10">
        <f>'Watershed plans'!B186</f>
        <v/>
      </c>
      <c r="C214" s="21">
        <f>IF('Watershed plans'!C186=1,'Watershed plans'!P186,"")</f>
        <v/>
      </c>
      <c r="D214" s="26">
        <f>IF('Watershed plans'!C186=1,'Watershed plans'!Q186,"")</f>
        <v/>
      </c>
    </row>
    <row r="215">
      <c r="A215" s="6">
        <f>'Watershed plans'!L187</f>
        <v/>
      </c>
      <c r="B215" s="10">
        <f>'Watershed plans'!B187</f>
        <v/>
      </c>
      <c r="C215" s="21">
        <f>IF('Watershed plans'!C187=1,'Watershed plans'!P187,"")</f>
        <v/>
      </c>
      <c r="D215" s="26">
        <f>IF('Watershed plans'!C187=1,'Watershed plans'!Q187,"")</f>
        <v/>
      </c>
    </row>
    <row r="216">
      <c r="A216" s="6">
        <f>'Watershed plans'!L188</f>
        <v/>
      </c>
      <c r="B216" s="10">
        <f>'Watershed plans'!B188</f>
        <v/>
      </c>
      <c r="C216" s="21">
        <f>IF('Watershed plans'!C188=1,'Watershed plans'!P188,"")</f>
        <v/>
      </c>
      <c r="D216" s="26">
        <f>IF('Watershed plans'!C188=1,'Watershed plans'!Q188,"")</f>
        <v/>
      </c>
    </row>
    <row r="217">
      <c r="A217" s="6">
        <f>'Watershed plans'!L189</f>
        <v/>
      </c>
      <c r="B217" s="10">
        <f>'Watershed plans'!B189</f>
        <v/>
      </c>
      <c r="C217" s="21">
        <f>IF('Watershed plans'!C189=1,'Watershed plans'!P189,"")</f>
        <v/>
      </c>
      <c r="D217" s="26">
        <f>IF('Watershed plans'!C189=1,'Watershed plans'!Q189,"")</f>
        <v/>
      </c>
    </row>
    <row r="218">
      <c r="A218" s="6">
        <f>'Watershed plans'!L190</f>
        <v/>
      </c>
      <c r="B218" s="10">
        <f>'Watershed plans'!B190</f>
        <v/>
      </c>
      <c r="C218" s="21">
        <f>IF('Watershed plans'!C190=1,'Watershed plans'!P190,"")</f>
        <v/>
      </c>
      <c r="D218" s="26">
        <f>IF('Watershed plans'!C190=1,'Watershed plans'!Q190,"")</f>
        <v/>
      </c>
    </row>
    <row r="219">
      <c r="A219" s="6">
        <f>'Watershed plans'!L191</f>
        <v/>
      </c>
      <c r="B219" s="10">
        <f>'Watershed plans'!B191</f>
        <v/>
      </c>
      <c r="C219" s="21">
        <f>IF('Watershed plans'!C191=1,'Watershed plans'!P191,"")</f>
        <v/>
      </c>
      <c r="D219" s="26">
        <f>IF('Watershed plans'!C191=1,'Watershed plans'!Q191,"")</f>
        <v/>
      </c>
    </row>
    <row r="220">
      <c r="A220" s="6">
        <f>'Watershed plans'!L192</f>
        <v/>
      </c>
      <c r="B220" s="10">
        <f>'Watershed plans'!B192</f>
        <v/>
      </c>
      <c r="C220" s="21">
        <f>IF('Watershed plans'!C192=1,'Watershed plans'!P192,"")</f>
        <v/>
      </c>
      <c r="D220" s="26">
        <f>IF('Watershed plans'!C192=1,'Watershed plans'!Q192,"")</f>
        <v/>
      </c>
    </row>
    <row r="221">
      <c r="A221" s="6">
        <f>'Watershed plans'!L193</f>
        <v/>
      </c>
      <c r="B221" s="10">
        <f>'Watershed plans'!B193</f>
        <v/>
      </c>
      <c r="C221" s="21">
        <f>IF('Watershed plans'!C193=1,'Watershed plans'!P193,"")</f>
        <v/>
      </c>
      <c r="D221" s="26">
        <f>IF('Watershed plans'!C193=1,'Watershed plans'!Q193,"")</f>
        <v/>
      </c>
    </row>
    <row r="222">
      <c r="A222" s="6">
        <f>'Watershed plans'!L194</f>
        <v/>
      </c>
      <c r="B222" s="10">
        <f>'Watershed plans'!B194</f>
        <v/>
      </c>
      <c r="C222" s="21">
        <f>IF('Watershed plans'!C194=1,'Watershed plans'!P194,"")</f>
        <v/>
      </c>
      <c r="D222" s="26">
        <f>IF('Watershed plans'!C194=1,'Watershed plans'!Q194,"")</f>
        <v/>
      </c>
    </row>
    <row r="223">
      <c r="A223" s="6">
        <f>'Watershed plans'!L195</f>
        <v/>
      </c>
      <c r="B223" s="10">
        <f>'Watershed plans'!B195</f>
        <v/>
      </c>
      <c r="C223" s="21">
        <f>IF('Watershed plans'!C195=1,'Watershed plans'!P195,"")</f>
        <v/>
      </c>
      <c r="D223" s="26">
        <f>IF('Watershed plans'!C195=1,'Watershed plans'!Q195,"")</f>
        <v/>
      </c>
    </row>
    <row r="224">
      <c r="A224" s="6">
        <f>'Watershed plans'!L196</f>
        <v/>
      </c>
      <c r="B224" s="10">
        <f>'Watershed plans'!B196</f>
        <v/>
      </c>
      <c r="C224" s="21">
        <f>IF('Watershed plans'!C196=1,'Watershed plans'!P196,"")</f>
        <v/>
      </c>
      <c r="D224" s="26">
        <f>IF('Watershed plans'!C196=1,'Watershed plans'!Q196,"")</f>
        <v/>
      </c>
    </row>
    <row r="225">
      <c r="A225" s="6">
        <f>'Watershed plans'!L197</f>
        <v/>
      </c>
      <c r="B225" s="10">
        <f>'Watershed plans'!B197</f>
        <v/>
      </c>
      <c r="C225" s="21">
        <f>IF('Watershed plans'!C197=1,'Watershed plans'!P197,"")</f>
        <v/>
      </c>
      <c r="D225" s="26">
        <f>IF('Watershed plans'!C197=1,'Watershed plans'!Q197,"")</f>
        <v/>
      </c>
    </row>
    <row r="226">
      <c r="A226" s="6">
        <f>'Watershed plans'!L198</f>
        <v/>
      </c>
      <c r="B226" s="10">
        <f>'Watershed plans'!B198</f>
        <v/>
      </c>
      <c r="C226" s="21">
        <f>IF('Watershed plans'!C198=1,'Watershed plans'!P198,"")</f>
        <v/>
      </c>
      <c r="D226" s="26">
        <f>IF('Watershed plans'!C198=1,'Watershed plans'!Q198,"")</f>
        <v/>
      </c>
    </row>
    <row r="227">
      <c r="A227" s="6">
        <f>'Watershed plans'!L199</f>
        <v/>
      </c>
      <c r="B227" s="10">
        <f>'Watershed plans'!B199</f>
        <v/>
      </c>
      <c r="C227" s="21">
        <f>IF('Watershed plans'!C199=1,'Watershed plans'!P199,"")</f>
        <v/>
      </c>
      <c r="D227" s="26">
        <f>IF('Watershed plans'!C199=1,'Watershed plans'!Q199,"")</f>
        <v/>
      </c>
    </row>
    <row r="228">
      <c r="A228" s="6">
        <f>'Watershed plans'!L200</f>
        <v/>
      </c>
      <c r="B228" s="10">
        <f>'Watershed plans'!B200</f>
        <v/>
      </c>
      <c r="C228" s="21">
        <f>IF('Watershed plans'!C200=1,'Watershed plans'!P200,"")</f>
        <v/>
      </c>
      <c r="D228" s="26">
        <f>IF('Watershed plans'!C200=1,'Watershed plans'!Q200,"")</f>
        <v/>
      </c>
    </row>
    <row r="229">
      <c r="A229" s="6">
        <f>'Watershed plans'!L201</f>
        <v/>
      </c>
      <c r="B229" s="10">
        <f>'Watershed plans'!B201</f>
        <v/>
      </c>
      <c r="C229" s="21">
        <f>IF('Watershed plans'!C201=1,'Watershed plans'!P201,"")</f>
        <v/>
      </c>
      <c r="D229" s="26">
        <f>IF('Watershed plans'!C201=1,'Watershed plans'!Q201,"")</f>
        <v/>
      </c>
    </row>
    <row r="230">
      <c r="A230" s="6">
        <f>'Watershed plans'!L202</f>
        <v/>
      </c>
      <c r="B230" s="10">
        <f>'Watershed plans'!B202</f>
        <v/>
      </c>
      <c r="C230" s="21">
        <f>IF('Watershed plans'!C202=1,'Watershed plans'!P202,"")</f>
        <v/>
      </c>
      <c r="D230" s="26">
        <f>IF('Watershed plans'!C202=1,'Watershed plans'!Q202,"")</f>
        <v/>
      </c>
    </row>
    <row r="231">
      <c r="A231" s="6">
        <f>'Watershed plans'!L203</f>
        <v/>
      </c>
      <c r="B231" s="10">
        <f>'Watershed plans'!B203</f>
        <v/>
      </c>
      <c r="C231" s="21">
        <f>IF('Watershed plans'!C203=1,'Watershed plans'!P203,"")</f>
        <v/>
      </c>
      <c r="D231" s="26">
        <f>IF('Watershed plans'!C203=1,'Watershed plans'!Q203,"")</f>
        <v/>
      </c>
    </row>
    <row r="232">
      <c r="A232" s="6">
        <f>'Watershed plans'!L204</f>
        <v/>
      </c>
      <c r="B232" s="10">
        <f>'Watershed plans'!B204</f>
        <v/>
      </c>
      <c r="C232" s="21">
        <f>IF('Watershed plans'!C204=1,'Watershed plans'!P204,"")</f>
        <v/>
      </c>
      <c r="D232" s="26">
        <f>IF('Watershed plans'!C204=1,'Watershed plans'!Q204,"")</f>
        <v/>
      </c>
    </row>
    <row r="233">
      <c r="A233" s="6">
        <f>'Watershed plans'!L205</f>
        <v/>
      </c>
      <c r="B233" s="10">
        <f>'Watershed plans'!B205</f>
        <v/>
      </c>
      <c r="C233" s="21">
        <f>IF('Watershed plans'!C205=1,'Watershed plans'!P205,"")</f>
        <v/>
      </c>
      <c r="D233" s="26">
        <f>IF('Watershed plans'!C205=1,'Watershed plans'!Q205,"")</f>
        <v/>
      </c>
    </row>
    <row r="234">
      <c r="A234" s="6">
        <f>'Watershed plans'!L206</f>
        <v/>
      </c>
      <c r="B234" s="10">
        <f>'Watershed plans'!B206</f>
        <v/>
      </c>
      <c r="C234" s="21">
        <f>IF('Watershed plans'!C206=1,'Watershed plans'!P206,"")</f>
        <v/>
      </c>
      <c r="D234" s="26">
        <f>IF('Watershed plans'!C206=1,'Watershed plans'!Q206,"")</f>
        <v/>
      </c>
    </row>
    <row r="235">
      <c r="A235" s="6">
        <f>'Watershed plans'!L207</f>
        <v/>
      </c>
      <c r="B235" s="10">
        <f>'Watershed plans'!B207</f>
        <v/>
      </c>
      <c r="C235" s="21">
        <f>IF('Watershed plans'!C207=1,'Watershed plans'!P207,"")</f>
        <v/>
      </c>
      <c r="D235" s="26">
        <f>IF('Watershed plans'!C207=1,'Watershed plans'!Q207,"")</f>
        <v/>
      </c>
    </row>
    <row r="236">
      <c r="A236" s="6">
        <f>'Watershed plans'!L208</f>
        <v/>
      </c>
      <c r="B236" s="10">
        <f>'Watershed plans'!B208</f>
        <v/>
      </c>
      <c r="C236" s="21">
        <f>IF('Watershed plans'!C208=1,'Watershed plans'!P208,"")</f>
        <v/>
      </c>
      <c r="D236" s="26">
        <f>IF('Watershed plans'!C208=1,'Watershed plans'!Q208,"")</f>
        <v/>
      </c>
    </row>
    <row r="237">
      <c r="A237" s="6">
        <f>'Watershed plans'!L209</f>
        <v/>
      </c>
      <c r="B237" s="10">
        <f>'Watershed plans'!B209</f>
        <v/>
      </c>
      <c r="C237" s="21">
        <f>IF('Watershed plans'!C209=1,'Watershed plans'!P209,"")</f>
        <v/>
      </c>
      <c r="D237" s="26">
        <f>IF('Watershed plans'!C209=1,'Watershed plans'!Q209,"")</f>
        <v/>
      </c>
    </row>
    <row r="238">
      <c r="A238" s="6">
        <f>'Watershed plans'!L210</f>
        <v/>
      </c>
      <c r="B238" s="10">
        <f>'Watershed plans'!B210</f>
        <v/>
      </c>
      <c r="C238" s="21">
        <f>IF('Watershed plans'!C210=1,'Watershed plans'!P210,"")</f>
        <v/>
      </c>
      <c r="D238" s="26">
        <f>IF('Watershed plans'!C210=1,'Watershed plans'!Q210,"")</f>
        <v/>
      </c>
    </row>
    <row r="239">
      <c r="A239" s="6">
        <f>'Watershed plans'!L211</f>
        <v/>
      </c>
      <c r="B239" s="10">
        <f>'Watershed plans'!B211</f>
        <v/>
      </c>
      <c r="C239" s="21">
        <f>IF('Watershed plans'!C211=1,'Watershed plans'!P211,"")</f>
        <v/>
      </c>
      <c r="D239" s="26">
        <f>IF('Watershed plans'!C211=1,'Watershed plans'!Q211,"")</f>
        <v/>
      </c>
    </row>
    <row r="240">
      <c r="A240" s="6">
        <f>'Watershed plans'!L212</f>
        <v/>
      </c>
      <c r="B240" s="10">
        <f>'Watershed plans'!B212</f>
        <v/>
      </c>
      <c r="C240" s="21">
        <f>IF('Watershed plans'!C212=1,'Watershed plans'!P212,"")</f>
        <v/>
      </c>
      <c r="D240" s="26">
        <f>IF('Watershed plans'!C212=1,'Watershed plans'!Q212,"")</f>
        <v/>
      </c>
    </row>
    <row r="241">
      <c r="A241" s="6">
        <f>'Watershed plans'!L213</f>
        <v/>
      </c>
      <c r="B241" s="10">
        <f>'Watershed plans'!B213</f>
        <v/>
      </c>
      <c r="C241" s="21">
        <f>IF('Watershed plans'!C213=1,'Watershed plans'!P213,"")</f>
        <v/>
      </c>
      <c r="D241" s="26">
        <f>IF('Watershed plans'!C213=1,'Watershed plans'!Q213,"")</f>
        <v/>
      </c>
    </row>
    <row r="242">
      <c r="A242" s="6">
        <f>'Watershed plans'!L214</f>
        <v/>
      </c>
      <c r="B242" s="10">
        <f>'Watershed plans'!B214</f>
        <v/>
      </c>
      <c r="C242" s="21">
        <f>IF('Watershed plans'!C214=1,'Watershed plans'!P214,"")</f>
        <v/>
      </c>
      <c r="D242" s="26">
        <f>IF('Watershed plans'!C214=1,'Watershed plans'!Q214,"")</f>
        <v/>
      </c>
    </row>
    <row r="243">
      <c r="A243" s="6">
        <f>'Watershed plans'!L215</f>
        <v/>
      </c>
      <c r="B243" s="10">
        <f>'Watershed plans'!B215</f>
        <v/>
      </c>
      <c r="C243" s="21">
        <f>IF('Watershed plans'!C215=1,'Watershed plans'!P215,"")</f>
        <v/>
      </c>
      <c r="D243" s="26">
        <f>IF('Watershed plans'!C215=1,'Watershed plans'!Q215,"")</f>
        <v/>
      </c>
    </row>
    <row r="244">
      <c r="A244" s="6">
        <f>'Watershed plans'!L216</f>
        <v/>
      </c>
      <c r="B244" s="10">
        <f>'Watershed plans'!B216</f>
        <v/>
      </c>
      <c r="C244" s="21">
        <f>IF('Watershed plans'!C216=1,'Watershed plans'!P216,"")</f>
        <v/>
      </c>
      <c r="D244" s="26">
        <f>IF('Watershed plans'!C216=1,'Watershed plans'!Q216,"")</f>
        <v/>
      </c>
    </row>
    <row r="245">
      <c r="A245" s="6">
        <f>'Watershed plans'!L217</f>
        <v/>
      </c>
      <c r="B245" s="10">
        <f>'Watershed plans'!B217</f>
        <v/>
      </c>
      <c r="C245" s="21">
        <f>IF('Watershed plans'!C217=1,'Watershed plans'!P217,"")</f>
        <v/>
      </c>
      <c r="D245" s="26">
        <f>IF('Watershed plans'!C217=1,'Watershed plans'!Q217,"")</f>
        <v/>
      </c>
    </row>
    <row r="246">
      <c r="A246" s="6">
        <f>'Watershed plans'!L218</f>
        <v/>
      </c>
      <c r="B246" s="10">
        <f>'Watershed plans'!B218</f>
        <v/>
      </c>
      <c r="C246" s="21">
        <f>IF('Watershed plans'!C218=1,'Watershed plans'!P218,"")</f>
        <v/>
      </c>
      <c r="D246" s="26">
        <f>IF('Watershed plans'!C218=1,'Watershed plans'!Q218,"")</f>
        <v/>
      </c>
    </row>
    <row r="247">
      <c r="A247" s="6">
        <f>'Watershed plans'!L219</f>
        <v/>
      </c>
      <c r="B247" s="10">
        <f>'Watershed plans'!B219</f>
        <v/>
      </c>
      <c r="C247" s="21">
        <f>IF('Watershed plans'!C219=1,'Watershed plans'!P219,"")</f>
        <v/>
      </c>
      <c r="D247" s="26">
        <f>IF('Watershed plans'!C219=1,'Watershed plans'!Q219,"")</f>
        <v/>
      </c>
    </row>
    <row r="248">
      <c r="A248" s="6">
        <f>'Watershed plans'!L220</f>
        <v/>
      </c>
      <c r="B248" s="10">
        <f>'Watershed plans'!B220</f>
        <v/>
      </c>
      <c r="C248" s="21">
        <f>IF('Watershed plans'!C220=1,'Watershed plans'!P220,"")</f>
        <v/>
      </c>
      <c r="D248" s="26">
        <f>IF('Watershed plans'!C220=1,'Watershed plans'!Q220,"")</f>
        <v/>
      </c>
    </row>
    <row r="249">
      <c r="A249" s="6">
        <f>'Watershed plans'!L221</f>
        <v/>
      </c>
      <c r="B249" s="10">
        <f>'Watershed plans'!B221</f>
        <v/>
      </c>
      <c r="C249" s="21">
        <f>IF('Watershed plans'!C221=1,'Watershed plans'!P221,"")</f>
        <v/>
      </c>
      <c r="D249" s="26">
        <f>IF('Watershed plans'!C221=1,'Watershed plans'!Q221,"")</f>
        <v/>
      </c>
    </row>
    <row r="250">
      <c r="A250" s="6">
        <f>'Watershed plans'!L222</f>
        <v/>
      </c>
      <c r="B250" s="10">
        <f>'Watershed plans'!B222</f>
        <v/>
      </c>
      <c r="C250" s="21">
        <f>IF('Watershed plans'!C222=1,'Watershed plans'!P222,"")</f>
        <v/>
      </c>
      <c r="D250" s="26">
        <f>IF('Watershed plans'!C222=1,'Watershed plans'!Q222,"")</f>
        <v/>
      </c>
    </row>
    <row r="251">
      <c r="A251" s="6">
        <f>'Watershed plans'!L223</f>
        <v/>
      </c>
      <c r="B251" s="10">
        <f>'Watershed plans'!B223</f>
        <v/>
      </c>
      <c r="C251" s="21">
        <f>IF('Watershed plans'!C223=1,'Watershed plans'!P223,"")</f>
        <v/>
      </c>
      <c r="D251" s="26">
        <f>IF('Watershed plans'!C223=1,'Watershed plans'!Q223,"")</f>
        <v/>
      </c>
    </row>
    <row r="252">
      <c r="A252" s="6">
        <f>'Watershed plans'!L224</f>
        <v/>
      </c>
      <c r="B252" s="10">
        <f>'Watershed plans'!B224</f>
        <v/>
      </c>
      <c r="C252" s="21">
        <f>IF('Watershed plans'!C224=1,'Watershed plans'!P224,"")</f>
        <v/>
      </c>
      <c r="D252" s="26">
        <f>IF('Watershed plans'!C224=1,'Watershed plans'!Q224,"")</f>
        <v/>
      </c>
    </row>
    <row r="253">
      <c r="A253" s="6">
        <f>'Watershed plans'!L225</f>
        <v/>
      </c>
      <c r="B253" s="10">
        <f>'Watershed plans'!B225</f>
        <v/>
      </c>
      <c r="C253" s="21">
        <f>IF('Watershed plans'!C225=1,'Watershed plans'!P225,"")</f>
        <v/>
      </c>
      <c r="D253" s="26">
        <f>IF('Watershed plans'!C225=1,'Watershed plans'!Q225,"")</f>
        <v/>
      </c>
    </row>
    <row r="254">
      <c r="A254" s="6">
        <f>'Watershed plans'!L226</f>
        <v/>
      </c>
      <c r="B254" s="10">
        <f>'Watershed plans'!B226</f>
        <v/>
      </c>
      <c r="C254" s="21">
        <f>IF('Watershed plans'!C226=1,'Watershed plans'!P226,"")</f>
        <v/>
      </c>
      <c r="D254" s="26">
        <f>IF('Watershed plans'!C226=1,'Watershed plans'!Q226,"")</f>
        <v/>
      </c>
    </row>
    <row r="255">
      <c r="A255" s="6">
        <f>'Watershed plans'!L227</f>
        <v/>
      </c>
      <c r="B255" s="10">
        <f>'Watershed plans'!B227</f>
        <v/>
      </c>
      <c r="C255" s="21">
        <f>IF('Watershed plans'!C227=1,'Watershed plans'!P227,"")</f>
        <v/>
      </c>
      <c r="D255" s="26">
        <f>IF('Watershed plans'!C227=1,'Watershed plans'!Q227,"")</f>
        <v/>
      </c>
    </row>
    <row r="256">
      <c r="A256" s="6">
        <f>'Watershed plans'!L228</f>
        <v/>
      </c>
      <c r="B256" s="10">
        <f>'Watershed plans'!B228</f>
        <v/>
      </c>
      <c r="C256" s="21">
        <f>IF('Watershed plans'!C228=1,'Watershed plans'!P228,"")</f>
        <v/>
      </c>
      <c r="D256" s="26">
        <f>IF('Watershed plans'!C228=1,'Watershed plans'!Q228,"")</f>
        <v/>
      </c>
    </row>
    <row r="257">
      <c r="A257" s="6">
        <f>'Watershed plans'!L229</f>
        <v/>
      </c>
      <c r="B257" s="10">
        <f>'Watershed plans'!B229</f>
        <v/>
      </c>
      <c r="C257" s="21">
        <f>IF('Watershed plans'!C229=1,'Watershed plans'!P229,"")</f>
        <v/>
      </c>
      <c r="D257" s="26">
        <f>IF('Watershed plans'!C229=1,'Watershed plans'!Q229,"")</f>
        <v/>
      </c>
    </row>
    <row r="258">
      <c r="A258" s="6">
        <f>'Watershed plans'!L230</f>
        <v/>
      </c>
      <c r="B258" s="10">
        <f>'Watershed plans'!B230</f>
        <v/>
      </c>
      <c r="C258" s="21">
        <f>IF('Watershed plans'!C230=1,'Watershed plans'!P230,"")</f>
        <v/>
      </c>
      <c r="D258" s="26">
        <f>IF('Watershed plans'!C230=1,'Watershed plans'!Q230,"")</f>
        <v/>
      </c>
    </row>
    <row r="259">
      <c r="A259" s="6">
        <f>'Watershed plans'!L231</f>
        <v/>
      </c>
      <c r="B259" s="10">
        <f>'Watershed plans'!B231</f>
        <v/>
      </c>
      <c r="C259" s="21">
        <f>IF('Watershed plans'!C231=1,'Watershed plans'!P231,"")</f>
        <v/>
      </c>
      <c r="D259" s="26">
        <f>IF('Watershed plans'!C231=1,'Watershed plans'!Q231,"")</f>
        <v/>
      </c>
    </row>
    <row r="260">
      <c r="A260" s="6">
        <f>'Watershed plans'!L232</f>
        <v/>
      </c>
      <c r="B260" s="10">
        <f>'Watershed plans'!B232</f>
        <v/>
      </c>
      <c r="C260" s="21">
        <f>IF('Watershed plans'!C232=1,'Watershed plans'!P232,"")</f>
        <v/>
      </c>
      <c r="D260" s="26">
        <f>IF('Watershed plans'!C232=1,'Watershed plans'!Q232,"")</f>
        <v/>
      </c>
    </row>
    <row r="261">
      <c r="A261" s="6">
        <f>'Watershed plans'!L233</f>
        <v/>
      </c>
      <c r="B261" s="10">
        <f>'Watershed plans'!B233</f>
        <v/>
      </c>
      <c r="C261" s="21">
        <f>IF('Watershed plans'!C233=1,'Watershed plans'!P233,"")</f>
        <v/>
      </c>
      <c r="D261" s="26">
        <f>IF('Watershed plans'!C233=1,'Watershed plans'!Q233,"")</f>
        <v/>
      </c>
    </row>
    <row r="262">
      <c r="A262" s="6">
        <f>'Watershed plans'!L234</f>
        <v/>
      </c>
      <c r="B262" s="10">
        <f>'Watershed plans'!B234</f>
        <v/>
      </c>
      <c r="C262" s="21">
        <f>IF('Watershed plans'!C234=1,'Watershed plans'!P234,"")</f>
        <v/>
      </c>
      <c r="D262" s="26">
        <f>IF('Watershed plans'!C234=1,'Watershed plans'!Q234,"")</f>
        <v/>
      </c>
    </row>
    <row r="263">
      <c r="A263" s="6">
        <f>'Watershed plans'!L235</f>
        <v/>
      </c>
      <c r="B263" s="10">
        <f>'Watershed plans'!B235</f>
        <v/>
      </c>
      <c r="C263" s="21">
        <f>IF('Watershed plans'!C235=1,'Watershed plans'!P235,"")</f>
        <v/>
      </c>
      <c r="D263" s="26">
        <f>IF('Watershed plans'!C235=1,'Watershed plans'!Q235,"")</f>
        <v/>
      </c>
    </row>
    <row r="264">
      <c r="A264" s="6">
        <f>'Watershed plans'!L236</f>
        <v/>
      </c>
      <c r="B264" s="10">
        <f>'Watershed plans'!B236</f>
        <v/>
      </c>
      <c r="C264" s="21">
        <f>IF('Watershed plans'!C236=1,'Watershed plans'!P236,"")</f>
        <v/>
      </c>
      <c r="D264" s="26">
        <f>IF('Watershed plans'!C236=1,'Watershed plans'!Q236,"")</f>
        <v/>
      </c>
    </row>
    <row r="265">
      <c r="A265" s="6">
        <f>'Watershed plans'!L237</f>
        <v/>
      </c>
      <c r="B265" s="10">
        <f>'Watershed plans'!B237</f>
        <v/>
      </c>
      <c r="C265" s="21">
        <f>IF('Watershed plans'!C237=1,'Watershed plans'!P237,"")</f>
        <v/>
      </c>
      <c r="D265" s="26">
        <f>IF('Watershed plans'!C237=1,'Watershed plans'!Q237,"")</f>
        <v/>
      </c>
    </row>
    <row r="266">
      <c r="A266" s="6">
        <f>'Watershed plans'!L238</f>
        <v/>
      </c>
      <c r="B266" s="10">
        <f>'Watershed plans'!B238</f>
        <v/>
      </c>
      <c r="C266" s="21">
        <f>IF('Watershed plans'!C238=1,'Watershed plans'!P238,"")</f>
        <v/>
      </c>
      <c r="D266" s="26">
        <f>IF('Watershed plans'!C238=1,'Watershed plans'!Q238,"")</f>
        <v/>
      </c>
    </row>
    <row r="267">
      <c r="A267" s="6">
        <f>'Watershed plans'!L239</f>
        <v/>
      </c>
      <c r="B267" s="10">
        <f>'Watershed plans'!B239</f>
        <v/>
      </c>
      <c r="C267" s="21">
        <f>IF('Watershed plans'!C239=1,'Watershed plans'!P239,"")</f>
        <v/>
      </c>
      <c r="D267" s="26">
        <f>IF('Watershed plans'!C239=1,'Watershed plans'!Q239,"")</f>
        <v/>
      </c>
    </row>
    <row r="268">
      <c r="A268" s="6">
        <f>'Watershed plans'!L240</f>
        <v/>
      </c>
      <c r="B268" s="10">
        <f>'Watershed plans'!B240</f>
        <v/>
      </c>
      <c r="C268" s="21">
        <f>IF('Watershed plans'!C240=1,'Watershed plans'!P240,"")</f>
        <v/>
      </c>
      <c r="D268" s="26">
        <f>IF('Watershed plans'!C240=1,'Watershed plans'!Q240,"")</f>
        <v/>
      </c>
    </row>
    <row r="269">
      <c r="A269" s="6">
        <f>'Watershed plans'!L241</f>
        <v/>
      </c>
      <c r="B269" s="10">
        <f>'Watershed plans'!B241</f>
        <v/>
      </c>
      <c r="C269" s="21">
        <f>IF('Watershed plans'!C241=1,'Watershed plans'!P241,"")</f>
        <v/>
      </c>
      <c r="D269" s="26">
        <f>IF('Watershed plans'!C241=1,'Watershed plans'!Q241,"")</f>
        <v/>
      </c>
    </row>
    <row r="270">
      <c r="A270" s="6">
        <f>'Watershed plans'!L242</f>
        <v/>
      </c>
      <c r="B270" s="10">
        <f>'Watershed plans'!B242</f>
        <v/>
      </c>
      <c r="C270" s="21">
        <f>IF('Watershed plans'!C242=1,'Watershed plans'!P242,"")</f>
        <v/>
      </c>
      <c r="D270" s="26">
        <f>IF('Watershed plans'!C242=1,'Watershed plans'!Q242,"")</f>
        <v/>
      </c>
    </row>
    <row r="271">
      <c r="A271" s="6">
        <f>'Watershed plans'!L243</f>
        <v/>
      </c>
      <c r="B271" s="10">
        <f>'Watershed plans'!B243</f>
        <v/>
      </c>
      <c r="C271" s="21">
        <f>IF('Watershed plans'!C243=1,'Watershed plans'!P243,"")</f>
        <v/>
      </c>
      <c r="D271" s="26">
        <f>IF('Watershed plans'!C243=1,'Watershed plans'!Q243,"")</f>
        <v/>
      </c>
    </row>
    <row r="272">
      <c r="A272" s="6">
        <f>'Watershed plans'!L244</f>
        <v/>
      </c>
      <c r="B272" s="10">
        <f>'Watershed plans'!B244</f>
        <v/>
      </c>
      <c r="C272" s="21">
        <f>IF('Watershed plans'!C244=1,'Watershed plans'!P244,"")</f>
        <v/>
      </c>
      <c r="D272" s="26">
        <f>IF('Watershed plans'!C244=1,'Watershed plans'!Q244,"")</f>
        <v/>
      </c>
    </row>
    <row r="273">
      <c r="A273" s="6">
        <f>'Watershed plans'!L245</f>
        <v/>
      </c>
      <c r="B273" s="10">
        <f>'Watershed plans'!B245</f>
        <v/>
      </c>
      <c r="C273" s="21">
        <f>IF('Watershed plans'!C245=1,'Watershed plans'!P245,"")</f>
        <v/>
      </c>
      <c r="D273" s="26">
        <f>IF('Watershed plans'!C245=1,'Watershed plans'!Q245,"")</f>
        <v/>
      </c>
    </row>
    <row r="274">
      <c r="A274" s="6">
        <f>'Watershed plans'!L246</f>
        <v/>
      </c>
      <c r="B274" s="10">
        <f>'Watershed plans'!B246</f>
        <v/>
      </c>
      <c r="C274" s="21">
        <f>IF('Watershed plans'!C246=1,'Watershed plans'!P246,"")</f>
        <v/>
      </c>
      <c r="D274" s="26">
        <f>IF('Watershed plans'!C246=1,'Watershed plans'!Q246,"")</f>
        <v/>
      </c>
    </row>
    <row r="275">
      <c r="A275" s="6">
        <f>'Watershed plans'!L247</f>
        <v/>
      </c>
      <c r="B275" s="10">
        <f>'Watershed plans'!B247</f>
        <v/>
      </c>
      <c r="C275" s="21">
        <f>IF('Watershed plans'!C247=1,'Watershed plans'!P247,"")</f>
        <v/>
      </c>
      <c r="D275" s="26">
        <f>IF('Watershed plans'!C247=1,'Watershed plans'!Q247,"")</f>
        <v/>
      </c>
    </row>
    <row r="276">
      <c r="A276" s="6">
        <f>'Watershed plans'!L248</f>
        <v/>
      </c>
      <c r="B276" s="10">
        <f>'Watershed plans'!B248</f>
        <v/>
      </c>
      <c r="C276" s="21">
        <f>IF('Watershed plans'!C248=1,'Watershed plans'!P248,"")</f>
        <v/>
      </c>
      <c r="D276" s="26">
        <f>IF('Watershed plans'!C248=1,'Watershed plans'!Q248,"")</f>
        <v/>
      </c>
    </row>
    <row r="277">
      <c r="A277" s="6">
        <f>'Watershed plans'!L249</f>
        <v/>
      </c>
      <c r="B277" s="10">
        <f>'Watershed plans'!B249</f>
        <v/>
      </c>
      <c r="C277" s="21">
        <f>IF('Watershed plans'!C249=1,'Watershed plans'!P249,"")</f>
        <v/>
      </c>
      <c r="D277" s="26">
        <f>IF('Watershed plans'!C249=1,'Watershed plans'!Q249,"")</f>
        <v/>
      </c>
    </row>
    <row r="278">
      <c r="A278" s="6">
        <f>'Watershed plans'!L250</f>
        <v/>
      </c>
      <c r="B278" s="10">
        <f>'Watershed plans'!B250</f>
        <v/>
      </c>
      <c r="C278" s="21">
        <f>IF('Watershed plans'!C250=1,'Watershed plans'!P250,"")</f>
        <v/>
      </c>
      <c r="D278" s="26">
        <f>IF('Watershed plans'!C250=1,'Watershed plans'!Q250,"")</f>
        <v/>
      </c>
    </row>
    <row r="279">
      <c r="A279" s="6">
        <f>'Watershed plans'!L251</f>
        <v/>
      </c>
      <c r="B279" s="10">
        <f>'Watershed plans'!B251</f>
        <v/>
      </c>
      <c r="C279" s="21">
        <f>IF('Watershed plans'!C251=1,'Watershed plans'!P251,"")</f>
        <v/>
      </c>
      <c r="D279" s="26">
        <f>IF('Watershed plans'!C251=1,'Watershed plans'!Q251,"")</f>
        <v/>
      </c>
    </row>
    <row r="280">
      <c r="A280" s="6">
        <f>'Watershed plans'!L252</f>
        <v/>
      </c>
      <c r="B280" s="10">
        <f>'Watershed plans'!B252</f>
        <v/>
      </c>
      <c r="C280" s="21">
        <f>IF('Watershed plans'!C252=1,'Watershed plans'!P252,"")</f>
        <v/>
      </c>
      <c r="D280" s="26">
        <f>IF('Watershed plans'!C252=1,'Watershed plans'!Q252,"")</f>
        <v/>
      </c>
    </row>
    <row r="281">
      <c r="A281" s="6">
        <f>'Watershed plans'!L253</f>
        <v/>
      </c>
      <c r="B281" s="10">
        <f>'Watershed plans'!B253</f>
        <v/>
      </c>
      <c r="C281" s="21">
        <f>IF('Watershed plans'!C253=1,'Watershed plans'!P253,"")</f>
        <v/>
      </c>
      <c r="D281" s="26">
        <f>IF('Watershed plans'!C253=1,'Watershed plans'!Q253,"")</f>
        <v/>
      </c>
    </row>
    <row r="282">
      <c r="A282" s="6">
        <f>'Watershed plans'!L254</f>
        <v/>
      </c>
      <c r="B282" s="10">
        <f>'Watershed plans'!B254</f>
        <v/>
      </c>
      <c r="C282" s="21">
        <f>IF('Watershed plans'!C254=1,'Watershed plans'!P254,"")</f>
        <v/>
      </c>
      <c r="D282" s="26">
        <f>IF('Watershed plans'!C254=1,'Watershed plans'!Q254,"")</f>
        <v/>
      </c>
    </row>
    <row r="283">
      <c r="A283" s="6">
        <f>'Watershed plans'!L255</f>
        <v/>
      </c>
      <c r="B283" s="10">
        <f>'Watershed plans'!B255</f>
        <v/>
      </c>
      <c r="C283" s="21">
        <f>IF('Watershed plans'!C255=1,'Watershed plans'!P255,"")</f>
        <v/>
      </c>
      <c r="D283" s="26">
        <f>IF('Watershed plans'!C255=1,'Watershed plans'!Q255,"")</f>
        <v/>
      </c>
    </row>
    <row r="284">
      <c r="A284" s="6">
        <f>'Watershed plans'!L256</f>
        <v/>
      </c>
      <c r="B284" s="10">
        <f>'Watershed plans'!B256</f>
        <v/>
      </c>
      <c r="C284" s="21">
        <f>IF('Watershed plans'!C256=1,'Watershed plans'!P256,"")</f>
        <v/>
      </c>
      <c r="D284" s="26">
        <f>IF('Watershed plans'!C256=1,'Watershed plans'!Q256,"")</f>
        <v/>
      </c>
    </row>
    <row r="285">
      <c r="A285" s="6">
        <f>'Watershed plans'!L257</f>
        <v/>
      </c>
      <c r="B285" s="10">
        <f>'Watershed plans'!B257</f>
        <v/>
      </c>
      <c r="C285" s="21">
        <f>IF('Watershed plans'!C257=1,'Watershed plans'!P257,"")</f>
        <v/>
      </c>
      <c r="D285" s="26">
        <f>IF('Watershed plans'!C257=1,'Watershed plans'!Q257,"")</f>
        <v/>
      </c>
    </row>
    <row r="286">
      <c r="A286" s="6">
        <f>'Watershed plans'!L258</f>
        <v/>
      </c>
      <c r="B286" s="10">
        <f>'Watershed plans'!B258</f>
        <v/>
      </c>
      <c r="C286" s="21">
        <f>IF('Watershed plans'!C258=1,'Watershed plans'!P258,"")</f>
        <v/>
      </c>
      <c r="D286" s="26">
        <f>IF('Watershed plans'!C258=1,'Watershed plans'!Q258,"")</f>
        <v/>
      </c>
    </row>
    <row r="287">
      <c r="A287" s="6">
        <f>'Watershed plans'!L259</f>
        <v/>
      </c>
      <c r="B287" s="10">
        <f>'Watershed plans'!B259</f>
        <v/>
      </c>
      <c r="C287" s="21">
        <f>IF('Watershed plans'!C259=1,'Watershed plans'!P259,"")</f>
        <v/>
      </c>
      <c r="D287" s="26">
        <f>IF('Watershed plans'!C259=1,'Watershed plans'!Q259,"")</f>
        <v/>
      </c>
    </row>
    <row r="288">
      <c r="A288" s="6">
        <f>'Watershed plans'!L260</f>
        <v/>
      </c>
      <c r="B288" s="10">
        <f>'Watershed plans'!B260</f>
        <v/>
      </c>
      <c r="C288" s="21">
        <f>IF('Watershed plans'!C260=1,'Watershed plans'!P260,"")</f>
        <v/>
      </c>
      <c r="D288" s="26">
        <f>IF('Watershed plans'!C260=1,'Watershed plans'!Q260,"")</f>
        <v/>
      </c>
    </row>
    <row r="289">
      <c r="A289" s="6">
        <f>'Watershed plans'!L261</f>
        <v/>
      </c>
      <c r="B289" s="10">
        <f>'Watershed plans'!B261</f>
        <v/>
      </c>
      <c r="C289" s="21">
        <f>IF('Watershed plans'!C261=1,'Watershed plans'!P261,"")</f>
        <v/>
      </c>
      <c r="D289" s="26">
        <f>IF('Watershed plans'!C261=1,'Watershed plans'!Q261,"")</f>
        <v/>
      </c>
    </row>
    <row r="290">
      <c r="A290" s="6">
        <f>'Watershed plans'!L262</f>
        <v/>
      </c>
      <c r="B290" s="10">
        <f>'Watershed plans'!B262</f>
        <v/>
      </c>
      <c r="C290" s="21">
        <f>IF('Watershed plans'!C262=1,'Watershed plans'!P262,"")</f>
        <v/>
      </c>
      <c r="D290" s="26">
        <f>IF('Watershed plans'!C262=1,'Watershed plans'!Q262,"")</f>
        <v/>
      </c>
    </row>
    <row r="291">
      <c r="A291" s="6">
        <f>'Watershed plans'!L263</f>
        <v/>
      </c>
      <c r="B291" s="10">
        <f>'Watershed plans'!B263</f>
        <v/>
      </c>
      <c r="C291" s="21">
        <f>IF('Watershed plans'!C263=1,'Watershed plans'!P263,"")</f>
        <v/>
      </c>
      <c r="D291" s="26">
        <f>IF('Watershed plans'!C263=1,'Watershed plans'!Q263,"")</f>
        <v/>
      </c>
    </row>
    <row r="292">
      <c r="A292" s="6">
        <f>'Watershed plans'!L264</f>
        <v/>
      </c>
      <c r="B292" s="10">
        <f>'Watershed plans'!B264</f>
        <v/>
      </c>
      <c r="C292" s="21">
        <f>IF('Watershed plans'!C264=1,'Watershed plans'!P264,"")</f>
        <v/>
      </c>
      <c r="D292" s="26">
        <f>IF('Watershed plans'!C264=1,'Watershed plans'!Q264,"")</f>
        <v/>
      </c>
    </row>
    <row r="293">
      <c r="A293" s="6">
        <f>'Watershed plans'!L265</f>
        <v/>
      </c>
      <c r="B293" s="10">
        <f>'Watershed plans'!B265</f>
        <v/>
      </c>
      <c r="C293" s="21">
        <f>IF('Watershed plans'!C265=1,'Watershed plans'!P265,"")</f>
        <v/>
      </c>
      <c r="D293" s="26">
        <f>IF('Watershed plans'!C265=1,'Watershed plans'!Q265,"")</f>
        <v/>
      </c>
    </row>
    <row r="294">
      <c r="A294" s="6">
        <f>'Watershed plans'!L266</f>
        <v/>
      </c>
      <c r="B294" s="10">
        <f>'Watershed plans'!B266</f>
        <v/>
      </c>
      <c r="C294" s="21">
        <f>IF('Watershed plans'!C266=1,'Watershed plans'!P266,"")</f>
        <v/>
      </c>
      <c r="D294" s="26">
        <f>IF('Watershed plans'!C266=1,'Watershed plans'!Q266,"")</f>
        <v/>
      </c>
    </row>
    <row r="295">
      <c r="A295" s="6">
        <f>'Watershed plans'!L267</f>
        <v/>
      </c>
      <c r="B295" s="10">
        <f>'Watershed plans'!B267</f>
        <v/>
      </c>
      <c r="C295" s="21">
        <f>IF('Watershed plans'!C267=1,'Watershed plans'!P267,"")</f>
        <v/>
      </c>
      <c r="D295" s="26">
        <f>IF('Watershed plans'!C267=1,'Watershed plans'!Q267,"")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86"/>
  <sheetViews>
    <sheetView showGridLines="0" workbookViewId="0">
      <selection activeCell="A1" sqref="A1"/>
    </sheetView>
  </sheetViews>
  <sheetFormatPr baseColWidth="8" defaultRowHeight="15"/>
  <cols>
    <col width="13" customWidth="1" style="8" min="1" max="1"/>
    <col width="13" customWidth="1" style="8" min="2" max="2"/>
    <col width="13" customWidth="1" style="8" min="3" max="3"/>
    <col width="13" customWidth="1" style="8" min="4" max="4"/>
    <col width="13" customWidth="1" style="8" min="5" max="5"/>
    <col width="13" customWidth="1" style="8" min="6" max="6"/>
    <col width="13" customWidth="1" style="8" min="7" max="7"/>
    <col width="13" customWidth="1" style="8" min="8" max="8"/>
    <col width="10" customWidth="1" style="8" min="11" max="11"/>
    <col width="13" customWidth="1" style="8" min="13" max="13"/>
    <col width="13" customWidth="1" style="8" min="14" max="14"/>
  </cols>
  <sheetData>
    <row r="1">
      <c r="A1" s="1" t="inlineStr">
        <is>
          <t>Charts: watershed cost-effectiveness and incremental cost</t>
        </is>
      </c>
    </row>
    <row r="2">
      <c r="A2" s="2" t="inlineStr">
        <is>
          <t>Built from the watershed plans sheet; they update with the inputs.</t>
        </is>
      </c>
    </row>
    <row r="30">
      <c r="A30" s="12" t="inlineStr">
        <is>
          <t>Other plans: lift</t>
        </is>
      </c>
      <c r="B30" s="12" t="inlineStr">
        <is>
          <t>Other plans: cost</t>
        </is>
      </c>
      <c r="C30" s="12" t="inlineStr">
        <is>
          <t>Frontier: lift</t>
        </is>
      </c>
      <c r="D30" s="12" t="inlineStr">
        <is>
          <t>Frontier: cost</t>
        </is>
      </c>
      <c r="E30" s="12" t="inlineStr">
        <is>
          <t>Best buys: lift</t>
        </is>
      </c>
      <c r="F30" s="12" t="inlineStr">
        <is>
          <t>Best buys: cost</t>
        </is>
      </c>
      <c r="G30" s="12" t="inlineStr">
        <is>
          <t>Step boxes: lift</t>
        </is>
      </c>
      <c r="H30" s="12" t="inlineStr">
        <is>
          <t>Step boxes: cost per unit</t>
        </is>
      </c>
      <c r="K30" s="12" t="inlineStr">
        <is>
          <t>(frontier order)</t>
        </is>
      </c>
      <c r="M30" s="12" t="inlineStr">
        <is>
          <t>TSP: lift</t>
        </is>
      </c>
      <c r="N30" s="12" t="inlineStr">
        <is>
          <t>TSP: cost</t>
        </is>
      </c>
    </row>
    <row r="31">
      <c r="A31" s="21">
        <f>IF(AND('Watershed plans'!C12=1,'Watershed plans'!T12&lt;&gt;1),'Watershed plans'!P12,NA())</f>
        <v/>
      </c>
      <c r="B31" s="25">
        <f>IF(AND('Watershed plans'!C12=1,'Watershed plans'!T12&lt;&gt;1),'Watershed plans'!Q12,NA())</f>
        <v/>
      </c>
      <c r="C31" s="21">
        <f>IFERROR(INDEX('Watershed plans'!$P$12:$P$267,MATCH(1,$K$31:$K$286,0)),NA())</f>
        <v/>
      </c>
      <c r="D31" s="25">
        <f>IFERROR(INDEX('Watershed plans'!$Q$12:$Q$267,MATCH(1,$K$31:$K$286,0)),NA())</f>
        <v/>
      </c>
      <c r="E31" s="21">
        <f>IFERROR(INDEX('Watershed plans'!$P$12:$P$267,MATCH(1,'Watershed plans'!$Y$12:$Y$267,0)),NA())</f>
        <v/>
      </c>
      <c r="F31" s="25">
        <f>IFERROR(INDEX('Watershed plans'!$Q$12:$Q$267,MATCH(1,'Watershed plans'!$Y$12:$Y$267,0)),NA())</f>
        <v/>
      </c>
      <c r="G31" s="21">
        <f>E31</f>
        <v/>
      </c>
      <c r="H31" s="25">
        <f>IF(ISNUMBER(H32),0,NA())</f>
        <v/>
      </c>
      <c r="K31" s="10">
        <f>IF('Watershed plans'!T12=1,1+SUMPRODUCT('Watershed plans'!$T$12:$T$267*(('Watershed plans'!$M$12:$M$267&lt;'Watershed plans'!M12)+('Watershed plans'!$M$12:$M$267='Watershed plans'!M12)*('Watershed plans'!$A$12:$A$267&lt;'Watershed plans'!A12))),0)</f>
        <v/>
      </c>
      <c r="M31" s="21">
        <f>IFERROR(INDEX('Watershed plans'!$P$12:$P$267,MATCH('Watershed summary'!$B$93,'Watershed plans'!$L$12:$L$267,0)),NA())</f>
        <v/>
      </c>
      <c r="N31" s="25">
        <f>IFERROR(INDEX('Watershed plans'!$Q$12:$Q$267,MATCH('Watershed summary'!$B$93,'Watershed plans'!$L$12:$L$267,0)),NA())</f>
        <v/>
      </c>
    </row>
    <row r="32">
      <c r="A32" s="21">
        <f>IF(AND('Watershed plans'!C13=1,'Watershed plans'!T13&lt;&gt;1),'Watershed plans'!P13,NA())</f>
        <v/>
      </c>
      <c r="B32" s="25">
        <f>IF(AND('Watershed plans'!C13=1,'Watershed plans'!T13&lt;&gt;1),'Watershed plans'!Q13,NA())</f>
        <v/>
      </c>
      <c r="C32" s="21">
        <f>IFERROR(INDEX('Watershed plans'!$P$12:$P$267,MATCH(2,$K$31:$K$286,0)),NA())</f>
        <v/>
      </c>
      <c r="D32" s="25">
        <f>IFERROR(INDEX('Watershed plans'!$Q$12:$Q$267,MATCH(2,$K$31:$K$286,0)),NA())</f>
        <v/>
      </c>
      <c r="E32" s="21">
        <f>IFERROR(INDEX('Watershed plans'!$P$12:$P$267,MATCH(2,'Watershed plans'!$Y$12:$Y$267,0)),NA())</f>
        <v/>
      </c>
      <c r="F32" s="25">
        <f>IFERROR(INDEX('Watershed plans'!$Q$12:$Q$267,MATCH(2,'Watershed plans'!$Y$12:$Y$267,0)),NA())</f>
        <v/>
      </c>
      <c r="G32" s="21">
        <f>E31</f>
        <v/>
      </c>
      <c r="H32" s="25">
        <f>IFERROR(INDEX('Watershed plans'!$AD$12:$AD$267,MATCH(2,'Watershed plans'!$Y$12:$Y$267,0)),NA())</f>
        <v/>
      </c>
      <c r="K32" s="10">
        <f>IF('Watershed plans'!T13=1,1+SUMPRODUCT('Watershed plans'!$T$12:$T$267*(('Watershed plans'!$M$12:$M$267&lt;'Watershed plans'!M13)+('Watershed plans'!$M$12:$M$267='Watershed plans'!M13)*('Watershed plans'!$A$12:$A$267&lt;'Watershed plans'!A13))),0)</f>
        <v/>
      </c>
    </row>
    <row r="33">
      <c r="A33" s="21">
        <f>IF(AND('Watershed plans'!C14=1,'Watershed plans'!T14&lt;&gt;1),'Watershed plans'!P14,NA())</f>
        <v/>
      </c>
      <c r="B33" s="25">
        <f>IF(AND('Watershed plans'!C14=1,'Watershed plans'!T14&lt;&gt;1),'Watershed plans'!Q14,NA())</f>
        <v/>
      </c>
      <c r="C33" s="21">
        <f>IFERROR(INDEX('Watershed plans'!$P$12:$P$267,MATCH(3,$K$31:$K$286,0)),NA())</f>
        <v/>
      </c>
      <c r="D33" s="25">
        <f>IFERROR(INDEX('Watershed plans'!$Q$12:$Q$267,MATCH(3,$K$31:$K$286,0)),NA())</f>
        <v/>
      </c>
      <c r="E33" s="21">
        <f>IFERROR(INDEX('Watershed plans'!$P$12:$P$267,MATCH(3,'Watershed plans'!$Y$12:$Y$267,0)),NA())</f>
        <v/>
      </c>
      <c r="F33" s="25">
        <f>IFERROR(INDEX('Watershed plans'!$Q$12:$Q$267,MATCH(3,'Watershed plans'!$Y$12:$Y$267,0)),NA())</f>
        <v/>
      </c>
      <c r="G33" s="21">
        <f>E32</f>
        <v/>
      </c>
      <c r="H33" s="25">
        <f>H32</f>
        <v/>
      </c>
      <c r="K33" s="10">
        <f>IF('Watershed plans'!T14=1,1+SUMPRODUCT('Watershed plans'!$T$12:$T$267*(('Watershed plans'!$M$12:$M$267&lt;'Watershed plans'!M14)+('Watershed plans'!$M$12:$M$267='Watershed plans'!M14)*('Watershed plans'!$A$12:$A$267&lt;'Watershed plans'!A14))),0)</f>
        <v/>
      </c>
    </row>
    <row r="34">
      <c r="A34" s="21">
        <f>IF(AND('Watershed plans'!C15=1,'Watershed plans'!T15&lt;&gt;1),'Watershed plans'!P15,NA())</f>
        <v/>
      </c>
      <c r="B34" s="25">
        <f>IF(AND('Watershed plans'!C15=1,'Watershed plans'!T15&lt;&gt;1),'Watershed plans'!Q15,NA())</f>
        <v/>
      </c>
      <c r="C34" s="21">
        <f>IFERROR(INDEX('Watershed plans'!$P$12:$P$267,MATCH(4,$K$31:$K$286,0)),NA())</f>
        <v/>
      </c>
      <c r="D34" s="25">
        <f>IFERROR(INDEX('Watershed plans'!$Q$12:$Q$267,MATCH(4,$K$31:$K$286,0)),NA())</f>
        <v/>
      </c>
      <c r="E34" s="21">
        <f>IFERROR(INDEX('Watershed plans'!$P$12:$P$267,MATCH(4,'Watershed plans'!$Y$12:$Y$267,0)),NA())</f>
        <v/>
      </c>
      <c r="F34" s="25">
        <f>IFERROR(INDEX('Watershed plans'!$Q$12:$Q$267,MATCH(4,'Watershed plans'!$Y$12:$Y$267,0)),NA())</f>
        <v/>
      </c>
      <c r="G34" s="21">
        <f>E32</f>
        <v/>
      </c>
      <c r="H34" s="25">
        <f>IF(ISNUMBER(H32),0,NA())</f>
        <v/>
      </c>
      <c r="K34" s="10">
        <f>IF('Watershed plans'!T15=1,1+SUMPRODUCT('Watershed plans'!$T$12:$T$267*(('Watershed plans'!$M$12:$M$267&lt;'Watershed plans'!M15)+('Watershed plans'!$M$12:$M$267='Watershed plans'!M15)*('Watershed plans'!$A$12:$A$267&lt;'Watershed plans'!A15))),0)</f>
        <v/>
      </c>
    </row>
    <row r="35">
      <c r="A35" s="21">
        <f>IF(AND('Watershed plans'!C16=1,'Watershed plans'!T16&lt;&gt;1),'Watershed plans'!P16,NA())</f>
        <v/>
      </c>
      <c r="B35" s="25">
        <f>IF(AND('Watershed plans'!C16=1,'Watershed plans'!T16&lt;&gt;1),'Watershed plans'!Q16,NA())</f>
        <v/>
      </c>
      <c r="C35" s="21">
        <f>IFERROR(INDEX('Watershed plans'!$P$12:$P$267,MATCH(5,$K$31:$K$286,0)),NA())</f>
        <v/>
      </c>
      <c r="D35" s="25">
        <f>IFERROR(INDEX('Watershed plans'!$Q$12:$Q$267,MATCH(5,$K$31:$K$286,0)),NA())</f>
        <v/>
      </c>
      <c r="E35" s="21">
        <f>IFERROR(INDEX('Watershed plans'!$P$12:$P$267,MATCH(5,'Watershed plans'!$Y$12:$Y$267,0)),NA())</f>
        <v/>
      </c>
      <c r="F35" s="25">
        <f>IFERROR(INDEX('Watershed plans'!$Q$12:$Q$267,MATCH(5,'Watershed plans'!$Y$12:$Y$267,0)),NA())</f>
        <v/>
      </c>
      <c r="G35" s="21">
        <f>E32</f>
        <v/>
      </c>
      <c r="H35" s="25">
        <f>IF(ISNUMBER(H36),0,NA())</f>
        <v/>
      </c>
      <c r="K35" s="10">
        <f>IF('Watershed plans'!T16=1,1+SUMPRODUCT('Watershed plans'!$T$12:$T$267*(('Watershed plans'!$M$12:$M$267&lt;'Watershed plans'!M16)+('Watershed plans'!$M$12:$M$267='Watershed plans'!M16)*('Watershed plans'!$A$12:$A$267&lt;'Watershed plans'!A16))),0)</f>
        <v/>
      </c>
    </row>
    <row r="36">
      <c r="A36" s="21">
        <f>IF(AND('Watershed plans'!C17=1,'Watershed plans'!T17&lt;&gt;1),'Watershed plans'!P17,NA())</f>
        <v/>
      </c>
      <c r="B36" s="25">
        <f>IF(AND('Watershed plans'!C17=1,'Watershed plans'!T17&lt;&gt;1),'Watershed plans'!Q17,NA())</f>
        <v/>
      </c>
      <c r="C36" s="21">
        <f>IFERROR(INDEX('Watershed plans'!$P$12:$P$267,MATCH(6,$K$31:$K$286,0)),NA())</f>
        <v/>
      </c>
      <c r="D36" s="25">
        <f>IFERROR(INDEX('Watershed plans'!$Q$12:$Q$267,MATCH(6,$K$31:$K$286,0)),NA())</f>
        <v/>
      </c>
      <c r="E36" s="21">
        <f>IFERROR(INDEX('Watershed plans'!$P$12:$P$267,MATCH(6,'Watershed plans'!$Y$12:$Y$267,0)),NA())</f>
        <v/>
      </c>
      <c r="F36" s="25">
        <f>IFERROR(INDEX('Watershed plans'!$Q$12:$Q$267,MATCH(6,'Watershed plans'!$Y$12:$Y$267,0)),NA())</f>
        <v/>
      </c>
      <c r="G36" s="21">
        <f>E32</f>
        <v/>
      </c>
      <c r="H36" s="25">
        <f>IFERROR(INDEX('Watershed plans'!$AD$12:$AD$267,MATCH(3,'Watershed plans'!$Y$12:$Y$267,0)),NA())</f>
        <v/>
      </c>
      <c r="K36" s="10">
        <f>IF('Watershed plans'!T17=1,1+SUMPRODUCT('Watershed plans'!$T$12:$T$267*(('Watershed plans'!$M$12:$M$267&lt;'Watershed plans'!M17)+('Watershed plans'!$M$12:$M$267='Watershed plans'!M17)*('Watershed plans'!$A$12:$A$267&lt;'Watershed plans'!A17))),0)</f>
        <v/>
      </c>
    </row>
    <row r="37">
      <c r="A37" s="21">
        <f>IF(AND('Watershed plans'!C18=1,'Watershed plans'!T18&lt;&gt;1),'Watershed plans'!P18,NA())</f>
        <v/>
      </c>
      <c r="B37" s="25">
        <f>IF(AND('Watershed plans'!C18=1,'Watershed plans'!T18&lt;&gt;1),'Watershed plans'!Q18,NA())</f>
        <v/>
      </c>
      <c r="C37" s="21">
        <f>IFERROR(INDEX('Watershed plans'!$P$12:$P$267,MATCH(7,$K$31:$K$286,0)),NA())</f>
        <v/>
      </c>
      <c r="D37" s="25">
        <f>IFERROR(INDEX('Watershed plans'!$Q$12:$Q$267,MATCH(7,$K$31:$K$286,0)),NA())</f>
        <v/>
      </c>
      <c r="E37" s="21">
        <f>IFERROR(INDEX('Watershed plans'!$P$12:$P$267,MATCH(7,'Watershed plans'!$Y$12:$Y$267,0)),NA())</f>
        <v/>
      </c>
      <c r="F37" s="25">
        <f>IFERROR(INDEX('Watershed plans'!$Q$12:$Q$267,MATCH(7,'Watershed plans'!$Y$12:$Y$267,0)),NA())</f>
        <v/>
      </c>
      <c r="G37" s="21">
        <f>E33</f>
        <v/>
      </c>
      <c r="H37" s="25">
        <f>H36</f>
        <v/>
      </c>
      <c r="K37" s="10">
        <f>IF('Watershed plans'!T18=1,1+SUMPRODUCT('Watershed plans'!$T$12:$T$267*(('Watershed plans'!$M$12:$M$267&lt;'Watershed plans'!M18)+('Watershed plans'!$M$12:$M$267='Watershed plans'!M18)*('Watershed plans'!$A$12:$A$267&lt;'Watershed plans'!A18))),0)</f>
        <v/>
      </c>
    </row>
    <row r="38">
      <c r="A38" s="21">
        <f>IF(AND('Watershed plans'!C19=1,'Watershed plans'!T19&lt;&gt;1),'Watershed plans'!P19,NA())</f>
        <v/>
      </c>
      <c r="B38" s="25">
        <f>IF(AND('Watershed plans'!C19=1,'Watershed plans'!T19&lt;&gt;1),'Watershed plans'!Q19,NA())</f>
        <v/>
      </c>
      <c r="C38" s="21">
        <f>IFERROR(INDEX('Watershed plans'!$P$12:$P$267,MATCH(8,$K$31:$K$286,0)),NA())</f>
        <v/>
      </c>
      <c r="D38" s="25">
        <f>IFERROR(INDEX('Watershed plans'!$Q$12:$Q$267,MATCH(8,$K$31:$K$286,0)),NA())</f>
        <v/>
      </c>
      <c r="E38" s="21">
        <f>IFERROR(INDEX('Watershed plans'!$P$12:$P$267,MATCH(8,'Watershed plans'!$Y$12:$Y$267,0)),NA())</f>
        <v/>
      </c>
      <c r="F38" s="25">
        <f>IFERROR(INDEX('Watershed plans'!$Q$12:$Q$267,MATCH(8,'Watershed plans'!$Y$12:$Y$267,0)),NA())</f>
        <v/>
      </c>
      <c r="G38" s="21">
        <f>E33</f>
        <v/>
      </c>
      <c r="H38" s="25">
        <f>IF(ISNUMBER(H36),0,NA())</f>
        <v/>
      </c>
      <c r="K38" s="10">
        <f>IF('Watershed plans'!T19=1,1+SUMPRODUCT('Watershed plans'!$T$12:$T$267*(('Watershed plans'!$M$12:$M$267&lt;'Watershed plans'!M19)+('Watershed plans'!$M$12:$M$267='Watershed plans'!M19)*('Watershed plans'!$A$12:$A$267&lt;'Watershed plans'!A19))),0)</f>
        <v/>
      </c>
    </row>
    <row r="39">
      <c r="A39" s="21">
        <f>IF(AND('Watershed plans'!C20=1,'Watershed plans'!T20&lt;&gt;1),'Watershed plans'!P20,NA())</f>
        <v/>
      </c>
      <c r="B39" s="25">
        <f>IF(AND('Watershed plans'!C20=1,'Watershed plans'!T20&lt;&gt;1),'Watershed plans'!Q20,NA())</f>
        <v/>
      </c>
      <c r="C39" s="21">
        <f>IFERROR(INDEX('Watershed plans'!$P$12:$P$267,MATCH(9,$K$31:$K$286,0)),NA())</f>
        <v/>
      </c>
      <c r="D39" s="25">
        <f>IFERROR(INDEX('Watershed plans'!$Q$12:$Q$267,MATCH(9,$K$31:$K$286,0)),NA())</f>
        <v/>
      </c>
      <c r="E39" s="21">
        <f>IFERROR(INDEX('Watershed plans'!$P$12:$P$267,MATCH(9,'Watershed plans'!$Y$12:$Y$267,0)),NA())</f>
        <v/>
      </c>
      <c r="F39" s="25">
        <f>IFERROR(INDEX('Watershed plans'!$Q$12:$Q$267,MATCH(9,'Watershed plans'!$Y$12:$Y$267,0)),NA())</f>
        <v/>
      </c>
      <c r="G39" s="21">
        <f>E33</f>
        <v/>
      </c>
      <c r="H39" s="25">
        <f>IF(ISNUMBER(H40),0,NA())</f>
        <v/>
      </c>
      <c r="K39" s="10">
        <f>IF('Watershed plans'!T20=1,1+SUMPRODUCT('Watershed plans'!$T$12:$T$267*(('Watershed plans'!$M$12:$M$267&lt;'Watershed plans'!M20)+('Watershed plans'!$M$12:$M$267='Watershed plans'!M20)*('Watershed plans'!$A$12:$A$267&lt;'Watershed plans'!A20))),0)</f>
        <v/>
      </c>
    </row>
    <row r="40">
      <c r="A40" s="21">
        <f>IF(AND('Watershed plans'!C21=1,'Watershed plans'!T21&lt;&gt;1),'Watershed plans'!P21,NA())</f>
        <v/>
      </c>
      <c r="B40" s="25">
        <f>IF(AND('Watershed plans'!C21=1,'Watershed plans'!T21&lt;&gt;1),'Watershed plans'!Q21,NA())</f>
        <v/>
      </c>
      <c r="C40" s="21">
        <f>IFERROR(INDEX('Watershed plans'!$P$12:$P$267,MATCH(10,$K$31:$K$286,0)),NA())</f>
        <v/>
      </c>
      <c r="D40" s="25">
        <f>IFERROR(INDEX('Watershed plans'!$Q$12:$Q$267,MATCH(10,$K$31:$K$286,0)),NA())</f>
        <v/>
      </c>
      <c r="E40" s="21">
        <f>IFERROR(INDEX('Watershed plans'!$P$12:$P$267,MATCH(10,'Watershed plans'!$Y$12:$Y$267,0)),NA())</f>
        <v/>
      </c>
      <c r="F40" s="25">
        <f>IFERROR(INDEX('Watershed plans'!$Q$12:$Q$267,MATCH(10,'Watershed plans'!$Y$12:$Y$267,0)),NA())</f>
        <v/>
      </c>
      <c r="G40" s="21">
        <f>E33</f>
        <v/>
      </c>
      <c r="H40" s="25">
        <f>IFERROR(INDEX('Watershed plans'!$AD$12:$AD$267,MATCH(4,'Watershed plans'!$Y$12:$Y$267,0)),NA())</f>
        <v/>
      </c>
      <c r="K40" s="10">
        <f>IF('Watershed plans'!T21=1,1+SUMPRODUCT('Watershed plans'!$T$12:$T$267*(('Watershed plans'!$M$12:$M$267&lt;'Watershed plans'!M21)+('Watershed plans'!$M$12:$M$267='Watershed plans'!M21)*('Watershed plans'!$A$12:$A$267&lt;'Watershed plans'!A21))),0)</f>
        <v/>
      </c>
    </row>
    <row r="41">
      <c r="A41" s="21">
        <f>IF(AND('Watershed plans'!C22=1,'Watershed plans'!T22&lt;&gt;1),'Watershed plans'!P22,NA())</f>
        <v/>
      </c>
      <c r="B41" s="25">
        <f>IF(AND('Watershed plans'!C22=1,'Watershed plans'!T22&lt;&gt;1),'Watershed plans'!Q22,NA())</f>
        <v/>
      </c>
      <c r="C41" s="21">
        <f>IFERROR(INDEX('Watershed plans'!$P$12:$P$267,MATCH(11,$K$31:$K$286,0)),NA())</f>
        <v/>
      </c>
      <c r="D41" s="25">
        <f>IFERROR(INDEX('Watershed plans'!$Q$12:$Q$267,MATCH(11,$K$31:$K$286,0)),NA())</f>
        <v/>
      </c>
      <c r="E41" s="21">
        <f>IFERROR(INDEX('Watershed plans'!$P$12:$P$267,MATCH(11,'Watershed plans'!$Y$12:$Y$267,0)),NA())</f>
        <v/>
      </c>
      <c r="F41" s="25">
        <f>IFERROR(INDEX('Watershed plans'!$Q$12:$Q$267,MATCH(11,'Watershed plans'!$Y$12:$Y$267,0)),NA())</f>
        <v/>
      </c>
      <c r="G41" s="21">
        <f>E34</f>
        <v/>
      </c>
      <c r="H41" s="25">
        <f>H40</f>
        <v/>
      </c>
      <c r="K41" s="10">
        <f>IF('Watershed plans'!T22=1,1+SUMPRODUCT('Watershed plans'!$T$12:$T$267*(('Watershed plans'!$M$12:$M$267&lt;'Watershed plans'!M22)+('Watershed plans'!$M$12:$M$267='Watershed plans'!M22)*('Watershed plans'!$A$12:$A$267&lt;'Watershed plans'!A22))),0)</f>
        <v/>
      </c>
    </row>
    <row r="42">
      <c r="A42" s="21">
        <f>IF(AND('Watershed plans'!C23=1,'Watershed plans'!T23&lt;&gt;1),'Watershed plans'!P23,NA())</f>
        <v/>
      </c>
      <c r="B42" s="25">
        <f>IF(AND('Watershed plans'!C23=1,'Watershed plans'!T23&lt;&gt;1),'Watershed plans'!Q23,NA())</f>
        <v/>
      </c>
      <c r="C42" s="21">
        <f>IFERROR(INDEX('Watershed plans'!$P$12:$P$267,MATCH(12,$K$31:$K$286,0)),NA())</f>
        <v/>
      </c>
      <c r="D42" s="25">
        <f>IFERROR(INDEX('Watershed plans'!$Q$12:$Q$267,MATCH(12,$K$31:$K$286,0)),NA())</f>
        <v/>
      </c>
      <c r="E42" s="21">
        <f>IFERROR(INDEX('Watershed plans'!$P$12:$P$267,MATCH(12,'Watershed plans'!$Y$12:$Y$267,0)),NA())</f>
        <v/>
      </c>
      <c r="F42" s="25">
        <f>IFERROR(INDEX('Watershed plans'!$Q$12:$Q$267,MATCH(12,'Watershed plans'!$Y$12:$Y$267,0)),NA())</f>
        <v/>
      </c>
      <c r="G42" s="21">
        <f>E34</f>
        <v/>
      </c>
      <c r="H42" s="25">
        <f>IF(ISNUMBER(H40),0,NA())</f>
        <v/>
      </c>
      <c r="K42" s="10">
        <f>IF('Watershed plans'!T23=1,1+SUMPRODUCT('Watershed plans'!$T$12:$T$267*(('Watershed plans'!$M$12:$M$267&lt;'Watershed plans'!M23)+('Watershed plans'!$M$12:$M$267='Watershed plans'!M23)*('Watershed plans'!$A$12:$A$267&lt;'Watershed plans'!A23))),0)</f>
        <v/>
      </c>
    </row>
    <row r="43">
      <c r="A43" s="21">
        <f>IF(AND('Watershed plans'!C24=1,'Watershed plans'!T24&lt;&gt;1),'Watershed plans'!P24,NA())</f>
        <v/>
      </c>
      <c r="B43" s="25">
        <f>IF(AND('Watershed plans'!C24=1,'Watershed plans'!T24&lt;&gt;1),'Watershed plans'!Q24,NA())</f>
        <v/>
      </c>
      <c r="C43" s="21">
        <f>IFERROR(INDEX('Watershed plans'!$P$12:$P$267,MATCH(13,$K$31:$K$286,0)),NA())</f>
        <v/>
      </c>
      <c r="D43" s="25">
        <f>IFERROR(INDEX('Watershed plans'!$Q$12:$Q$267,MATCH(13,$K$31:$K$286,0)),NA())</f>
        <v/>
      </c>
      <c r="E43" s="21">
        <f>IFERROR(INDEX('Watershed plans'!$P$12:$P$267,MATCH(13,'Watershed plans'!$Y$12:$Y$267,0)),NA())</f>
        <v/>
      </c>
      <c r="F43" s="25">
        <f>IFERROR(INDEX('Watershed plans'!$Q$12:$Q$267,MATCH(13,'Watershed plans'!$Y$12:$Y$267,0)),NA())</f>
        <v/>
      </c>
      <c r="G43" s="21">
        <f>E34</f>
        <v/>
      </c>
      <c r="H43" s="25">
        <f>IF(ISNUMBER(H44),0,NA())</f>
        <v/>
      </c>
      <c r="K43" s="10">
        <f>IF('Watershed plans'!T24=1,1+SUMPRODUCT('Watershed plans'!$T$12:$T$267*(('Watershed plans'!$M$12:$M$267&lt;'Watershed plans'!M24)+('Watershed plans'!$M$12:$M$267='Watershed plans'!M24)*('Watershed plans'!$A$12:$A$267&lt;'Watershed plans'!A24))),0)</f>
        <v/>
      </c>
    </row>
    <row r="44">
      <c r="A44" s="21">
        <f>IF(AND('Watershed plans'!C25=1,'Watershed plans'!T25&lt;&gt;1),'Watershed plans'!P25,NA())</f>
        <v/>
      </c>
      <c r="B44" s="25">
        <f>IF(AND('Watershed plans'!C25=1,'Watershed plans'!T25&lt;&gt;1),'Watershed plans'!Q25,NA())</f>
        <v/>
      </c>
      <c r="C44" s="21">
        <f>IFERROR(INDEX('Watershed plans'!$P$12:$P$267,MATCH(14,$K$31:$K$286,0)),NA())</f>
        <v/>
      </c>
      <c r="D44" s="25">
        <f>IFERROR(INDEX('Watershed plans'!$Q$12:$Q$267,MATCH(14,$K$31:$K$286,0)),NA())</f>
        <v/>
      </c>
      <c r="E44" s="21">
        <f>IFERROR(INDEX('Watershed plans'!$P$12:$P$267,MATCH(14,'Watershed plans'!$Y$12:$Y$267,0)),NA())</f>
        <v/>
      </c>
      <c r="F44" s="25">
        <f>IFERROR(INDEX('Watershed plans'!$Q$12:$Q$267,MATCH(14,'Watershed plans'!$Y$12:$Y$267,0)),NA())</f>
        <v/>
      </c>
      <c r="G44" s="21">
        <f>E34</f>
        <v/>
      </c>
      <c r="H44" s="25">
        <f>IFERROR(INDEX('Watershed plans'!$AD$12:$AD$267,MATCH(5,'Watershed plans'!$Y$12:$Y$267,0)),NA())</f>
        <v/>
      </c>
      <c r="K44" s="10">
        <f>IF('Watershed plans'!T25=1,1+SUMPRODUCT('Watershed plans'!$T$12:$T$267*(('Watershed plans'!$M$12:$M$267&lt;'Watershed plans'!M25)+('Watershed plans'!$M$12:$M$267='Watershed plans'!M25)*('Watershed plans'!$A$12:$A$267&lt;'Watershed plans'!A25))),0)</f>
        <v/>
      </c>
    </row>
    <row r="45">
      <c r="A45" s="21">
        <f>IF(AND('Watershed plans'!C26=1,'Watershed plans'!T26&lt;&gt;1),'Watershed plans'!P26,NA())</f>
        <v/>
      </c>
      <c r="B45" s="25">
        <f>IF(AND('Watershed plans'!C26=1,'Watershed plans'!T26&lt;&gt;1),'Watershed plans'!Q26,NA())</f>
        <v/>
      </c>
      <c r="C45" s="21">
        <f>IFERROR(INDEX('Watershed plans'!$P$12:$P$267,MATCH(15,$K$31:$K$286,0)),NA())</f>
        <v/>
      </c>
      <c r="D45" s="25">
        <f>IFERROR(INDEX('Watershed plans'!$Q$12:$Q$267,MATCH(15,$K$31:$K$286,0)),NA())</f>
        <v/>
      </c>
      <c r="E45" s="21">
        <f>IFERROR(INDEX('Watershed plans'!$P$12:$P$267,MATCH(15,'Watershed plans'!$Y$12:$Y$267,0)),NA())</f>
        <v/>
      </c>
      <c r="F45" s="25">
        <f>IFERROR(INDEX('Watershed plans'!$Q$12:$Q$267,MATCH(15,'Watershed plans'!$Y$12:$Y$267,0)),NA())</f>
        <v/>
      </c>
      <c r="G45" s="21">
        <f>E35</f>
        <v/>
      </c>
      <c r="H45" s="25">
        <f>H44</f>
        <v/>
      </c>
      <c r="K45" s="10">
        <f>IF('Watershed plans'!T26=1,1+SUMPRODUCT('Watershed plans'!$T$12:$T$267*(('Watershed plans'!$M$12:$M$267&lt;'Watershed plans'!M26)+('Watershed plans'!$M$12:$M$267='Watershed plans'!M26)*('Watershed plans'!$A$12:$A$267&lt;'Watershed plans'!A26))),0)</f>
        <v/>
      </c>
    </row>
    <row r="46">
      <c r="A46" s="21">
        <f>IF(AND('Watershed plans'!C27=1,'Watershed plans'!T27&lt;&gt;1),'Watershed plans'!P27,NA())</f>
        <v/>
      </c>
      <c r="B46" s="25">
        <f>IF(AND('Watershed plans'!C27=1,'Watershed plans'!T27&lt;&gt;1),'Watershed plans'!Q27,NA())</f>
        <v/>
      </c>
      <c r="C46" s="21">
        <f>IFERROR(INDEX('Watershed plans'!$P$12:$P$267,MATCH(16,$K$31:$K$286,0)),NA())</f>
        <v/>
      </c>
      <c r="D46" s="25">
        <f>IFERROR(INDEX('Watershed plans'!$Q$12:$Q$267,MATCH(16,$K$31:$K$286,0)),NA())</f>
        <v/>
      </c>
      <c r="E46" s="21">
        <f>IFERROR(INDEX('Watershed plans'!$P$12:$P$267,MATCH(16,'Watershed plans'!$Y$12:$Y$267,0)),NA())</f>
        <v/>
      </c>
      <c r="F46" s="25">
        <f>IFERROR(INDEX('Watershed plans'!$Q$12:$Q$267,MATCH(16,'Watershed plans'!$Y$12:$Y$267,0)),NA())</f>
        <v/>
      </c>
      <c r="G46" s="21">
        <f>E35</f>
        <v/>
      </c>
      <c r="H46" s="25">
        <f>IF(ISNUMBER(H44),0,NA())</f>
        <v/>
      </c>
      <c r="K46" s="10">
        <f>IF('Watershed plans'!T27=1,1+SUMPRODUCT('Watershed plans'!$T$12:$T$267*(('Watershed plans'!$M$12:$M$267&lt;'Watershed plans'!M27)+('Watershed plans'!$M$12:$M$267='Watershed plans'!M27)*('Watershed plans'!$A$12:$A$267&lt;'Watershed plans'!A27))),0)</f>
        <v/>
      </c>
    </row>
    <row r="47">
      <c r="A47" s="21">
        <f>IF(AND('Watershed plans'!C28=1,'Watershed plans'!T28&lt;&gt;1),'Watershed plans'!P28,NA())</f>
        <v/>
      </c>
      <c r="B47" s="25">
        <f>IF(AND('Watershed plans'!C28=1,'Watershed plans'!T28&lt;&gt;1),'Watershed plans'!Q28,NA())</f>
        <v/>
      </c>
      <c r="C47" s="21">
        <f>IFERROR(INDEX('Watershed plans'!$P$12:$P$267,MATCH(17,$K$31:$K$286,0)),NA())</f>
        <v/>
      </c>
      <c r="D47" s="25">
        <f>IFERROR(INDEX('Watershed plans'!$Q$12:$Q$267,MATCH(17,$K$31:$K$286,0)),NA())</f>
        <v/>
      </c>
      <c r="E47" s="21">
        <f>IFERROR(INDEX('Watershed plans'!$P$12:$P$267,MATCH(17,'Watershed plans'!$Y$12:$Y$267,0)),NA())</f>
        <v/>
      </c>
      <c r="F47" s="25">
        <f>IFERROR(INDEX('Watershed plans'!$Q$12:$Q$267,MATCH(17,'Watershed plans'!$Y$12:$Y$267,0)),NA())</f>
        <v/>
      </c>
      <c r="G47" s="21">
        <f>E35</f>
        <v/>
      </c>
      <c r="H47" s="25">
        <f>IF(ISNUMBER(H48),0,NA())</f>
        <v/>
      </c>
      <c r="K47" s="10">
        <f>IF('Watershed plans'!T28=1,1+SUMPRODUCT('Watershed plans'!$T$12:$T$267*(('Watershed plans'!$M$12:$M$267&lt;'Watershed plans'!M28)+('Watershed plans'!$M$12:$M$267='Watershed plans'!M28)*('Watershed plans'!$A$12:$A$267&lt;'Watershed plans'!A28))),0)</f>
        <v/>
      </c>
    </row>
    <row r="48">
      <c r="A48" s="21">
        <f>IF(AND('Watershed plans'!C29=1,'Watershed plans'!T29&lt;&gt;1),'Watershed plans'!P29,NA())</f>
        <v/>
      </c>
      <c r="B48" s="25">
        <f>IF(AND('Watershed plans'!C29=1,'Watershed plans'!T29&lt;&gt;1),'Watershed plans'!Q29,NA())</f>
        <v/>
      </c>
      <c r="C48" s="21">
        <f>IFERROR(INDEX('Watershed plans'!$P$12:$P$267,MATCH(18,$K$31:$K$286,0)),NA())</f>
        <v/>
      </c>
      <c r="D48" s="25">
        <f>IFERROR(INDEX('Watershed plans'!$Q$12:$Q$267,MATCH(18,$K$31:$K$286,0)),NA())</f>
        <v/>
      </c>
      <c r="E48" s="21">
        <f>IFERROR(INDEX('Watershed plans'!$P$12:$P$267,MATCH(18,'Watershed plans'!$Y$12:$Y$267,0)),NA())</f>
        <v/>
      </c>
      <c r="F48" s="25">
        <f>IFERROR(INDEX('Watershed plans'!$Q$12:$Q$267,MATCH(18,'Watershed plans'!$Y$12:$Y$267,0)),NA())</f>
        <v/>
      </c>
      <c r="G48" s="21">
        <f>E35</f>
        <v/>
      </c>
      <c r="H48" s="25">
        <f>IFERROR(INDEX('Watershed plans'!$AD$12:$AD$267,MATCH(6,'Watershed plans'!$Y$12:$Y$267,0)),NA())</f>
        <v/>
      </c>
      <c r="K48" s="10">
        <f>IF('Watershed plans'!T29=1,1+SUMPRODUCT('Watershed plans'!$T$12:$T$267*(('Watershed plans'!$M$12:$M$267&lt;'Watershed plans'!M29)+('Watershed plans'!$M$12:$M$267='Watershed plans'!M29)*('Watershed plans'!$A$12:$A$267&lt;'Watershed plans'!A29))),0)</f>
        <v/>
      </c>
    </row>
    <row r="49">
      <c r="A49" s="21">
        <f>IF(AND('Watershed plans'!C30=1,'Watershed plans'!T30&lt;&gt;1),'Watershed plans'!P30,NA())</f>
        <v/>
      </c>
      <c r="B49" s="25">
        <f>IF(AND('Watershed plans'!C30=1,'Watershed plans'!T30&lt;&gt;1),'Watershed plans'!Q30,NA())</f>
        <v/>
      </c>
      <c r="C49" s="21">
        <f>IFERROR(INDEX('Watershed plans'!$P$12:$P$267,MATCH(19,$K$31:$K$286,0)),NA())</f>
        <v/>
      </c>
      <c r="D49" s="25">
        <f>IFERROR(INDEX('Watershed plans'!$Q$12:$Q$267,MATCH(19,$K$31:$K$286,0)),NA())</f>
        <v/>
      </c>
      <c r="E49" s="21">
        <f>IFERROR(INDEX('Watershed plans'!$P$12:$P$267,MATCH(19,'Watershed plans'!$Y$12:$Y$267,0)),NA())</f>
        <v/>
      </c>
      <c r="F49" s="25">
        <f>IFERROR(INDEX('Watershed plans'!$Q$12:$Q$267,MATCH(19,'Watershed plans'!$Y$12:$Y$267,0)),NA())</f>
        <v/>
      </c>
      <c r="G49" s="21">
        <f>E36</f>
        <v/>
      </c>
      <c r="H49" s="25">
        <f>H48</f>
        <v/>
      </c>
      <c r="K49" s="10">
        <f>IF('Watershed plans'!T30=1,1+SUMPRODUCT('Watershed plans'!$T$12:$T$267*(('Watershed plans'!$M$12:$M$267&lt;'Watershed plans'!M30)+('Watershed plans'!$M$12:$M$267='Watershed plans'!M30)*('Watershed plans'!$A$12:$A$267&lt;'Watershed plans'!A30))),0)</f>
        <v/>
      </c>
    </row>
    <row r="50">
      <c r="A50" s="21">
        <f>IF(AND('Watershed plans'!C31=1,'Watershed plans'!T31&lt;&gt;1),'Watershed plans'!P31,NA())</f>
        <v/>
      </c>
      <c r="B50" s="25">
        <f>IF(AND('Watershed plans'!C31=1,'Watershed plans'!T31&lt;&gt;1),'Watershed plans'!Q31,NA())</f>
        <v/>
      </c>
      <c r="C50" s="21">
        <f>IFERROR(INDEX('Watershed plans'!$P$12:$P$267,MATCH(20,$K$31:$K$286,0)),NA())</f>
        <v/>
      </c>
      <c r="D50" s="25">
        <f>IFERROR(INDEX('Watershed plans'!$Q$12:$Q$267,MATCH(20,$K$31:$K$286,0)),NA())</f>
        <v/>
      </c>
      <c r="E50" s="21">
        <f>IFERROR(INDEX('Watershed plans'!$P$12:$P$267,MATCH(20,'Watershed plans'!$Y$12:$Y$267,0)),NA())</f>
        <v/>
      </c>
      <c r="F50" s="25">
        <f>IFERROR(INDEX('Watershed plans'!$Q$12:$Q$267,MATCH(20,'Watershed plans'!$Y$12:$Y$267,0)),NA())</f>
        <v/>
      </c>
      <c r="G50" s="21">
        <f>E36</f>
        <v/>
      </c>
      <c r="H50" s="25">
        <f>IF(ISNUMBER(H48),0,NA())</f>
        <v/>
      </c>
      <c r="K50" s="10">
        <f>IF('Watershed plans'!T31=1,1+SUMPRODUCT('Watershed plans'!$T$12:$T$267*(('Watershed plans'!$M$12:$M$267&lt;'Watershed plans'!M31)+('Watershed plans'!$M$12:$M$267='Watershed plans'!M31)*('Watershed plans'!$A$12:$A$267&lt;'Watershed plans'!A31))),0)</f>
        <v/>
      </c>
    </row>
    <row r="51">
      <c r="A51" s="21">
        <f>IF(AND('Watershed plans'!C32=1,'Watershed plans'!T32&lt;&gt;1),'Watershed plans'!P32,NA())</f>
        <v/>
      </c>
      <c r="B51" s="25">
        <f>IF(AND('Watershed plans'!C32=1,'Watershed plans'!T32&lt;&gt;1),'Watershed plans'!Q32,NA())</f>
        <v/>
      </c>
      <c r="C51" s="21">
        <f>IFERROR(INDEX('Watershed plans'!$P$12:$P$267,MATCH(21,$K$31:$K$286,0)),NA())</f>
        <v/>
      </c>
      <c r="D51" s="25">
        <f>IFERROR(INDEX('Watershed plans'!$Q$12:$Q$267,MATCH(21,$K$31:$K$286,0)),NA())</f>
        <v/>
      </c>
      <c r="E51" s="21">
        <f>IFERROR(INDEX('Watershed plans'!$P$12:$P$267,MATCH(21,'Watershed plans'!$Y$12:$Y$267,0)),NA())</f>
        <v/>
      </c>
      <c r="F51" s="25">
        <f>IFERROR(INDEX('Watershed plans'!$Q$12:$Q$267,MATCH(21,'Watershed plans'!$Y$12:$Y$267,0)),NA())</f>
        <v/>
      </c>
      <c r="G51" s="21">
        <f>E36</f>
        <v/>
      </c>
      <c r="H51" s="25">
        <f>IF(ISNUMBER(H52),0,NA())</f>
        <v/>
      </c>
      <c r="K51" s="10">
        <f>IF('Watershed plans'!T32=1,1+SUMPRODUCT('Watershed plans'!$T$12:$T$267*(('Watershed plans'!$M$12:$M$267&lt;'Watershed plans'!M32)+('Watershed plans'!$M$12:$M$267='Watershed plans'!M32)*('Watershed plans'!$A$12:$A$267&lt;'Watershed plans'!A32))),0)</f>
        <v/>
      </c>
    </row>
    <row r="52">
      <c r="A52" s="21">
        <f>IF(AND('Watershed plans'!C33=1,'Watershed plans'!T33&lt;&gt;1),'Watershed plans'!P33,NA())</f>
        <v/>
      </c>
      <c r="B52" s="25">
        <f>IF(AND('Watershed plans'!C33=1,'Watershed plans'!T33&lt;&gt;1),'Watershed plans'!Q33,NA())</f>
        <v/>
      </c>
      <c r="C52" s="21">
        <f>IFERROR(INDEX('Watershed plans'!$P$12:$P$267,MATCH(22,$K$31:$K$286,0)),NA())</f>
        <v/>
      </c>
      <c r="D52" s="25">
        <f>IFERROR(INDEX('Watershed plans'!$Q$12:$Q$267,MATCH(22,$K$31:$K$286,0)),NA())</f>
        <v/>
      </c>
      <c r="E52" s="21">
        <f>IFERROR(INDEX('Watershed plans'!$P$12:$P$267,MATCH(22,'Watershed plans'!$Y$12:$Y$267,0)),NA())</f>
        <v/>
      </c>
      <c r="F52" s="25">
        <f>IFERROR(INDEX('Watershed plans'!$Q$12:$Q$267,MATCH(22,'Watershed plans'!$Y$12:$Y$267,0)),NA())</f>
        <v/>
      </c>
      <c r="G52" s="21">
        <f>E36</f>
        <v/>
      </c>
      <c r="H52" s="25">
        <f>IFERROR(INDEX('Watershed plans'!$AD$12:$AD$267,MATCH(7,'Watershed plans'!$Y$12:$Y$267,0)),NA())</f>
        <v/>
      </c>
      <c r="K52" s="10">
        <f>IF('Watershed plans'!T33=1,1+SUMPRODUCT('Watershed plans'!$T$12:$T$267*(('Watershed plans'!$M$12:$M$267&lt;'Watershed plans'!M33)+('Watershed plans'!$M$12:$M$267='Watershed plans'!M33)*('Watershed plans'!$A$12:$A$267&lt;'Watershed plans'!A33))),0)</f>
        <v/>
      </c>
    </row>
    <row r="53">
      <c r="A53" s="21">
        <f>IF(AND('Watershed plans'!C34=1,'Watershed plans'!T34&lt;&gt;1),'Watershed plans'!P34,NA())</f>
        <v/>
      </c>
      <c r="B53" s="25">
        <f>IF(AND('Watershed plans'!C34=1,'Watershed plans'!T34&lt;&gt;1),'Watershed plans'!Q34,NA())</f>
        <v/>
      </c>
      <c r="C53" s="21">
        <f>IFERROR(INDEX('Watershed plans'!$P$12:$P$267,MATCH(23,$K$31:$K$286,0)),NA())</f>
        <v/>
      </c>
      <c r="D53" s="25">
        <f>IFERROR(INDEX('Watershed plans'!$Q$12:$Q$267,MATCH(23,$K$31:$K$286,0)),NA())</f>
        <v/>
      </c>
      <c r="E53" s="21">
        <f>IFERROR(INDEX('Watershed plans'!$P$12:$P$267,MATCH(23,'Watershed plans'!$Y$12:$Y$267,0)),NA())</f>
        <v/>
      </c>
      <c r="F53" s="25">
        <f>IFERROR(INDEX('Watershed plans'!$Q$12:$Q$267,MATCH(23,'Watershed plans'!$Y$12:$Y$267,0)),NA())</f>
        <v/>
      </c>
      <c r="G53" s="21">
        <f>E37</f>
        <v/>
      </c>
      <c r="H53" s="25">
        <f>H52</f>
        <v/>
      </c>
      <c r="K53" s="10">
        <f>IF('Watershed plans'!T34=1,1+SUMPRODUCT('Watershed plans'!$T$12:$T$267*(('Watershed plans'!$M$12:$M$267&lt;'Watershed plans'!M34)+('Watershed plans'!$M$12:$M$267='Watershed plans'!M34)*('Watershed plans'!$A$12:$A$267&lt;'Watershed plans'!A34))),0)</f>
        <v/>
      </c>
    </row>
    <row r="54">
      <c r="A54" s="21">
        <f>IF(AND('Watershed plans'!C35=1,'Watershed plans'!T35&lt;&gt;1),'Watershed plans'!P35,NA())</f>
        <v/>
      </c>
      <c r="B54" s="25">
        <f>IF(AND('Watershed plans'!C35=1,'Watershed plans'!T35&lt;&gt;1),'Watershed plans'!Q35,NA())</f>
        <v/>
      </c>
      <c r="C54" s="21">
        <f>IFERROR(INDEX('Watershed plans'!$P$12:$P$267,MATCH(24,$K$31:$K$286,0)),NA())</f>
        <v/>
      </c>
      <c r="D54" s="25">
        <f>IFERROR(INDEX('Watershed plans'!$Q$12:$Q$267,MATCH(24,$K$31:$K$286,0)),NA())</f>
        <v/>
      </c>
      <c r="E54" s="21">
        <f>IFERROR(INDEX('Watershed plans'!$P$12:$P$267,MATCH(24,'Watershed plans'!$Y$12:$Y$267,0)),NA())</f>
        <v/>
      </c>
      <c r="F54" s="25">
        <f>IFERROR(INDEX('Watershed plans'!$Q$12:$Q$267,MATCH(24,'Watershed plans'!$Y$12:$Y$267,0)),NA())</f>
        <v/>
      </c>
      <c r="G54" s="21">
        <f>E37</f>
        <v/>
      </c>
      <c r="H54" s="25">
        <f>IF(ISNUMBER(H52),0,NA())</f>
        <v/>
      </c>
      <c r="K54" s="10">
        <f>IF('Watershed plans'!T35=1,1+SUMPRODUCT('Watershed plans'!$T$12:$T$267*(('Watershed plans'!$M$12:$M$267&lt;'Watershed plans'!M35)+('Watershed plans'!$M$12:$M$267='Watershed plans'!M35)*('Watershed plans'!$A$12:$A$267&lt;'Watershed plans'!A35))),0)</f>
        <v/>
      </c>
    </row>
    <row r="55">
      <c r="A55" s="21">
        <f>IF(AND('Watershed plans'!C36=1,'Watershed plans'!T36&lt;&gt;1),'Watershed plans'!P36,NA())</f>
        <v/>
      </c>
      <c r="B55" s="25">
        <f>IF(AND('Watershed plans'!C36=1,'Watershed plans'!T36&lt;&gt;1),'Watershed plans'!Q36,NA())</f>
        <v/>
      </c>
      <c r="C55" s="21">
        <f>IFERROR(INDEX('Watershed plans'!$P$12:$P$267,MATCH(25,$K$31:$K$286,0)),NA())</f>
        <v/>
      </c>
      <c r="D55" s="25">
        <f>IFERROR(INDEX('Watershed plans'!$Q$12:$Q$267,MATCH(25,$K$31:$K$286,0)),NA())</f>
        <v/>
      </c>
      <c r="E55" s="21">
        <f>IFERROR(INDEX('Watershed plans'!$P$12:$P$267,MATCH(25,'Watershed plans'!$Y$12:$Y$267,0)),NA())</f>
        <v/>
      </c>
      <c r="F55" s="25">
        <f>IFERROR(INDEX('Watershed plans'!$Q$12:$Q$267,MATCH(25,'Watershed plans'!$Y$12:$Y$267,0)),NA())</f>
        <v/>
      </c>
      <c r="G55" s="21">
        <f>E37</f>
        <v/>
      </c>
      <c r="H55" s="25">
        <f>IF(ISNUMBER(H56),0,NA())</f>
        <v/>
      </c>
      <c r="K55" s="10">
        <f>IF('Watershed plans'!T36=1,1+SUMPRODUCT('Watershed plans'!$T$12:$T$267*(('Watershed plans'!$M$12:$M$267&lt;'Watershed plans'!M36)+('Watershed plans'!$M$12:$M$267='Watershed plans'!M36)*('Watershed plans'!$A$12:$A$267&lt;'Watershed plans'!A36))),0)</f>
        <v/>
      </c>
    </row>
    <row r="56">
      <c r="A56" s="21">
        <f>IF(AND('Watershed plans'!C37=1,'Watershed plans'!T37&lt;&gt;1),'Watershed plans'!P37,NA())</f>
        <v/>
      </c>
      <c r="B56" s="25">
        <f>IF(AND('Watershed plans'!C37=1,'Watershed plans'!T37&lt;&gt;1),'Watershed plans'!Q37,NA())</f>
        <v/>
      </c>
      <c r="C56" s="21">
        <f>IFERROR(INDEX('Watershed plans'!$P$12:$P$267,MATCH(26,$K$31:$K$286,0)),NA())</f>
        <v/>
      </c>
      <c r="D56" s="25">
        <f>IFERROR(INDEX('Watershed plans'!$Q$12:$Q$267,MATCH(26,$K$31:$K$286,0)),NA())</f>
        <v/>
      </c>
      <c r="E56" s="21">
        <f>IFERROR(INDEX('Watershed plans'!$P$12:$P$267,MATCH(26,'Watershed plans'!$Y$12:$Y$267,0)),NA())</f>
        <v/>
      </c>
      <c r="F56" s="25">
        <f>IFERROR(INDEX('Watershed plans'!$Q$12:$Q$267,MATCH(26,'Watershed plans'!$Y$12:$Y$267,0)),NA())</f>
        <v/>
      </c>
      <c r="G56" s="21">
        <f>E37</f>
        <v/>
      </c>
      <c r="H56" s="25">
        <f>IFERROR(INDEX('Watershed plans'!$AD$12:$AD$267,MATCH(8,'Watershed plans'!$Y$12:$Y$267,0)),NA())</f>
        <v/>
      </c>
      <c r="K56" s="10">
        <f>IF('Watershed plans'!T37=1,1+SUMPRODUCT('Watershed plans'!$T$12:$T$267*(('Watershed plans'!$M$12:$M$267&lt;'Watershed plans'!M37)+('Watershed plans'!$M$12:$M$267='Watershed plans'!M37)*('Watershed plans'!$A$12:$A$267&lt;'Watershed plans'!A37))),0)</f>
        <v/>
      </c>
    </row>
    <row r="57">
      <c r="A57" s="21">
        <f>IF(AND('Watershed plans'!C38=1,'Watershed plans'!T38&lt;&gt;1),'Watershed plans'!P38,NA())</f>
        <v/>
      </c>
      <c r="B57" s="25">
        <f>IF(AND('Watershed plans'!C38=1,'Watershed plans'!T38&lt;&gt;1),'Watershed plans'!Q38,NA())</f>
        <v/>
      </c>
      <c r="C57" s="21">
        <f>IFERROR(INDEX('Watershed plans'!$P$12:$P$267,MATCH(27,$K$31:$K$286,0)),NA())</f>
        <v/>
      </c>
      <c r="D57" s="25">
        <f>IFERROR(INDEX('Watershed plans'!$Q$12:$Q$267,MATCH(27,$K$31:$K$286,0)),NA())</f>
        <v/>
      </c>
      <c r="E57" s="21">
        <f>IFERROR(INDEX('Watershed plans'!$P$12:$P$267,MATCH(27,'Watershed plans'!$Y$12:$Y$267,0)),NA())</f>
        <v/>
      </c>
      <c r="F57" s="25">
        <f>IFERROR(INDEX('Watershed plans'!$Q$12:$Q$267,MATCH(27,'Watershed plans'!$Y$12:$Y$267,0)),NA())</f>
        <v/>
      </c>
      <c r="G57" s="21">
        <f>E38</f>
        <v/>
      </c>
      <c r="H57" s="25">
        <f>H56</f>
        <v/>
      </c>
      <c r="K57" s="10">
        <f>IF('Watershed plans'!T38=1,1+SUMPRODUCT('Watershed plans'!$T$12:$T$267*(('Watershed plans'!$M$12:$M$267&lt;'Watershed plans'!M38)+('Watershed plans'!$M$12:$M$267='Watershed plans'!M38)*('Watershed plans'!$A$12:$A$267&lt;'Watershed plans'!A38))),0)</f>
        <v/>
      </c>
    </row>
    <row r="58">
      <c r="A58" s="21">
        <f>IF(AND('Watershed plans'!C39=1,'Watershed plans'!T39&lt;&gt;1),'Watershed plans'!P39,NA())</f>
        <v/>
      </c>
      <c r="B58" s="25">
        <f>IF(AND('Watershed plans'!C39=1,'Watershed plans'!T39&lt;&gt;1),'Watershed plans'!Q39,NA())</f>
        <v/>
      </c>
      <c r="C58" s="21">
        <f>IFERROR(INDEX('Watershed plans'!$P$12:$P$267,MATCH(28,$K$31:$K$286,0)),NA())</f>
        <v/>
      </c>
      <c r="D58" s="25">
        <f>IFERROR(INDEX('Watershed plans'!$Q$12:$Q$267,MATCH(28,$K$31:$K$286,0)),NA())</f>
        <v/>
      </c>
      <c r="E58" s="21">
        <f>IFERROR(INDEX('Watershed plans'!$P$12:$P$267,MATCH(28,'Watershed plans'!$Y$12:$Y$267,0)),NA())</f>
        <v/>
      </c>
      <c r="F58" s="25">
        <f>IFERROR(INDEX('Watershed plans'!$Q$12:$Q$267,MATCH(28,'Watershed plans'!$Y$12:$Y$267,0)),NA())</f>
        <v/>
      </c>
      <c r="G58" s="21">
        <f>E38</f>
        <v/>
      </c>
      <c r="H58" s="25">
        <f>IF(ISNUMBER(H56),0,NA())</f>
        <v/>
      </c>
      <c r="K58" s="10">
        <f>IF('Watershed plans'!T39=1,1+SUMPRODUCT('Watershed plans'!$T$12:$T$267*(('Watershed plans'!$M$12:$M$267&lt;'Watershed plans'!M39)+('Watershed plans'!$M$12:$M$267='Watershed plans'!M39)*('Watershed plans'!$A$12:$A$267&lt;'Watershed plans'!A39))),0)</f>
        <v/>
      </c>
    </row>
    <row r="59">
      <c r="A59" s="21">
        <f>IF(AND('Watershed plans'!C40=1,'Watershed plans'!T40&lt;&gt;1),'Watershed plans'!P40,NA())</f>
        <v/>
      </c>
      <c r="B59" s="25">
        <f>IF(AND('Watershed plans'!C40=1,'Watershed plans'!T40&lt;&gt;1),'Watershed plans'!Q40,NA())</f>
        <v/>
      </c>
      <c r="C59" s="21">
        <f>IFERROR(INDEX('Watershed plans'!$P$12:$P$267,MATCH(29,$K$31:$K$286,0)),NA())</f>
        <v/>
      </c>
      <c r="D59" s="25">
        <f>IFERROR(INDEX('Watershed plans'!$Q$12:$Q$267,MATCH(29,$K$31:$K$286,0)),NA())</f>
        <v/>
      </c>
      <c r="E59" s="21">
        <f>IFERROR(INDEX('Watershed plans'!$P$12:$P$267,MATCH(29,'Watershed plans'!$Y$12:$Y$267,0)),NA())</f>
        <v/>
      </c>
      <c r="F59" s="25">
        <f>IFERROR(INDEX('Watershed plans'!$Q$12:$Q$267,MATCH(29,'Watershed plans'!$Y$12:$Y$267,0)),NA())</f>
        <v/>
      </c>
      <c r="G59" s="21">
        <f>E38</f>
        <v/>
      </c>
      <c r="H59" s="25">
        <f>IF(ISNUMBER(H60),0,NA())</f>
        <v/>
      </c>
      <c r="K59" s="10">
        <f>IF('Watershed plans'!T40=1,1+SUMPRODUCT('Watershed plans'!$T$12:$T$267*(('Watershed plans'!$M$12:$M$267&lt;'Watershed plans'!M40)+('Watershed plans'!$M$12:$M$267='Watershed plans'!M40)*('Watershed plans'!$A$12:$A$267&lt;'Watershed plans'!A40))),0)</f>
        <v/>
      </c>
    </row>
    <row r="60">
      <c r="A60" s="21">
        <f>IF(AND('Watershed plans'!C41=1,'Watershed plans'!T41&lt;&gt;1),'Watershed plans'!P41,NA())</f>
        <v/>
      </c>
      <c r="B60" s="25">
        <f>IF(AND('Watershed plans'!C41=1,'Watershed plans'!T41&lt;&gt;1),'Watershed plans'!Q41,NA())</f>
        <v/>
      </c>
      <c r="C60" s="21">
        <f>IFERROR(INDEX('Watershed plans'!$P$12:$P$267,MATCH(30,$K$31:$K$286,0)),NA())</f>
        <v/>
      </c>
      <c r="D60" s="25">
        <f>IFERROR(INDEX('Watershed plans'!$Q$12:$Q$267,MATCH(30,$K$31:$K$286,0)),NA())</f>
        <v/>
      </c>
      <c r="E60" s="21">
        <f>IFERROR(INDEX('Watershed plans'!$P$12:$P$267,MATCH(30,'Watershed plans'!$Y$12:$Y$267,0)),NA())</f>
        <v/>
      </c>
      <c r="F60" s="25">
        <f>IFERROR(INDEX('Watershed plans'!$Q$12:$Q$267,MATCH(30,'Watershed plans'!$Y$12:$Y$267,0)),NA())</f>
        <v/>
      </c>
      <c r="G60" s="21">
        <f>E38</f>
        <v/>
      </c>
      <c r="H60" s="25">
        <f>IFERROR(INDEX('Watershed plans'!$AD$12:$AD$267,MATCH(9,'Watershed plans'!$Y$12:$Y$267,0)),NA())</f>
        <v/>
      </c>
      <c r="K60" s="10">
        <f>IF('Watershed plans'!T41=1,1+SUMPRODUCT('Watershed plans'!$T$12:$T$267*(('Watershed plans'!$M$12:$M$267&lt;'Watershed plans'!M41)+('Watershed plans'!$M$12:$M$267='Watershed plans'!M41)*('Watershed plans'!$A$12:$A$267&lt;'Watershed plans'!A41))),0)</f>
        <v/>
      </c>
    </row>
    <row r="61">
      <c r="A61" s="21">
        <f>IF(AND('Watershed plans'!C42=1,'Watershed plans'!T42&lt;&gt;1),'Watershed plans'!P42,NA())</f>
        <v/>
      </c>
      <c r="B61" s="25">
        <f>IF(AND('Watershed plans'!C42=1,'Watershed plans'!T42&lt;&gt;1),'Watershed plans'!Q42,NA())</f>
        <v/>
      </c>
      <c r="C61" s="21">
        <f>IFERROR(INDEX('Watershed plans'!$P$12:$P$267,MATCH(31,$K$31:$K$286,0)),NA())</f>
        <v/>
      </c>
      <c r="D61" s="25">
        <f>IFERROR(INDEX('Watershed plans'!$Q$12:$Q$267,MATCH(31,$K$31:$K$286,0)),NA())</f>
        <v/>
      </c>
      <c r="E61" s="21">
        <f>IFERROR(INDEX('Watershed plans'!$P$12:$P$267,MATCH(31,'Watershed plans'!$Y$12:$Y$267,0)),NA())</f>
        <v/>
      </c>
      <c r="F61" s="25">
        <f>IFERROR(INDEX('Watershed plans'!$Q$12:$Q$267,MATCH(31,'Watershed plans'!$Y$12:$Y$267,0)),NA())</f>
        <v/>
      </c>
      <c r="G61" s="21">
        <f>E39</f>
        <v/>
      </c>
      <c r="H61" s="25">
        <f>H60</f>
        <v/>
      </c>
      <c r="K61" s="10">
        <f>IF('Watershed plans'!T42=1,1+SUMPRODUCT('Watershed plans'!$T$12:$T$267*(('Watershed plans'!$M$12:$M$267&lt;'Watershed plans'!M42)+('Watershed plans'!$M$12:$M$267='Watershed plans'!M42)*('Watershed plans'!$A$12:$A$267&lt;'Watershed plans'!A42))),0)</f>
        <v/>
      </c>
    </row>
    <row r="62">
      <c r="A62" s="21">
        <f>IF(AND('Watershed plans'!C43=1,'Watershed plans'!T43&lt;&gt;1),'Watershed plans'!P43,NA())</f>
        <v/>
      </c>
      <c r="B62" s="25">
        <f>IF(AND('Watershed plans'!C43=1,'Watershed plans'!T43&lt;&gt;1),'Watershed plans'!Q43,NA())</f>
        <v/>
      </c>
      <c r="C62" s="21">
        <f>IFERROR(INDEX('Watershed plans'!$P$12:$P$267,MATCH(32,$K$31:$K$286,0)),NA())</f>
        <v/>
      </c>
      <c r="D62" s="25">
        <f>IFERROR(INDEX('Watershed plans'!$Q$12:$Q$267,MATCH(32,$K$31:$K$286,0)),NA())</f>
        <v/>
      </c>
      <c r="E62" s="21">
        <f>IFERROR(INDEX('Watershed plans'!$P$12:$P$267,MATCH(32,'Watershed plans'!$Y$12:$Y$267,0)),NA())</f>
        <v/>
      </c>
      <c r="F62" s="25">
        <f>IFERROR(INDEX('Watershed plans'!$Q$12:$Q$267,MATCH(32,'Watershed plans'!$Y$12:$Y$267,0)),NA())</f>
        <v/>
      </c>
      <c r="G62" s="21">
        <f>E39</f>
        <v/>
      </c>
      <c r="H62" s="25">
        <f>IF(ISNUMBER(H60),0,NA())</f>
        <v/>
      </c>
      <c r="K62" s="10">
        <f>IF('Watershed plans'!T43=1,1+SUMPRODUCT('Watershed plans'!$T$12:$T$267*(('Watershed plans'!$M$12:$M$267&lt;'Watershed plans'!M43)+('Watershed plans'!$M$12:$M$267='Watershed plans'!M43)*('Watershed plans'!$A$12:$A$267&lt;'Watershed plans'!A43))),0)</f>
        <v/>
      </c>
    </row>
    <row r="63">
      <c r="A63" s="21">
        <f>IF(AND('Watershed plans'!C44=1,'Watershed plans'!T44&lt;&gt;1),'Watershed plans'!P44,NA())</f>
        <v/>
      </c>
      <c r="B63" s="25">
        <f>IF(AND('Watershed plans'!C44=1,'Watershed plans'!T44&lt;&gt;1),'Watershed plans'!Q44,NA())</f>
        <v/>
      </c>
      <c r="C63" s="21">
        <f>IFERROR(INDEX('Watershed plans'!$P$12:$P$267,MATCH(33,$K$31:$K$286,0)),NA())</f>
        <v/>
      </c>
      <c r="D63" s="25">
        <f>IFERROR(INDEX('Watershed plans'!$Q$12:$Q$267,MATCH(33,$K$31:$K$286,0)),NA())</f>
        <v/>
      </c>
      <c r="E63" s="21">
        <f>IFERROR(INDEX('Watershed plans'!$P$12:$P$267,MATCH(33,'Watershed plans'!$Y$12:$Y$267,0)),NA())</f>
        <v/>
      </c>
      <c r="F63" s="25">
        <f>IFERROR(INDEX('Watershed plans'!$Q$12:$Q$267,MATCH(33,'Watershed plans'!$Y$12:$Y$267,0)),NA())</f>
        <v/>
      </c>
      <c r="G63" s="21">
        <f>E39</f>
        <v/>
      </c>
      <c r="H63" s="25">
        <f>IF(ISNUMBER(H64),0,NA())</f>
        <v/>
      </c>
      <c r="K63" s="10">
        <f>IF('Watershed plans'!T44=1,1+SUMPRODUCT('Watershed plans'!$T$12:$T$267*(('Watershed plans'!$M$12:$M$267&lt;'Watershed plans'!M44)+('Watershed plans'!$M$12:$M$267='Watershed plans'!M44)*('Watershed plans'!$A$12:$A$267&lt;'Watershed plans'!A44))),0)</f>
        <v/>
      </c>
    </row>
    <row r="64">
      <c r="A64" s="21">
        <f>IF(AND('Watershed plans'!C45=1,'Watershed plans'!T45&lt;&gt;1),'Watershed plans'!P45,NA())</f>
        <v/>
      </c>
      <c r="B64" s="25">
        <f>IF(AND('Watershed plans'!C45=1,'Watershed plans'!T45&lt;&gt;1),'Watershed plans'!Q45,NA())</f>
        <v/>
      </c>
      <c r="C64" s="21">
        <f>IFERROR(INDEX('Watershed plans'!$P$12:$P$267,MATCH(34,$K$31:$K$286,0)),NA())</f>
        <v/>
      </c>
      <c r="D64" s="25">
        <f>IFERROR(INDEX('Watershed plans'!$Q$12:$Q$267,MATCH(34,$K$31:$K$286,0)),NA())</f>
        <v/>
      </c>
      <c r="E64" s="21">
        <f>IFERROR(INDEX('Watershed plans'!$P$12:$P$267,MATCH(34,'Watershed plans'!$Y$12:$Y$267,0)),NA())</f>
        <v/>
      </c>
      <c r="F64" s="25">
        <f>IFERROR(INDEX('Watershed plans'!$Q$12:$Q$267,MATCH(34,'Watershed plans'!$Y$12:$Y$267,0)),NA())</f>
        <v/>
      </c>
      <c r="G64" s="21">
        <f>E39</f>
        <v/>
      </c>
      <c r="H64" s="25">
        <f>IFERROR(INDEX('Watershed plans'!$AD$12:$AD$267,MATCH(10,'Watershed plans'!$Y$12:$Y$267,0)),NA())</f>
        <v/>
      </c>
      <c r="K64" s="10">
        <f>IF('Watershed plans'!T45=1,1+SUMPRODUCT('Watershed plans'!$T$12:$T$267*(('Watershed plans'!$M$12:$M$267&lt;'Watershed plans'!M45)+('Watershed plans'!$M$12:$M$267='Watershed plans'!M45)*('Watershed plans'!$A$12:$A$267&lt;'Watershed plans'!A45))),0)</f>
        <v/>
      </c>
    </row>
    <row r="65">
      <c r="A65" s="21">
        <f>IF(AND('Watershed plans'!C46=1,'Watershed plans'!T46&lt;&gt;1),'Watershed plans'!P46,NA())</f>
        <v/>
      </c>
      <c r="B65" s="25">
        <f>IF(AND('Watershed plans'!C46=1,'Watershed plans'!T46&lt;&gt;1),'Watershed plans'!Q46,NA())</f>
        <v/>
      </c>
      <c r="C65" s="21">
        <f>IFERROR(INDEX('Watershed plans'!$P$12:$P$267,MATCH(35,$K$31:$K$286,0)),NA())</f>
        <v/>
      </c>
      <c r="D65" s="25">
        <f>IFERROR(INDEX('Watershed plans'!$Q$12:$Q$267,MATCH(35,$K$31:$K$286,0)),NA())</f>
        <v/>
      </c>
      <c r="E65" s="21">
        <f>IFERROR(INDEX('Watershed plans'!$P$12:$P$267,MATCH(35,'Watershed plans'!$Y$12:$Y$267,0)),NA())</f>
        <v/>
      </c>
      <c r="F65" s="25">
        <f>IFERROR(INDEX('Watershed plans'!$Q$12:$Q$267,MATCH(35,'Watershed plans'!$Y$12:$Y$267,0)),NA())</f>
        <v/>
      </c>
      <c r="G65" s="21">
        <f>E40</f>
        <v/>
      </c>
      <c r="H65" s="25">
        <f>H64</f>
        <v/>
      </c>
      <c r="K65" s="10">
        <f>IF('Watershed plans'!T46=1,1+SUMPRODUCT('Watershed plans'!$T$12:$T$267*(('Watershed plans'!$M$12:$M$267&lt;'Watershed plans'!M46)+('Watershed plans'!$M$12:$M$267='Watershed plans'!M46)*('Watershed plans'!$A$12:$A$267&lt;'Watershed plans'!A46))),0)</f>
        <v/>
      </c>
    </row>
    <row r="66">
      <c r="A66" s="21">
        <f>IF(AND('Watershed plans'!C47=1,'Watershed plans'!T47&lt;&gt;1),'Watershed plans'!P47,NA())</f>
        <v/>
      </c>
      <c r="B66" s="25">
        <f>IF(AND('Watershed plans'!C47=1,'Watershed plans'!T47&lt;&gt;1),'Watershed plans'!Q47,NA())</f>
        <v/>
      </c>
      <c r="C66" s="21">
        <f>IFERROR(INDEX('Watershed plans'!$P$12:$P$267,MATCH(36,$K$31:$K$286,0)),NA())</f>
        <v/>
      </c>
      <c r="D66" s="25">
        <f>IFERROR(INDEX('Watershed plans'!$Q$12:$Q$267,MATCH(36,$K$31:$K$286,0)),NA())</f>
        <v/>
      </c>
      <c r="E66" s="21">
        <f>IFERROR(INDEX('Watershed plans'!$P$12:$P$267,MATCH(36,'Watershed plans'!$Y$12:$Y$267,0)),NA())</f>
        <v/>
      </c>
      <c r="F66" s="25">
        <f>IFERROR(INDEX('Watershed plans'!$Q$12:$Q$267,MATCH(36,'Watershed plans'!$Y$12:$Y$267,0)),NA())</f>
        <v/>
      </c>
      <c r="G66" s="21">
        <f>E40</f>
        <v/>
      </c>
      <c r="H66" s="25">
        <f>IF(ISNUMBER(H64),0,NA())</f>
        <v/>
      </c>
      <c r="K66" s="10">
        <f>IF('Watershed plans'!T47=1,1+SUMPRODUCT('Watershed plans'!$T$12:$T$267*(('Watershed plans'!$M$12:$M$267&lt;'Watershed plans'!M47)+('Watershed plans'!$M$12:$M$267='Watershed plans'!M47)*('Watershed plans'!$A$12:$A$267&lt;'Watershed plans'!A47))),0)</f>
        <v/>
      </c>
    </row>
    <row r="67">
      <c r="A67" s="21">
        <f>IF(AND('Watershed plans'!C48=1,'Watershed plans'!T48&lt;&gt;1),'Watershed plans'!P48,NA())</f>
        <v/>
      </c>
      <c r="B67" s="25">
        <f>IF(AND('Watershed plans'!C48=1,'Watershed plans'!T48&lt;&gt;1),'Watershed plans'!Q48,NA())</f>
        <v/>
      </c>
      <c r="C67" s="21">
        <f>IFERROR(INDEX('Watershed plans'!$P$12:$P$267,MATCH(37,$K$31:$K$286,0)),NA())</f>
        <v/>
      </c>
      <c r="D67" s="25">
        <f>IFERROR(INDEX('Watershed plans'!$Q$12:$Q$267,MATCH(37,$K$31:$K$286,0)),NA())</f>
        <v/>
      </c>
      <c r="E67" s="21">
        <f>IFERROR(INDEX('Watershed plans'!$P$12:$P$267,MATCH(37,'Watershed plans'!$Y$12:$Y$267,0)),NA())</f>
        <v/>
      </c>
      <c r="F67" s="25">
        <f>IFERROR(INDEX('Watershed plans'!$Q$12:$Q$267,MATCH(37,'Watershed plans'!$Y$12:$Y$267,0)),NA())</f>
        <v/>
      </c>
      <c r="G67" s="21">
        <f>E40</f>
        <v/>
      </c>
      <c r="H67" s="25">
        <f>IF(ISNUMBER(H68),0,NA())</f>
        <v/>
      </c>
      <c r="K67" s="10">
        <f>IF('Watershed plans'!T48=1,1+SUMPRODUCT('Watershed plans'!$T$12:$T$267*(('Watershed plans'!$M$12:$M$267&lt;'Watershed plans'!M48)+('Watershed plans'!$M$12:$M$267='Watershed plans'!M48)*('Watershed plans'!$A$12:$A$267&lt;'Watershed plans'!A48))),0)</f>
        <v/>
      </c>
    </row>
    <row r="68">
      <c r="A68" s="21">
        <f>IF(AND('Watershed plans'!C49=1,'Watershed plans'!T49&lt;&gt;1),'Watershed plans'!P49,NA())</f>
        <v/>
      </c>
      <c r="B68" s="25">
        <f>IF(AND('Watershed plans'!C49=1,'Watershed plans'!T49&lt;&gt;1),'Watershed plans'!Q49,NA())</f>
        <v/>
      </c>
      <c r="C68" s="21">
        <f>IFERROR(INDEX('Watershed plans'!$P$12:$P$267,MATCH(38,$K$31:$K$286,0)),NA())</f>
        <v/>
      </c>
      <c r="D68" s="25">
        <f>IFERROR(INDEX('Watershed plans'!$Q$12:$Q$267,MATCH(38,$K$31:$K$286,0)),NA())</f>
        <v/>
      </c>
      <c r="E68" s="21">
        <f>IFERROR(INDEX('Watershed plans'!$P$12:$P$267,MATCH(38,'Watershed plans'!$Y$12:$Y$267,0)),NA())</f>
        <v/>
      </c>
      <c r="F68" s="25">
        <f>IFERROR(INDEX('Watershed plans'!$Q$12:$Q$267,MATCH(38,'Watershed plans'!$Y$12:$Y$267,0)),NA())</f>
        <v/>
      </c>
      <c r="G68" s="21">
        <f>E40</f>
        <v/>
      </c>
      <c r="H68" s="25">
        <f>IFERROR(INDEX('Watershed plans'!$AD$12:$AD$267,MATCH(11,'Watershed plans'!$Y$12:$Y$267,0)),NA())</f>
        <v/>
      </c>
      <c r="K68" s="10">
        <f>IF('Watershed plans'!T49=1,1+SUMPRODUCT('Watershed plans'!$T$12:$T$267*(('Watershed plans'!$M$12:$M$267&lt;'Watershed plans'!M49)+('Watershed plans'!$M$12:$M$267='Watershed plans'!M49)*('Watershed plans'!$A$12:$A$267&lt;'Watershed plans'!A49))),0)</f>
        <v/>
      </c>
    </row>
    <row r="69">
      <c r="A69" s="21">
        <f>IF(AND('Watershed plans'!C50=1,'Watershed plans'!T50&lt;&gt;1),'Watershed plans'!P50,NA())</f>
        <v/>
      </c>
      <c r="B69" s="25">
        <f>IF(AND('Watershed plans'!C50=1,'Watershed plans'!T50&lt;&gt;1),'Watershed plans'!Q50,NA())</f>
        <v/>
      </c>
      <c r="C69" s="21">
        <f>IFERROR(INDEX('Watershed plans'!$P$12:$P$267,MATCH(39,$K$31:$K$286,0)),NA())</f>
        <v/>
      </c>
      <c r="D69" s="25">
        <f>IFERROR(INDEX('Watershed plans'!$Q$12:$Q$267,MATCH(39,$K$31:$K$286,0)),NA())</f>
        <v/>
      </c>
      <c r="E69" s="21">
        <f>IFERROR(INDEX('Watershed plans'!$P$12:$P$267,MATCH(39,'Watershed plans'!$Y$12:$Y$267,0)),NA())</f>
        <v/>
      </c>
      <c r="F69" s="25">
        <f>IFERROR(INDEX('Watershed plans'!$Q$12:$Q$267,MATCH(39,'Watershed plans'!$Y$12:$Y$267,0)),NA())</f>
        <v/>
      </c>
      <c r="G69" s="21">
        <f>E41</f>
        <v/>
      </c>
      <c r="H69" s="25">
        <f>H68</f>
        <v/>
      </c>
      <c r="K69" s="10">
        <f>IF('Watershed plans'!T50=1,1+SUMPRODUCT('Watershed plans'!$T$12:$T$267*(('Watershed plans'!$M$12:$M$267&lt;'Watershed plans'!M50)+('Watershed plans'!$M$12:$M$267='Watershed plans'!M50)*('Watershed plans'!$A$12:$A$267&lt;'Watershed plans'!A50))),0)</f>
        <v/>
      </c>
    </row>
    <row r="70">
      <c r="A70" s="21">
        <f>IF(AND('Watershed plans'!C51=1,'Watershed plans'!T51&lt;&gt;1),'Watershed plans'!P51,NA())</f>
        <v/>
      </c>
      <c r="B70" s="25">
        <f>IF(AND('Watershed plans'!C51=1,'Watershed plans'!T51&lt;&gt;1),'Watershed plans'!Q51,NA())</f>
        <v/>
      </c>
      <c r="C70" s="21">
        <f>IFERROR(INDEX('Watershed plans'!$P$12:$P$267,MATCH(40,$K$31:$K$286,0)),NA())</f>
        <v/>
      </c>
      <c r="D70" s="25">
        <f>IFERROR(INDEX('Watershed plans'!$Q$12:$Q$267,MATCH(40,$K$31:$K$286,0)),NA())</f>
        <v/>
      </c>
      <c r="E70" s="21">
        <f>IFERROR(INDEX('Watershed plans'!$P$12:$P$267,MATCH(40,'Watershed plans'!$Y$12:$Y$267,0)),NA())</f>
        <v/>
      </c>
      <c r="F70" s="25">
        <f>IFERROR(INDEX('Watershed plans'!$Q$12:$Q$267,MATCH(40,'Watershed plans'!$Y$12:$Y$267,0)),NA())</f>
        <v/>
      </c>
      <c r="G70" s="21">
        <f>E41</f>
        <v/>
      </c>
      <c r="H70" s="25">
        <f>IF(ISNUMBER(H68),0,NA())</f>
        <v/>
      </c>
      <c r="K70" s="10">
        <f>IF('Watershed plans'!T51=1,1+SUMPRODUCT('Watershed plans'!$T$12:$T$267*(('Watershed plans'!$M$12:$M$267&lt;'Watershed plans'!M51)+('Watershed plans'!$M$12:$M$267='Watershed plans'!M51)*('Watershed plans'!$A$12:$A$267&lt;'Watershed plans'!A51))),0)</f>
        <v/>
      </c>
    </row>
    <row r="71">
      <c r="A71" s="21">
        <f>IF(AND('Watershed plans'!C52=1,'Watershed plans'!T52&lt;&gt;1),'Watershed plans'!P52,NA())</f>
        <v/>
      </c>
      <c r="B71" s="25">
        <f>IF(AND('Watershed plans'!C52=1,'Watershed plans'!T52&lt;&gt;1),'Watershed plans'!Q52,NA())</f>
        <v/>
      </c>
      <c r="C71" s="21">
        <f>IFERROR(INDEX('Watershed plans'!$P$12:$P$267,MATCH(41,$K$31:$K$286,0)),NA())</f>
        <v/>
      </c>
      <c r="D71" s="25">
        <f>IFERROR(INDEX('Watershed plans'!$Q$12:$Q$267,MATCH(41,$K$31:$K$286,0)),NA())</f>
        <v/>
      </c>
      <c r="E71" s="21">
        <f>IFERROR(INDEX('Watershed plans'!$P$12:$P$267,MATCH(41,'Watershed plans'!$Y$12:$Y$267,0)),NA())</f>
        <v/>
      </c>
      <c r="F71" s="25">
        <f>IFERROR(INDEX('Watershed plans'!$Q$12:$Q$267,MATCH(41,'Watershed plans'!$Y$12:$Y$267,0)),NA())</f>
        <v/>
      </c>
      <c r="G71" s="21">
        <f>E41</f>
        <v/>
      </c>
      <c r="H71" s="25">
        <f>IF(ISNUMBER(H72),0,NA())</f>
        <v/>
      </c>
      <c r="K71" s="10">
        <f>IF('Watershed plans'!T52=1,1+SUMPRODUCT('Watershed plans'!$T$12:$T$267*(('Watershed plans'!$M$12:$M$267&lt;'Watershed plans'!M52)+('Watershed plans'!$M$12:$M$267='Watershed plans'!M52)*('Watershed plans'!$A$12:$A$267&lt;'Watershed plans'!A52))),0)</f>
        <v/>
      </c>
    </row>
    <row r="72">
      <c r="A72" s="21">
        <f>IF(AND('Watershed plans'!C53=1,'Watershed plans'!T53&lt;&gt;1),'Watershed plans'!P53,NA())</f>
        <v/>
      </c>
      <c r="B72" s="25">
        <f>IF(AND('Watershed plans'!C53=1,'Watershed plans'!T53&lt;&gt;1),'Watershed plans'!Q53,NA())</f>
        <v/>
      </c>
      <c r="C72" s="21">
        <f>IFERROR(INDEX('Watershed plans'!$P$12:$P$267,MATCH(42,$K$31:$K$286,0)),NA())</f>
        <v/>
      </c>
      <c r="D72" s="25">
        <f>IFERROR(INDEX('Watershed plans'!$Q$12:$Q$267,MATCH(42,$K$31:$K$286,0)),NA())</f>
        <v/>
      </c>
      <c r="E72" s="21">
        <f>IFERROR(INDEX('Watershed plans'!$P$12:$P$267,MATCH(42,'Watershed plans'!$Y$12:$Y$267,0)),NA())</f>
        <v/>
      </c>
      <c r="F72" s="25">
        <f>IFERROR(INDEX('Watershed plans'!$Q$12:$Q$267,MATCH(42,'Watershed plans'!$Y$12:$Y$267,0)),NA())</f>
        <v/>
      </c>
      <c r="G72" s="21">
        <f>E41</f>
        <v/>
      </c>
      <c r="H72" s="25">
        <f>IFERROR(INDEX('Watershed plans'!$AD$12:$AD$267,MATCH(12,'Watershed plans'!$Y$12:$Y$267,0)),NA())</f>
        <v/>
      </c>
      <c r="K72" s="10">
        <f>IF('Watershed plans'!T53=1,1+SUMPRODUCT('Watershed plans'!$T$12:$T$267*(('Watershed plans'!$M$12:$M$267&lt;'Watershed plans'!M53)+('Watershed plans'!$M$12:$M$267='Watershed plans'!M53)*('Watershed plans'!$A$12:$A$267&lt;'Watershed plans'!A53))),0)</f>
        <v/>
      </c>
    </row>
    <row r="73">
      <c r="A73" s="21">
        <f>IF(AND('Watershed plans'!C54=1,'Watershed plans'!T54&lt;&gt;1),'Watershed plans'!P54,NA())</f>
        <v/>
      </c>
      <c r="B73" s="25">
        <f>IF(AND('Watershed plans'!C54=1,'Watershed plans'!T54&lt;&gt;1),'Watershed plans'!Q54,NA())</f>
        <v/>
      </c>
      <c r="C73" s="21">
        <f>IFERROR(INDEX('Watershed plans'!$P$12:$P$267,MATCH(43,$K$31:$K$286,0)),NA())</f>
        <v/>
      </c>
      <c r="D73" s="25">
        <f>IFERROR(INDEX('Watershed plans'!$Q$12:$Q$267,MATCH(43,$K$31:$K$286,0)),NA())</f>
        <v/>
      </c>
      <c r="E73" s="21">
        <f>IFERROR(INDEX('Watershed plans'!$P$12:$P$267,MATCH(43,'Watershed plans'!$Y$12:$Y$267,0)),NA())</f>
        <v/>
      </c>
      <c r="F73" s="25">
        <f>IFERROR(INDEX('Watershed plans'!$Q$12:$Q$267,MATCH(43,'Watershed plans'!$Y$12:$Y$267,0)),NA())</f>
        <v/>
      </c>
      <c r="G73" s="21">
        <f>E42</f>
        <v/>
      </c>
      <c r="H73" s="25">
        <f>H72</f>
        <v/>
      </c>
      <c r="K73" s="10">
        <f>IF('Watershed plans'!T54=1,1+SUMPRODUCT('Watershed plans'!$T$12:$T$267*(('Watershed plans'!$M$12:$M$267&lt;'Watershed plans'!M54)+('Watershed plans'!$M$12:$M$267='Watershed plans'!M54)*('Watershed plans'!$A$12:$A$267&lt;'Watershed plans'!A54))),0)</f>
        <v/>
      </c>
    </row>
    <row r="74">
      <c r="A74" s="21">
        <f>IF(AND('Watershed plans'!C55=1,'Watershed plans'!T55&lt;&gt;1),'Watershed plans'!P55,NA())</f>
        <v/>
      </c>
      <c r="B74" s="25">
        <f>IF(AND('Watershed plans'!C55=1,'Watershed plans'!T55&lt;&gt;1),'Watershed plans'!Q55,NA())</f>
        <v/>
      </c>
      <c r="C74" s="21">
        <f>IFERROR(INDEX('Watershed plans'!$P$12:$P$267,MATCH(44,$K$31:$K$286,0)),NA())</f>
        <v/>
      </c>
      <c r="D74" s="25">
        <f>IFERROR(INDEX('Watershed plans'!$Q$12:$Q$267,MATCH(44,$K$31:$K$286,0)),NA())</f>
        <v/>
      </c>
      <c r="E74" s="21">
        <f>IFERROR(INDEX('Watershed plans'!$P$12:$P$267,MATCH(44,'Watershed plans'!$Y$12:$Y$267,0)),NA())</f>
        <v/>
      </c>
      <c r="F74" s="25">
        <f>IFERROR(INDEX('Watershed plans'!$Q$12:$Q$267,MATCH(44,'Watershed plans'!$Y$12:$Y$267,0)),NA())</f>
        <v/>
      </c>
      <c r="G74" s="21">
        <f>E42</f>
        <v/>
      </c>
      <c r="H74" s="25">
        <f>IF(ISNUMBER(H72),0,NA())</f>
        <v/>
      </c>
      <c r="K74" s="10">
        <f>IF('Watershed plans'!T55=1,1+SUMPRODUCT('Watershed plans'!$T$12:$T$267*(('Watershed plans'!$M$12:$M$267&lt;'Watershed plans'!M55)+('Watershed plans'!$M$12:$M$267='Watershed plans'!M55)*('Watershed plans'!$A$12:$A$267&lt;'Watershed plans'!A55))),0)</f>
        <v/>
      </c>
    </row>
    <row r="75">
      <c r="A75" s="21">
        <f>IF(AND('Watershed plans'!C56=1,'Watershed plans'!T56&lt;&gt;1),'Watershed plans'!P56,NA())</f>
        <v/>
      </c>
      <c r="B75" s="25">
        <f>IF(AND('Watershed plans'!C56=1,'Watershed plans'!T56&lt;&gt;1),'Watershed plans'!Q56,NA())</f>
        <v/>
      </c>
      <c r="C75" s="21">
        <f>IFERROR(INDEX('Watershed plans'!$P$12:$P$267,MATCH(45,$K$31:$K$286,0)),NA())</f>
        <v/>
      </c>
      <c r="D75" s="25">
        <f>IFERROR(INDEX('Watershed plans'!$Q$12:$Q$267,MATCH(45,$K$31:$K$286,0)),NA())</f>
        <v/>
      </c>
      <c r="E75" s="21">
        <f>IFERROR(INDEX('Watershed plans'!$P$12:$P$267,MATCH(45,'Watershed plans'!$Y$12:$Y$267,0)),NA())</f>
        <v/>
      </c>
      <c r="F75" s="25">
        <f>IFERROR(INDEX('Watershed plans'!$Q$12:$Q$267,MATCH(45,'Watershed plans'!$Y$12:$Y$267,0)),NA())</f>
        <v/>
      </c>
      <c r="G75" s="21">
        <f>E42</f>
        <v/>
      </c>
      <c r="H75" s="25">
        <f>IF(ISNUMBER(H76),0,NA())</f>
        <v/>
      </c>
      <c r="K75" s="10">
        <f>IF('Watershed plans'!T56=1,1+SUMPRODUCT('Watershed plans'!$T$12:$T$267*(('Watershed plans'!$M$12:$M$267&lt;'Watershed plans'!M56)+('Watershed plans'!$M$12:$M$267='Watershed plans'!M56)*('Watershed plans'!$A$12:$A$267&lt;'Watershed plans'!A56))),0)</f>
        <v/>
      </c>
    </row>
    <row r="76">
      <c r="A76" s="21">
        <f>IF(AND('Watershed plans'!C57=1,'Watershed plans'!T57&lt;&gt;1),'Watershed plans'!P57,NA())</f>
        <v/>
      </c>
      <c r="B76" s="25">
        <f>IF(AND('Watershed plans'!C57=1,'Watershed plans'!T57&lt;&gt;1),'Watershed plans'!Q57,NA())</f>
        <v/>
      </c>
      <c r="C76" s="21">
        <f>IFERROR(INDEX('Watershed plans'!$P$12:$P$267,MATCH(46,$K$31:$K$286,0)),NA())</f>
        <v/>
      </c>
      <c r="D76" s="25">
        <f>IFERROR(INDEX('Watershed plans'!$Q$12:$Q$267,MATCH(46,$K$31:$K$286,0)),NA())</f>
        <v/>
      </c>
      <c r="E76" s="21">
        <f>IFERROR(INDEX('Watershed plans'!$P$12:$P$267,MATCH(46,'Watershed plans'!$Y$12:$Y$267,0)),NA())</f>
        <v/>
      </c>
      <c r="F76" s="25">
        <f>IFERROR(INDEX('Watershed plans'!$Q$12:$Q$267,MATCH(46,'Watershed plans'!$Y$12:$Y$267,0)),NA())</f>
        <v/>
      </c>
      <c r="G76" s="21">
        <f>E42</f>
        <v/>
      </c>
      <c r="H76" s="25">
        <f>IFERROR(INDEX('Watershed plans'!$AD$12:$AD$267,MATCH(13,'Watershed plans'!$Y$12:$Y$267,0)),NA())</f>
        <v/>
      </c>
      <c r="K76" s="10">
        <f>IF('Watershed plans'!T57=1,1+SUMPRODUCT('Watershed plans'!$T$12:$T$267*(('Watershed plans'!$M$12:$M$267&lt;'Watershed plans'!M57)+('Watershed plans'!$M$12:$M$267='Watershed plans'!M57)*('Watershed plans'!$A$12:$A$267&lt;'Watershed plans'!A57))),0)</f>
        <v/>
      </c>
    </row>
    <row r="77">
      <c r="A77" s="21">
        <f>IF(AND('Watershed plans'!C58=1,'Watershed plans'!T58&lt;&gt;1),'Watershed plans'!P58,NA())</f>
        <v/>
      </c>
      <c r="B77" s="25">
        <f>IF(AND('Watershed plans'!C58=1,'Watershed plans'!T58&lt;&gt;1),'Watershed plans'!Q58,NA())</f>
        <v/>
      </c>
      <c r="C77" s="21">
        <f>IFERROR(INDEX('Watershed plans'!$P$12:$P$267,MATCH(47,$K$31:$K$286,0)),NA())</f>
        <v/>
      </c>
      <c r="D77" s="25">
        <f>IFERROR(INDEX('Watershed plans'!$Q$12:$Q$267,MATCH(47,$K$31:$K$286,0)),NA())</f>
        <v/>
      </c>
      <c r="E77" s="21">
        <f>IFERROR(INDEX('Watershed plans'!$P$12:$P$267,MATCH(47,'Watershed plans'!$Y$12:$Y$267,0)),NA())</f>
        <v/>
      </c>
      <c r="F77" s="25">
        <f>IFERROR(INDEX('Watershed plans'!$Q$12:$Q$267,MATCH(47,'Watershed plans'!$Y$12:$Y$267,0)),NA())</f>
        <v/>
      </c>
      <c r="G77" s="21">
        <f>E43</f>
        <v/>
      </c>
      <c r="H77" s="25">
        <f>H76</f>
        <v/>
      </c>
      <c r="K77" s="10">
        <f>IF('Watershed plans'!T58=1,1+SUMPRODUCT('Watershed plans'!$T$12:$T$267*(('Watershed plans'!$M$12:$M$267&lt;'Watershed plans'!M58)+('Watershed plans'!$M$12:$M$267='Watershed plans'!M58)*('Watershed plans'!$A$12:$A$267&lt;'Watershed plans'!A58))),0)</f>
        <v/>
      </c>
    </row>
    <row r="78">
      <c r="A78" s="21">
        <f>IF(AND('Watershed plans'!C59=1,'Watershed plans'!T59&lt;&gt;1),'Watershed plans'!P59,NA())</f>
        <v/>
      </c>
      <c r="B78" s="25">
        <f>IF(AND('Watershed plans'!C59=1,'Watershed plans'!T59&lt;&gt;1),'Watershed plans'!Q59,NA())</f>
        <v/>
      </c>
      <c r="C78" s="21">
        <f>IFERROR(INDEX('Watershed plans'!$P$12:$P$267,MATCH(48,$K$31:$K$286,0)),NA())</f>
        <v/>
      </c>
      <c r="D78" s="25">
        <f>IFERROR(INDEX('Watershed plans'!$Q$12:$Q$267,MATCH(48,$K$31:$K$286,0)),NA())</f>
        <v/>
      </c>
      <c r="E78" s="21">
        <f>IFERROR(INDEX('Watershed plans'!$P$12:$P$267,MATCH(48,'Watershed plans'!$Y$12:$Y$267,0)),NA())</f>
        <v/>
      </c>
      <c r="F78" s="25">
        <f>IFERROR(INDEX('Watershed plans'!$Q$12:$Q$267,MATCH(48,'Watershed plans'!$Y$12:$Y$267,0)),NA())</f>
        <v/>
      </c>
      <c r="G78" s="21">
        <f>E43</f>
        <v/>
      </c>
      <c r="H78" s="25">
        <f>IF(ISNUMBER(H76),0,NA())</f>
        <v/>
      </c>
      <c r="K78" s="10">
        <f>IF('Watershed plans'!T59=1,1+SUMPRODUCT('Watershed plans'!$T$12:$T$267*(('Watershed plans'!$M$12:$M$267&lt;'Watershed plans'!M59)+('Watershed plans'!$M$12:$M$267='Watershed plans'!M59)*('Watershed plans'!$A$12:$A$267&lt;'Watershed plans'!A59))),0)</f>
        <v/>
      </c>
    </row>
    <row r="79">
      <c r="A79" s="21">
        <f>IF(AND('Watershed plans'!C60=1,'Watershed plans'!T60&lt;&gt;1),'Watershed plans'!P60,NA())</f>
        <v/>
      </c>
      <c r="B79" s="25">
        <f>IF(AND('Watershed plans'!C60=1,'Watershed plans'!T60&lt;&gt;1),'Watershed plans'!Q60,NA())</f>
        <v/>
      </c>
      <c r="C79" s="21">
        <f>IFERROR(INDEX('Watershed plans'!$P$12:$P$267,MATCH(49,$K$31:$K$286,0)),NA())</f>
        <v/>
      </c>
      <c r="D79" s="25">
        <f>IFERROR(INDEX('Watershed plans'!$Q$12:$Q$267,MATCH(49,$K$31:$K$286,0)),NA())</f>
        <v/>
      </c>
      <c r="E79" s="21">
        <f>IFERROR(INDEX('Watershed plans'!$P$12:$P$267,MATCH(49,'Watershed plans'!$Y$12:$Y$267,0)),NA())</f>
        <v/>
      </c>
      <c r="F79" s="25">
        <f>IFERROR(INDEX('Watershed plans'!$Q$12:$Q$267,MATCH(49,'Watershed plans'!$Y$12:$Y$267,0)),NA())</f>
        <v/>
      </c>
      <c r="G79" s="21">
        <f>E43</f>
        <v/>
      </c>
      <c r="H79" s="25">
        <f>IF(ISNUMBER(H80),0,NA())</f>
        <v/>
      </c>
      <c r="K79" s="10">
        <f>IF('Watershed plans'!T60=1,1+SUMPRODUCT('Watershed plans'!$T$12:$T$267*(('Watershed plans'!$M$12:$M$267&lt;'Watershed plans'!M60)+('Watershed plans'!$M$12:$M$267='Watershed plans'!M60)*('Watershed plans'!$A$12:$A$267&lt;'Watershed plans'!A60))),0)</f>
        <v/>
      </c>
    </row>
    <row r="80">
      <c r="A80" s="21">
        <f>IF(AND('Watershed plans'!C61=1,'Watershed plans'!T61&lt;&gt;1),'Watershed plans'!P61,NA())</f>
        <v/>
      </c>
      <c r="B80" s="25">
        <f>IF(AND('Watershed plans'!C61=1,'Watershed plans'!T61&lt;&gt;1),'Watershed plans'!Q61,NA())</f>
        <v/>
      </c>
      <c r="C80" s="21">
        <f>IFERROR(INDEX('Watershed plans'!$P$12:$P$267,MATCH(50,$K$31:$K$286,0)),NA())</f>
        <v/>
      </c>
      <c r="D80" s="25">
        <f>IFERROR(INDEX('Watershed plans'!$Q$12:$Q$267,MATCH(50,$K$31:$K$286,0)),NA())</f>
        <v/>
      </c>
      <c r="E80" s="21">
        <f>IFERROR(INDEX('Watershed plans'!$P$12:$P$267,MATCH(50,'Watershed plans'!$Y$12:$Y$267,0)),NA())</f>
        <v/>
      </c>
      <c r="F80" s="25">
        <f>IFERROR(INDEX('Watershed plans'!$Q$12:$Q$267,MATCH(50,'Watershed plans'!$Y$12:$Y$267,0)),NA())</f>
        <v/>
      </c>
      <c r="G80" s="21">
        <f>E43</f>
        <v/>
      </c>
      <c r="H80" s="25">
        <f>IFERROR(INDEX('Watershed plans'!$AD$12:$AD$267,MATCH(14,'Watershed plans'!$Y$12:$Y$267,0)),NA())</f>
        <v/>
      </c>
      <c r="K80" s="10">
        <f>IF('Watershed plans'!T61=1,1+SUMPRODUCT('Watershed plans'!$T$12:$T$267*(('Watershed plans'!$M$12:$M$267&lt;'Watershed plans'!M61)+('Watershed plans'!$M$12:$M$267='Watershed plans'!M61)*('Watershed plans'!$A$12:$A$267&lt;'Watershed plans'!A61))),0)</f>
        <v/>
      </c>
    </row>
    <row r="81">
      <c r="A81" s="21">
        <f>IF(AND('Watershed plans'!C62=1,'Watershed plans'!T62&lt;&gt;1),'Watershed plans'!P62,NA())</f>
        <v/>
      </c>
      <c r="B81" s="25">
        <f>IF(AND('Watershed plans'!C62=1,'Watershed plans'!T62&lt;&gt;1),'Watershed plans'!Q62,NA())</f>
        <v/>
      </c>
      <c r="C81" s="21">
        <f>IFERROR(INDEX('Watershed plans'!$P$12:$P$267,MATCH(51,$K$31:$K$286,0)),NA())</f>
        <v/>
      </c>
      <c r="D81" s="25">
        <f>IFERROR(INDEX('Watershed plans'!$Q$12:$Q$267,MATCH(51,$K$31:$K$286,0)),NA())</f>
        <v/>
      </c>
      <c r="E81" s="21">
        <f>IFERROR(INDEX('Watershed plans'!$P$12:$P$267,MATCH(51,'Watershed plans'!$Y$12:$Y$267,0)),NA())</f>
        <v/>
      </c>
      <c r="F81" s="25">
        <f>IFERROR(INDEX('Watershed plans'!$Q$12:$Q$267,MATCH(51,'Watershed plans'!$Y$12:$Y$267,0)),NA())</f>
        <v/>
      </c>
      <c r="G81" s="21">
        <f>E44</f>
        <v/>
      </c>
      <c r="H81" s="25">
        <f>H80</f>
        <v/>
      </c>
      <c r="K81" s="10">
        <f>IF('Watershed plans'!T62=1,1+SUMPRODUCT('Watershed plans'!$T$12:$T$267*(('Watershed plans'!$M$12:$M$267&lt;'Watershed plans'!M62)+('Watershed plans'!$M$12:$M$267='Watershed plans'!M62)*('Watershed plans'!$A$12:$A$267&lt;'Watershed plans'!A62))),0)</f>
        <v/>
      </c>
    </row>
    <row r="82">
      <c r="A82" s="21">
        <f>IF(AND('Watershed plans'!C63=1,'Watershed plans'!T63&lt;&gt;1),'Watershed plans'!P63,NA())</f>
        <v/>
      </c>
      <c r="B82" s="25">
        <f>IF(AND('Watershed plans'!C63=1,'Watershed plans'!T63&lt;&gt;1),'Watershed plans'!Q63,NA())</f>
        <v/>
      </c>
      <c r="C82" s="21">
        <f>IFERROR(INDEX('Watershed plans'!$P$12:$P$267,MATCH(52,$K$31:$K$286,0)),NA())</f>
        <v/>
      </c>
      <c r="D82" s="25">
        <f>IFERROR(INDEX('Watershed plans'!$Q$12:$Q$267,MATCH(52,$K$31:$K$286,0)),NA())</f>
        <v/>
      </c>
      <c r="E82" s="21">
        <f>IFERROR(INDEX('Watershed plans'!$P$12:$P$267,MATCH(52,'Watershed plans'!$Y$12:$Y$267,0)),NA())</f>
        <v/>
      </c>
      <c r="F82" s="25">
        <f>IFERROR(INDEX('Watershed plans'!$Q$12:$Q$267,MATCH(52,'Watershed plans'!$Y$12:$Y$267,0)),NA())</f>
        <v/>
      </c>
      <c r="G82" s="21">
        <f>E44</f>
        <v/>
      </c>
      <c r="H82" s="25">
        <f>IF(ISNUMBER(H80),0,NA())</f>
        <v/>
      </c>
      <c r="K82" s="10">
        <f>IF('Watershed plans'!T63=1,1+SUMPRODUCT('Watershed plans'!$T$12:$T$267*(('Watershed plans'!$M$12:$M$267&lt;'Watershed plans'!M63)+('Watershed plans'!$M$12:$M$267='Watershed plans'!M63)*('Watershed plans'!$A$12:$A$267&lt;'Watershed plans'!A63))),0)</f>
        <v/>
      </c>
    </row>
    <row r="83">
      <c r="A83" s="21">
        <f>IF(AND('Watershed plans'!C64=1,'Watershed plans'!T64&lt;&gt;1),'Watershed plans'!P64,NA())</f>
        <v/>
      </c>
      <c r="B83" s="25">
        <f>IF(AND('Watershed plans'!C64=1,'Watershed plans'!T64&lt;&gt;1),'Watershed plans'!Q64,NA())</f>
        <v/>
      </c>
      <c r="C83" s="21">
        <f>IFERROR(INDEX('Watershed plans'!$P$12:$P$267,MATCH(53,$K$31:$K$286,0)),NA())</f>
        <v/>
      </c>
      <c r="D83" s="25">
        <f>IFERROR(INDEX('Watershed plans'!$Q$12:$Q$267,MATCH(53,$K$31:$K$286,0)),NA())</f>
        <v/>
      </c>
      <c r="E83" s="21">
        <f>IFERROR(INDEX('Watershed plans'!$P$12:$P$267,MATCH(53,'Watershed plans'!$Y$12:$Y$267,0)),NA())</f>
        <v/>
      </c>
      <c r="F83" s="25">
        <f>IFERROR(INDEX('Watershed plans'!$Q$12:$Q$267,MATCH(53,'Watershed plans'!$Y$12:$Y$267,0)),NA())</f>
        <v/>
      </c>
      <c r="G83" s="21">
        <f>E44</f>
        <v/>
      </c>
      <c r="H83" s="25">
        <f>IF(ISNUMBER(H84),0,NA())</f>
        <v/>
      </c>
      <c r="K83" s="10">
        <f>IF('Watershed plans'!T64=1,1+SUMPRODUCT('Watershed plans'!$T$12:$T$267*(('Watershed plans'!$M$12:$M$267&lt;'Watershed plans'!M64)+('Watershed plans'!$M$12:$M$267='Watershed plans'!M64)*('Watershed plans'!$A$12:$A$267&lt;'Watershed plans'!A64))),0)</f>
        <v/>
      </c>
    </row>
    <row r="84">
      <c r="A84" s="21">
        <f>IF(AND('Watershed plans'!C65=1,'Watershed plans'!T65&lt;&gt;1),'Watershed plans'!P65,NA())</f>
        <v/>
      </c>
      <c r="B84" s="25">
        <f>IF(AND('Watershed plans'!C65=1,'Watershed plans'!T65&lt;&gt;1),'Watershed plans'!Q65,NA())</f>
        <v/>
      </c>
      <c r="C84" s="21">
        <f>IFERROR(INDEX('Watershed plans'!$P$12:$P$267,MATCH(54,$K$31:$K$286,0)),NA())</f>
        <v/>
      </c>
      <c r="D84" s="25">
        <f>IFERROR(INDEX('Watershed plans'!$Q$12:$Q$267,MATCH(54,$K$31:$K$286,0)),NA())</f>
        <v/>
      </c>
      <c r="E84" s="21">
        <f>IFERROR(INDEX('Watershed plans'!$P$12:$P$267,MATCH(54,'Watershed plans'!$Y$12:$Y$267,0)),NA())</f>
        <v/>
      </c>
      <c r="F84" s="25">
        <f>IFERROR(INDEX('Watershed plans'!$Q$12:$Q$267,MATCH(54,'Watershed plans'!$Y$12:$Y$267,0)),NA())</f>
        <v/>
      </c>
      <c r="G84" s="21">
        <f>E44</f>
        <v/>
      </c>
      <c r="H84" s="25">
        <f>IFERROR(INDEX('Watershed plans'!$AD$12:$AD$267,MATCH(15,'Watershed plans'!$Y$12:$Y$267,0)),NA())</f>
        <v/>
      </c>
      <c r="K84" s="10">
        <f>IF('Watershed plans'!T65=1,1+SUMPRODUCT('Watershed plans'!$T$12:$T$267*(('Watershed plans'!$M$12:$M$267&lt;'Watershed plans'!M65)+('Watershed plans'!$M$12:$M$267='Watershed plans'!M65)*('Watershed plans'!$A$12:$A$267&lt;'Watershed plans'!A65))),0)</f>
        <v/>
      </c>
    </row>
    <row r="85">
      <c r="A85" s="21">
        <f>IF(AND('Watershed plans'!C66=1,'Watershed plans'!T66&lt;&gt;1),'Watershed plans'!P66,NA())</f>
        <v/>
      </c>
      <c r="B85" s="25">
        <f>IF(AND('Watershed plans'!C66=1,'Watershed plans'!T66&lt;&gt;1),'Watershed plans'!Q66,NA())</f>
        <v/>
      </c>
      <c r="C85" s="21">
        <f>IFERROR(INDEX('Watershed plans'!$P$12:$P$267,MATCH(55,$K$31:$K$286,0)),NA())</f>
        <v/>
      </c>
      <c r="D85" s="25">
        <f>IFERROR(INDEX('Watershed plans'!$Q$12:$Q$267,MATCH(55,$K$31:$K$286,0)),NA())</f>
        <v/>
      </c>
      <c r="E85" s="21">
        <f>IFERROR(INDEX('Watershed plans'!$P$12:$P$267,MATCH(55,'Watershed plans'!$Y$12:$Y$267,0)),NA())</f>
        <v/>
      </c>
      <c r="F85" s="25">
        <f>IFERROR(INDEX('Watershed plans'!$Q$12:$Q$267,MATCH(55,'Watershed plans'!$Y$12:$Y$267,0)),NA())</f>
        <v/>
      </c>
      <c r="G85" s="21">
        <f>E45</f>
        <v/>
      </c>
      <c r="H85" s="25">
        <f>H84</f>
        <v/>
      </c>
      <c r="K85" s="10">
        <f>IF('Watershed plans'!T66=1,1+SUMPRODUCT('Watershed plans'!$T$12:$T$267*(('Watershed plans'!$M$12:$M$267&lt;'Watershed plans'!M66)+('Watershed plans'!$M$12:$M$267='Watershed plans'!M66)*('Watershed plans'!$A$12:$A$267&lt;'Watershed plans'!A66))),0)</f>
        <v/>
      </c>
    </row>
    <row r="86">
      <c r="A86" s="21">
        <f>IF(AND('Watershed plans'!C67=1,'Watershed plans'!T67&lt;&gt;1),'Watershed plans'!P67,NA())</f>
        <v/>
      </c>
      <c r="B86" s="25">
        <f>IF(AND('Watershed plans'!C67=1,'Watershed plans'!T67&lt;&gt;1),'Watershed plans'!Q67,NA())</f>
        <v/>
      </c>
      <c r="C86" s="21">
        <f>IFERROR(INDEX('Watershed plans'!$P$12:$P$267,MATCH(56,$K$31:$K$286,0)),NA())</f>
        <v/>
      </c>
      <c r="D86" s="25">
        <f>IFERROR(INDEX('Watershed plans'!$Q$12:$Q$267,MATCH(56,$K$31:$K$286,0)),NA())</f>
        <v/>
      </c>
      <c r="E86" s="21">
        <f>IFERROR(INDEX('Watershed plans'!$P$12:$P$267,MATCH(56,'Watershed plans'!$Y$12:$Y$267,0)),NA())</f>
        <v/>
      </c>
      <c r="F86" s="25">
        <f>IFERROR(INDEX('Watershed plans'!$Q$12:$Q$267,MATCH(56,'Watershed plans'!$Y$12:$Y$267,0)),NA())</f>
        <v/>
      </c>
      <c r="G86" s="21">
        <f>E45</f>
        <v/>
      </c>
      <c r="H86" s="25">
        <f>IF(ISNUMBER(H84),0,NA())</f>
        <v/>
      </c>
      <c r="K86" s="10">
        <f>IF('Watershed plans'!T67=1,1+SUMPRODUCT('Watershed plans'!$T$12:$T$267*(('Watershed plans'!$M$12:$M$267&lt;'Watershed plans'!M67)+('Watershed plans'!$M$12:$M$267='Watershed plans'!M67)*('Watershed plans'!$A$12:$A$267&lt;'Watershed plans'!A67))),0)</f>
        <v/>
      </c>
    </row>
    <row r="87">
      <c r="A87" s="21">
        <f>IF(AND('Watershed plans'!C68=1,'Watershed plans'!T68&lt;&gt;1),'Watershed plans'!P68,NA())</f>
        <v/>
      </c>
      <c r="B87" s="25">
        <f>IF(AND('Watershed plans'!C68=1,'Watershed plans'!T68&lt;&gt;1),'Watershed plans'!Q68,NA())</f>
        <v/>
      </c>
      <c r="C87" s="21">
        <f>IFERROR(INDEX('Watershed plans'!$P$12:$P$267,MATCH(57,$K$31:$K$286,0)),NA())</f>
        <v/>
      </c>
      <c r="D87" s="25">
        <f>IFERROR(INDEX('Watershed plans'!$Q$12:$Q$267,MATCH(57,$K$31:$K$286,0)),NA())</f>
        <v/>
      </c>
      <c r="E87" s="21">
        <f>IFERROR(INDEX('Watershed plans'!$P$12:$P$267,MATCH(57,'Watershed plans'!$Y$12:$Y$267,0)),NA())</f>
        <v/>
      </c>
      <c r="F87" s="25">
        <f>IFERROR(INDEX('Watershed plans'!$Q$12:$Q$267,MATCH(57,'Watershed plans'!$Y$12:$Y$267,0)),NA())</f>
        <v/>
      </c>
      <c r="G87" s="21">
        <f>E45</f>
        <v/>
      </c>
      <c r="H87" s="25">
        <f>IF(ISNUMBER(H88),0,NA())</f>
        <v/>
      </c>
      <c r="K87" s="10">
        <f>IF('Watershed plans'!T68=1,1+SUMPRODUCT('Watershed plans'!$T$12:$T$267*(('Watershed plans'!$M$12:$M$267&lt;'Watershed plans'!M68)+('Watershed plans'!$M$12:$M$267='Watershed plans'!M68)*('Watershed plans'!$A$12:$A$267&lt;'Watershed plans'!A68))),0)</f>
        <v/>
      </c>
    </row>
    <row r="88">
      <c r="A88" s="21">
        <f>IF(AND('Watershed plans'!C69=1,'Watershed plans'!T69&lt;&gt;1),'Watershed plans'!P69,NA())</f>
        <v/>
      </c>
      <c r="B88" s="25">
        <f>IF(AND('Watershed plans'!C69=1,'Watershed plans'!T69&lt;&gt;1),'Watershed plans'!Q69,NA())</f>
        <v/>
      </c>
      <c r="C88" s="21">
        <f>IFERROR(INDEX('Watershed plans'!$P$12:$P$267,MATCH(58,$K$31:$K$286,0)),NA())</f>
        <v/>
      </c>
      <c r="D88" s="25">
        <f>IFERROR(INDEX('Watershed plans'!$Q$12:$Q$267,MATCH(58,$K$31:$K$286,0)),NA())</f>
        <v/>
      </c>
      <c r="E88" s="21">
        <f>IFERROR(INDEX('Watershed plans'!$P$12:$P$267,MATCH(58,'Watershed plans'!$Y$12:$Y$267,0)),NA())</f>
        <v/>
      </c>
      <c r="F88" s="25">
        <f>IFERROR(INDEX('Watershed plans'!$Q$12:$Q$267,MATCH(58,'Watershed plans'!$Y$12:$Y$267,0)),NA())</f>
        <v/>
      </c>
      <c r="G88" s="21">
        <f>E45</f>
        <v/>
      </c>
      <c r="H88" s="25">
        <f>IFERROR(INDEX('Watershed plans'!$AD$12:$AD$267,MATCH(16,'Watershed plans'!$Y$12:$Y$267,0)),NA())</f>
        <v/>
      </c>
      <c r="K88" s="10">
        <f>IF('Watershed plans'!T69=1,1+SUMPRODUCT('Watershed plans'!$T$12:$T$267*(('Watershed plans'!$M$12:$M$267&lt;'Watershed plans'!M69)+('Watershed plans'!$M$12:$M$267='Watershed plans'!M69)*('Watershed plans'!$A$12:$A$267&lt;'Watershed plans'!A69))),0)</f>
        <v/>
      </c>
    </row>
    <row r="89">
      <c r="A89" s="21">
        <f>IF(AND('Watershed plans'!C70=1,'Watershed plans'!T70&lt;&gt;1),'Watershed plans'!P70,NA())</f>
        <v/>
      </c>
      <c r="B89" s="25">
        <f>IF(AND('Watershed plans'!C70=1,'Watershed plans'!T70&lt;&gt;1),'Watershed plans'!Q70,NA())</f>
        <v/>
      </c>
      <c r="C89" s="21">
        <f>IFERROR(INDEX('Watershed plans'!$P$12:$P$267,MATCH(59,$K$31:$K$286,0)),NA())</f>
        <v/>
      </c>
      <c r="D89" s="25">
        <f>IFERROR(INDEX('Watershed plans'!$Q$12:$Q$267,MATCH(59,$K$31:$K$286,0)),NA())</f>
        <v/>
      </c>
      <c r="E89" s="21">
        <f>IFERROR(INDEX('Watershed plans'!$P$12:$P$267,MATCH(59,'Watershed plans'!$Y$12:$Y$267,0)),NA())</f>
        <v/>
      </c>
      <c r="F89" s="25">
        <f>IFERROR(INDEX('Watershed plans'!$Q$12:$Q$267,MATCH(59,'Watershed plans'!$Y$12:$Y$267,0)),NA())</f>
        <v/>
      </c>
      <c r="G89" s="21">
        <f>E46</f>
        <v/>
      </c>
      <c r="H89" s="25">
        <f>H88</f>
        <v/>
      </c>
      <c r="K89" s="10">
        <f>IF('Watershed plans'!T70=1,1+SUMPRODUCT('Watershed plans'!$T$12:$T$267*(('Watershed plans'!$M$12:$M$267&lt;'Watershed plans'!M70)+('Watershed plans'!$M$12:$M$267='Watershed plans'!M70)*('Watershed plans'!$A$12:$A$267&lt;'Watershed plans'!A70))),0)</f>
        <v/>
      </c>
    </row>
    <row r="90">
      <c r="A90" s="21">
        <f>IF(AND('Watershed plans'!C71=1,'Watershed plans'!T71&lt;&gt;1),'Watershed plans'!P71,NA())</f>
        <v/>
      </c>
      <c r="B90" s="25">
        <f>IF(AND('Watershed plans'!C71=1,'Watershed plans'!T71&lt;&gt;1),'Watershed plans'!Q71,NA())</f>
        <v/>
      </c>
      <c r="C90" s="21">
        <f>IFERROR(INDEX('Watershed plans'!$P$12:$P$267,MATCH(60,$K$31:$K$286,0)),NA())</f>
        <v/>
      </c>
      <c r="D90" s="25">
        <f>IFERROR(INDEX('Watershed plans'!$Q$12:$Q$267,MATCH(60,$K$31:$K$286,0)),NA())</f>
        <v/>
      </c>
      <c r="E90" s="21">
        <f>IFERROR(INDEX('Watershed plans'!$P$12:$P$267,MATCH(60,'Watershed plans'!$Y$12:$Y$267,0)),NA())</f>
        <v/>
      </c>
      <c r="F90" s="25">
        <f>IFERROR(INDEX('Watershed plans'!$Q$12:$Q$267,MATCH(60,'Watershed plans'!$Y$12:$Y$267,0)),NA())</f>
        <v/>
      </c>
      <c r="G90" s="21">
        <f>E46</f>
        <v/>
      </c>
      <c r="H90" s="25">
        <f>IF(ISNUMBER(H88),0,NA())</f>
        <v/>
      </c>
      <c r="K90" s="10">
        <f>IF('Watershed plans'!T71=1,1+SUMPRODUCT('Watershed plans'!$T$12:$T$267*(('Watershed plans'!$M$12:$M$267&lt;'Watershed plans'!M71)+('Watershed plans'!$M$12:$M$267='Watershed plans'!M71)*('Watershed plans'!$A$12:$A$267&lt;'Watershed plans'!A71))),0)</f>
        <v/>
      </c>
    </row>
    <row r="91">
      <c r="A91" s="21">
        <f>IF(AND('Watershed plans'!C72=1,'Watershed plans'!T72&lt;&gt;1),'Watershed plans'!P72,NA())</f>
        <v/>
      </c>
      <c r="B91" s="25">
        <f>IF(AND('Watershed plans'!C72=1,'Watershed plans'!T72&lt;&gt;1),'Watershed plans'!Q72,NA())</f>
        <v/>
      </c>
      <c r="C91" s="21">
        <f>IFERROR(INDEX('Watershed plans'!$P$12:$P$267,MATCH(61,$K$31:$K$286,0)),NA())</f>
        <v/>
      </c>
      <c r="D91" s="25">
        <f>IFERROR(INDEX('Watershed plans'!$Q$12:$Q$267,MATCH(61,$K$31:$K$286,0)),NA())</f>
        <v/>
      </c>
      <c r="E91" s="21">
        <f>IFERROR(INDEX('Watershed plans'!$P$12:$P$267,MATCH(61,'Watershed plans'!$Y$12:$Y$267,0)),NA())</f>
        <v/>
      </c>
      <c r="F91" s="25">
        <f>IFERROR(INDEX('Watershed plans'!$Q$12:$Q$267,MATCH(61,'Watershed plans'!$Y$12:$Y$267,0)),NA())</f>
        <v/>
      </c>
      <c r="G91" s="21">
        <f>E46</f>
        <v/>
      </c>
      <c r="H91" s="25">
        <f>IF(ISNUMBER(H92),0,NA())</f>
        <v/>
      </c>
      <c r="K91" s="10">
        <f>IF('Watershed plans'!T72=1,1+SUMPRODUCT('Watershed plans'!$T$12:$T$267*(('Watershed plans'!$M$12:$M$267&lt;'Watershed plans'!M72)+('Watershed plans'!$M$12:$M$267='Watershed plans'!M72)*('Watershed plans'!$A$12:$A$267&lt;'Watershed plans'!A72))),0)</f>
        <v/>
      </c>
    </row>
    <row r="92">
      <c r="A92" s="21">
        <f>IF(AND('Watershed plans'!C73=1,'Watershed plans'!T73&lt;&gt;1),'Watershed plans'!P73,NA())</f>
        <v/>
      </c>
      <c r="B92" s="25">
        <f>IF(AND('Watershed plans'!C73=1,'Watershed plans'!T73&lt;&gt;1),'Watershed plans'!Q73,NA())</f>
        <v/>
      </c>
      <c r="C92" s="21">
        <f>IFERROR(INDEX('Watershed plans'!$P$12:$P$267,MATCH(62,$K$31:$K$286,0)),NA())</f>
        <v/>
      </c>
      <c r="D92" s="25">
        <f>IFERROR(INDEX('Watershed plans'!$Q$12:$Q$267,MATCH(62,$K$31:$K$286,0)),NA())</f>
        <v/>
      </c>
      <c r="E92" s="21">
        <f>IFERROR(INDEX('Watershed plans'!$P$12:$P$267,MATCH(62,'Watershed plans'!$Y$12:$Y$267,0)),NA())</f>
        <v/>
      </c>
      <c r="F92" s="25">
        <f>IFERROR(INDEX('Watershed plans'!$Q$12:$Q$267,MATCH(62,'Watershed plans'!$Y$12:$Y$267,0)),NA())</f>
        <v/>
      </c>
      <c r="G92" s="21">
        <f>E46</f>
        <v/>
      </c>
      <c r="H92" s="25">
        <f>IFERROR(INDEX('Watershed plans'!$AD$12:$AD$267,MATCH(17,'Watershed plans'!$Y$12:$Y$267,0)),NA())</f>
        <v/>
      </c>
      <c r="K92" s="10">
        <f>IF('Watershed plans'!T73=1,1+SUMPRODUCT('Watershed plans'!$T$12:$T$267*(('Watershed plans'!$M$12:$M$267&lt;'Watershed plans'!M73)+('Watershed plans'!$M$12:$M$267='Watershed plans'!M73)*('Watershed plans'!$A$12:$A$267&lt;'Watershed plans'!A73))),0)</f>
        <v/>
      </c>
    </row>
    <row r="93">
      <c r="A93" s="21">
        <f>IF(AND('Watershed plans'!C74=1,'Watershed plans'!T74&lt;&gt;1),'Watershed plans'!P74,NA())</f>
        <v/>
      </c>
      <c r="B93" s="25">
        <f>IF(AND('Watershed plans'!C74=1,'Watershed plans'!T74&lt;&gt;1),'Watershed plans'!Q74,NA())</f>
        <v/>
      </c>
      <c r="C93" s="21">
        <f>IFERROR(INDEX('Watershed plans'!$P$12:$P$267,MATCH(63,$K$31:$K$286,0)),NA())</f>
        <v/>
      </c>
      <c r="D93" s="25">
        <f>IFERROR(INDEX('Watershed plans'!$Q$12:$Q$267,MATCH(63,$K$31:$K$286,0)),NA())</f>
        <v/>
      </c>
      <c r="E93" s="21">
        <f>IFERROR(INDEX('Watershed plans'!$P$12:$P$267,MATCH(63,'Watershed plans'!$Y$12:$Y$267,0)),NA())</f>
        <v/>
      </c>
      <c r="F93" s="25">
        <f>IFERROR(INDEX('Watershed plans'!$Q$12:$Q$267,MATCH(63,'Watershed plans'!$Y$12:$Y$267,0)),NA())</f>
        <v/>
      </c>
      <c r="G93" s="21">
        <f>E47</f>
        <v/>
      </c>
      <c r="H93" s="25">
        <f>H92</f>
        <v/>
      </c>
      <c r="K93" s="10">
        <f>IF('Watershed plans'!T74=1,1+SUMPRODUCT('Watershed plans'!$T$12:$T$267*(('Watershed plans'!$M$12:$M$267&lt;'Watershed plans'!M74)+('Watershed plans'!$M$12:$M$267='Watershed plans'!M74)*('Watershed plans'!$A$12:$A$267&lt;'Watershed plans'!A74))),0)</f>
        <v/>
      </c>
    </row>
    <row r="94">
      <c r="A94" s="21">
        <f>IF(AND('Watershed plans'!C75=1,'Watershed plans'!T75&lt;&gt;1),'Watershed plans'!P75,NA())</f>
        <v/>
      </c>
      <c r="B94" s="25">
        <f>IF(AND('Watershed plans'!C75=1,'Watershed plans'!T75&lt;&gt;1),'Watershed plans'!Q75,NA())</f>
        <v/>
      </c>
      <c r="C94" s="21">
        <f>IFERROR(INDEX('Watershed plans'!$P$12:$P$267,MATCH(64,$K$31:$K$286,0)),NA())</f>
        <v/>
      </c>
      <c r="D94" s="25">
        <f>IFERROR(INDEX('Watershed plans'!$Q$12:$Q$267,MATCH(64,$K$31:$K$286,0)),NA())</f>
        <v/>
      </c>
      <c r="E94" s="21">
        <f>IFERROR(INDEX('Watershed plans'!$P$12:$P$267,MATCH(64,'Watershed plans'!$Y$12:$Y$267,0)),NA())</f>
        <v/>
      </c>
      <c r="F94" s="25">
        <f>IFERROR(INDEX('Watershed plans'!$Q$12:$Q$267,MATCH(64,'Watershed plans'!$Y$12:$Y$267,0)),NA())</f>
        <v/>
      </c>
      <c r="G94" s="21">
        <f>E47</f>
        <v/>
      </c>
      <c r="H94" s="25">
        <f>IF(ISNUMBER(H92),0,NA())</f>
        <v/>
      </c>
      <c r="K94" s="10">
        <f>IF('Watershed plans'!T75=1,1+SUMPRODUCT('Watershed plans'!$T$12:$T$267*(('Watershed plans'!$M$12:$M$267&lt;'Watershed plans'!M75)+('Watershed plans'!$M$12:$M$267='Watershed plans'!M75)*('Watershed plans'!$A$12:$A$267&lt;'Watershed plans'!A75))),0)</f>
        <v/>
      </c>
    </row>
    <row r="95">
      <c r="A95" s="21">
        <f>IF(AND('Watershed plans'!C76=1,'Watershed plans'!T76&lt;&gt;1),'Watershed plans'!P76,NA())</f>
        <v/>
      </c>
      <c r="B95" s="25">
        <f>IF(AND('Watershed plans'!C76=1,'Watershed plans'!T76&lt;&gt;1),'Watershed plans'!Q76,NA())</f>
        <v/>
      </c>
      <c r="C95" s="21">
        <f>IFERROR(INDEX('Watershed plans'!$P$12:$P$267,MATCH(65,$K$31:$K$286,0)),NA())</f>
        <v/>
      </c>
      <c r="D95" s="25">
        <f>IFERROR(INDEX('Watershed plans'!$Q$12:$Q$267,MATCH(65,$K$31:$K$286,0)),NA())</f>
        <v/>
      </c>
      <c r="E95" s="21">
        <f>IFERROR(INDEX('Watershed plans'!$P$12:$P$267,MATCH(65,'Watershed plans'!$Y$12:$Y$267,0)),NA())</f>
        <v/>
      </c>
      <c r="F95" s="25">
        <f>IFERROR(INDEX('Watershed plans'!$Q$12:$Q$267,MATCH(65,'Watershed plans'!$Y$12:$Y$267,0)),NA())</f>
        <v/>
      </c>
      <c r="G95" s="21">
        <f>E47</f>
        <v/>
      </c>
      <c r="H95" s="25">
        <f>IF(ISNUMBER(H96),0,NA())</f>
        <v/>
      </c>
      <c r="K95" s="10">
        <f>IF('Watershed plans'!T76=1,1+SUMPRODUCT('Watershed plans'!$T$12:$T$267*(('Watershed plans'!$M$12:$M$267&lt;'Watershed plans'!M76)+('Watershed plans'!$M$12:$M$267='Watershed plans'!M76)*('Watershed plans'!$A$12:$A$267&lt;'Watershed plans'!A76))),0)</f>
        <v/>
      </c>
    </row>
    <row r="96">
      <c r="A96" s="21">
        <f>IF(AND('Watershed plans'!C77=1,'Watershed plans'!T77&lt;&gt;1),'Watershed plans'!P77,NA())</f>
        <v/>
      </c>
      <c r="B96" s="25">
        <f>IF(AND('Watershed plans'!C77=1,'Watershed plans'!T77&lt;&gt;1),'Watershed plans'!Q77,NA())</f>
        <v/>
      </c>
      <c r="C96" s="21">
        <f>IFERROR(INDEX('Watershed plans'!$P$12:$P$267,MATCH(66,$K$31:$K$286,0)),NA())</f>
        <v/>
      </c>
      <c r="D96" s="25">
        <f>IFERROR(INDEX('Watershed plans'!$Q$12:$Q$267,MATCH(66,$K$31:$K$286,0)),NA())</f>
        <v/>
      </c>
      <c r="E96" s="21">
        <f>IFERROR(INDEX('Watershed plans'!$P$12:$P$267,MATCH(66,'Watershed plans'!$Y$12:$Y$267,0)),NA())</f>
        <v/>
      </c>
      <c r="F96" s="25">
        <f>IFERROR(INDEX('Watershed plans'!$Q$12:$Q$267,MATCH(66,'Watershed plans'!$Y$12:$Y$267,0)),NA())</f>
        <v/>
      </c>
      <c r="G96" s="21">
        <f>E47</f>
        <v/>
      </c>
      <c r="H96" s="25">
        <f>IFERROR(INDEX('Watershed plans'!$AD$12:$AD$267,MATCH(18,'Watershed plans'!$Y$12:$Y$267,0)),NA())</f>
        <v/>
      </c>
      <c r="K96" s="10">
        <f>IF('Watershed plans'!T77=1,1+SUMPRODUCT('Watershed plans'!$T$12:$T$267*(('Watershed plans'!$M$12:$M$267&lt;'Watershed plans'!M77)+('Watershed plans'!$M$12:$M$267='Watershed plans'!M77)*('Watershed plans'!$A$12:$A$267&lt;'Watershed plans'!A77))),0)</f>
        <v/>
      </c>
    </row>
    <row r="97">
      <c r="A97" s="21">
        <f>IF(AND('Watershed plans'!C78=1,'Watershed plans'!T78&lt;&gt;1),'Watershed plans'!P78,NA())</f>
        <v/>
      </c>
      <c r="B97" s="25">
        <f>IF(AND('Watershed plans'!C78=1,'Watershed plans'!T78&lt;&gt;1),'Watershed plans'!Q78,NA())</f>
        <v/>
      </c>
      <c r="C97" s="21">
        <f>IFERROR(INDEX('Watershed plans'!$P$12:$P$267,MATCH(67,$K$31:$K$286,0)),NA())</f>
        <v/>
      </c>
      <c r="D97" s="25">
        <f>IFERROR(INDEX('Watershed plans'!$Q$12:$Q$267,MATCH(67,$K$31:$K$286,0)),NA())</f>
        <v/>
      </c>
      <c r="E97" s="21">
        <f>IFERROR(INDEX('Watershed plans'!$P$12:$P$267,MATCH(67,'Watershed plans'!$Y$12:$Y$267,0)),NA())</f>
        <v/>
      </c>
      <c r="F97" s="25">
        <f>IFERROR(INDEX('Watershed plans'!$Q$12:$Q$267,MATCH(67,'Watershed plans'!$Y$12:$Y$267,0)),NA())</f>
        <v/>
      </c>
      <c r="G97" s="21">
        <f>E48</f>
        <v/>
      </c>
      <c r="H97" s="25">
        <f>H96</f>
        <v/>
      </c>
      <c r="K97" s="10">
        <f>IF('Watershed plans'!T78=1,1+SUMPRODUCT('Watershed plans'!$T$12:$T$267*(('Watershed plans'!$M$12:$M$267&lt;'Watershed plans'!M78)+('Watershed plans'!$M$12:$M$267='Watershed plans'!M78)*('Watershed plans'!$A$12:$A$267&lt;'Watershed plans'!A78))),0)</f>
        <v/>
      </c>
    </row>
    <row r="98">
      <c r="A98" s="21">
        <f>IF(AND('Watershed plans'!C79=1,'Watershed plans'!T79&lt;&gt;1),'Watershed plans'!P79,NA())</f>
        <v/>
      </c>
      <c r="B98" s="25">
        <f>IF(AND('Watershed plans'!C79=1,'Watershed plans'!T79&lt;&gt;1),'Watershed plans'!Q79,NA())</f>
        <v/>
      </c>
      <c r="C98" s="21">
        <f>IFERROR(INDEX('Watershed plans'!$P$12:$P$267,MATCH(68,$K$31:$K$286,0)),NA())</f>
        <v/>
      </c>
      <c r="D98" s="25">
        <f>IFERROR(INDEX('Watershed plans'!$Q$12:$Q$267,MATCH(68,$K$31:$K$286,0)),NA())</f>
        <v/>
      </c>
      <c r="E98" s="21">
        <f>IFERROR(INDEX('Watershed plans'!$P$12:$P$267,MATCH(68,'Watershed plans'!$Y$12:$Y$267,0)),NA())</f>
        <v/>
      </c>
      <c r="F98" s="25">
        <f>IFERROR(INDEX('Watershed plans'!$Q$12:$Q$267,MATCH(68,'Watershed plans'!$Y$12:$Y$267,0)),NA())</f>
        <v/>
      </c>
      <c r="G98" s="21">
        <f>E48</f>
        <v/>
      </c>
      <c r="H98" s="25">
        <f>IF(ISNUMBER(H96),0,NA())</f>
        <v/>
      </c>
      <c r="K98" s="10">
        <f>IF('Watershed plans'!T79=1,1+SUMPRODUCT('Watershed plans'!$T$12:$T$267*(('Watershed plans'!$M$12:$M$267&lt;'Watershed plans'!M79)+('Watershed plans'!$M$12:$M$267='Watershed plans'!M79)*('Watershed plans'!$A$12:$A$267&lt;'Watershed plans'!A79))),0)</f>
        <v/>
      </c>
    </row>
    <row r="99">
      <c r="A99" s="21">
        <f>IF(AND('Watershed plans'!C80=1,'Watershed plans'!T80&lt;&gt;1),'Watershed plans'!P80,NA())</f>
        <v/>
      </c>
      <c r="B99" s="25">
        <f>IF(AND('Watershed plans'!C80=1,'Watershed plans'!T80&lt;&gt;1),'Watershed plans'!Q80,NA())</f>
        <v/>
      </c>
      <c r="C99" s="21">
        <f>IFERROR(INDEX('Watershed plans'!$P$12:$P$267,MATCH(69,$K$31:$K$286,0)),NA())</f>
        <v/>
      </c>
      <c r="D99" s="25">
        <f>IFERROR(INDEX('Watershed plans'!$Q$12:$Q$267,MATCH(69,$K$31:$K$286,0)),NA())</f>
        <v/>
      </c>
      <c r="E99" s="21">
        <f>IFERROR(INDEX('Watershed plans'!$P$12:$P$267,MATCH(69,'Watershed plans'!$Y$12:$Y$267,0)),NA())</f>
        <v/>
      </c>
      <c r="F99" s="25">
        <f>IFERROR(INDEX('Watershed plans'!$Q$12:$Q$267,MATCH(69,'Watershed plans'!$Y$12:$Y$267,0)),NA())</f>
        <v/>
      </c>
      <c r="G99" s="21">
        <f>E48</f>
        <v/>
      </c>
      <c r="H99" s="25">
        <f>IF(ISNUMBER(H100),0,NA())</f>
        <v/>
      </c>
      <c r="K99" s="10">
        <f>IF('Watershed plans'!T80=1,1+SUMPRODUCT('Watershed plans'!$T$12:$T$267*(('Watershed plans'!$M$12:$M$267&lt;'Watershed plans'!M80)+('Watershed plans'!$M$12:$M$267='Watershed plans'!M80)*('Watershed plans'!$A$12:$A$267&lt;'Watershed plans'!A80))),0)</f>
        <v/>
      </c>
    </row>
    <row r="100">
      <c r="A100" s="21">
        <f>IF(AND('Watershed plans'!C81=1,'Watershed plans'!T81&lt;&gt;1),'Watershed plans'!P81,NA())</f>
        <v/>
      </c>
      <c r="B100" s="25">
        <f>IF(AND('Watershed plans'!C81=1,'Watershed plans'!T81&lt;&gt;1),'Watershed plans'!Q81,NA())</f>
        <v/>
      </c>
      <c r="C100" s="21">
        <f>IFERROR(INDEX('Watershed plans'!$P$12:$P$267,MATCH(70,$K$31:$K$286,0)),NA())</f>
        <v/>
      </c>
      <c r="D100" s="25">
        <f>IFERROR(INDEX('Watershed plans'!$Q$12:$Q$267,MATCH(70,$K$31:$K$286,0)),NA())</f>
        <v/>
      </c>
      <c r="E100" s="21">
        <f>IFERROR(INDEX('Watershed plans'!$P$12:$P$267,MATCH(70,'Watershed plans'!$Y$12:$Y$267,0)),NA())</f>
        <v/>
      </c>
      <c r="F100" s="25">
        <f>IFERROR(INDEX('Watershed plans'!$Q$12:$Q$267,MATCH(70,'Watershed plans'!$Y$12:$Y$267,0)),NA())</f>
        <v/>
      </c>
      <c r="G100" s="21">
        <f>E48</f>
        <v/>
      </c>
      <c r="H100" s="25">
        <f>IFERROR(INDEX('Watershed plans'!$AD$12:$AD$267,MATCH(19,'Watershed plans'!$Y$12:$Y$267,0)),NA())</f>
        <v/>
      </c>
      <c r="K100" s="10">
        <f>IF('Watershed plans'!T81=1,1+SUMPRODUCT('Watershed plans'!$T$12:$T$267*(('Watershed plans'!$M$12:$M$267&lt;'Watershed plans'!M81)+('Watershed plans'!$M$12:$M$267='Watershed plans'!M81)*('Watershed plans'!$A$12:$A$267&lt;'Watershed plans'!A81))),0)</f>
        <v/>
      </c>
    </row>
    <row r="101">
      <c r="A101" s="21">
        <f>IF(AND('Watershed plans'!C82=1,'Watershed plans'!T82&lt;&gt;1),'Watershed plans'!P82,NA())</f>
        <v/>
      </c>
      <c r="B101" s="25">
        <f>IF(AND('Watershed plans'!C82=1,'Watershed plans'!T82&lt;&gt;1),'Watershed plans'!Q82,NA())</f>
        <v/>
      </c>
      <c r="C101" s="21">
        <f>IFERROR(INDEX('Watershed plans'!$P$12:$P$267,MATCH(71,$K$31:$K$286,0)),NA())</f>
        <v/>
      </c>
      <c r="D101" s="25">
        <f>IFERROR(INDEX('Watershed plans'!$Q$12:$Q$267,MATCH(71,$K$31:$K$286,0)),NA())</f>
        <v/>
      </c>
      <c r="E101" s="21">
        <f>IFERROR(INDEX('Watershed plans'!$P$12:$P$267,MATCH(71,'Watershed plans'!$Y$12:$Y$267,0)),NA())</f>
        <v/>
      </c>
      <c r="F101" s="25">
        <f>IFERROR(INDEX('Watershed plans'!$Q$12:$Q$267,MATCH(71,'Watershed plans'!$Y$12:$Y$267,0)),NA())</f>
        <v/>
      </c>
      <c r="G101" s="21">
        <f>E49</f>
        <v/>
      </c>
      <c r="H101" s="25">
        <f>H100</f>
        <v/>
      </c>
      <c r="K101" s="10">
        <f>IF('Watershed plans'!T82=1,1+SUMPRODUCT('Watershed plans'!$T$12:$T$267*(('Watershed plans'!$M$12:$M$267&lt;'Watershed plans'!M82)+('Watershed plans'!$M$12:$M$267='Watershed plans'!M82)*('Watershed plans'!$A$12:$A$267&lt;'Watershed plans'!A82))),0)</f>
        <v/>
      </c>
    </row>
    <row r="102">
      <c r="A102" s="21">
        <f>IF(AND('Watershed plans'!C83=1,'Watershed plans'!T83&lt;&gt;1),'Watershed plans'!P83,NA())</f>
        <v/>
      </c>
      <c r="B102" s="25">
        <f>IF(AND('Watershed plans'!C83=1,'Watershed plans'!T83&lt;&gt;1),'Watershed plans'!Q83,NA())</f>
        <v/>
      </c>
      <c r="C102" s="21">
        <f>IFERROR(INDEX('Watershed plans'!$P$12:$P$267,MATCH(72,$K$31:$K$286,0)),NA())</f>
        <v/>
      </c>
      <c r="D102" s="25">
        <f>IFERROR(INDEX('Watershed plans'!$Q$12:$Q$267,MATCH(72,$K$31:$K$286,0)),NA())</f>
        <v/>
      </c>
      <c r="E102" s="21">
        <f>IFERROR(INDEX('Watershed plans'!$P$12:$P$267,MATCH(72,'Watershed plans'!$Y$12:$Y$267,0)),NA())</f>
        <v/>
      </c>
      <c r="F102" s="25">
        <f>IFERROR(INDEX('Watershed plans'!$Q$12:$Q$267,MATCH(72,'Watershed plans'!$Y$12:$Y$267,0)),NA())</f>
        <v/>
      </c>
      <c r="G102" s="21">
        <f>E49</f>
        <v/>
      </c>
      <c r="H102" s="25">
        <f>IF(ISNUMBER(H100),0,NA())</f>
        <v/>
      </c>
      <c r="K102" s="10">
        <f>IF('Watershed plans'!T83=1,1+SUMPRODUCT('Watershed plans'!$T$12:$T$267*(('Watershed plans'!$M$12:$M$267&lt;'Watershed plans'!M83)+('Watershed plans'!$M$12:$M$267='Watershed plans'!M83)*('Watershed plans'!$A$12:$A$267&lt;'Watershed plans'!A83))),0)</f>
        <v/>
      </c>
    </row>
    <row r="103">
      <c r="A103" s="21">
        <f>IF(AND('Watershed plans'!C84=1,'Watershed plans'!T84&lt;&gt;1),'Watershed plans'!P84,NA())</f>
        <v/>
      </c>
      <c r="B103" s="25">
        <f>IF(AND('Watershed plans'!C84=1,'Watershed plans'!T84&lt;&gt;1),'Watershed plans'!Q84,NA())</f>
        <v/>
      </c>
      <c r="C103" s="21">
        <f>IFERROR(INDEX('Watershed plans'!$P$12:$P$267,MATCH(73,$K$31:$K$286,0)),NA())</f>
        <v/>
      </c>
      <c r="D103" s="25">
        <f>IFERROR(INDEX('Watershed plans'!$Q$12:$Q$267,MATCH(73,$K$31:$K$286,0)),NA())</f>
        <v/>
      </c>
      <c r="E103" s="21">
        <f>IFERROR(INDEX('Watershed plans'!$P$12:$P$267,MATCH(73,'Watershed plans'!$Y$12:$Y$267,0)),NA())</f>
        <v/>
      </c>
      <c r="F103" s="25">
        <f>IFERROR(INDEX('Watershed plans'!$Q$12:$Q$267,MATCH(73,'Watershed plans'!$Y$12:$Y$267,0)),NA())</f>
        <v/>
      </c>
      <c r="G103" s="21">
        <f>E49</f>
        <v/>
      </c>
      <c r="H103" s="25">
        <f>IF(ISNUMBER(H104),0,NA())</f>
        <v/>
      </c>
      <c r="K103" s="10">
        <f>IF('Watershed plans'!T84=1,1+SUMPRODUCT('Watershed plans'!$T$12:$T$267*(('Watershed plans'!$M$12:$M$267&lt;'Watershed plans'!M84)+('Watershed plans'!$M$12:$M$267='Watershed plans'!M84)*('Watershed plans'!$A$12:$A$267&lt;'Watershed plans'!A84))),0)</f>
        <v/>
      </c>
    </row>
    <row r="104">
      <c r="A104" s="21">
        <f>IF(AND('Watershed plans'!C85=1,'Watershed plans'!T85&lt;&gt;1),'Watershed plans'!P85,NA())</f>
        <v/>
      </c>
      <c r="B104" s="25">
        <f>IF(AND('Watershed plans'!C85=1,'Watershed plans'!T85&lt;&gt;1),'Watershed plans'!Q85,NA())</f>
        <v/>
      </c>
      <c r="C104" s="21">
        <f>IFERROR(INDEX('Watershed plans'!$P$12:$P$267,MATCH(74,$K$31:$K$286,0)),NA())</f>
        <v/>
      </c>
      <c r="D104" s="25">
        <f>IFERROR(INDEX('Watershed plans'!$Q$12:$Q$267,MATCH(74,$K$31:$K$286,0)),NA())</f>
        <v/>
      </c>
      <c r="E104" s="21">
        <f>IFERROR(INDEX('Watershed plans'!$P$12:$P$267,MATCH(74,'Watershed plans'!$Y$12:$Y$267,0)),NA())</f>
        <v/>
      </c>
      <c r="F104" s="25">
        <f>IFERROR(INDEX('Watershed plans'!$Q$12:$Q$267,MATCH(74,'Watershed plans'!$Y$12:$Y$267,0)),NA())</f>
        <v/>
      </c>
      <c r="G104" s="21">
        <f>E49</f>
        <v/>
      </c>
      <c r="H104" s="25">
        <f>IFERROR(INDEX('Watershed plans'!$AD$12:$AD$267,MATCH(20,'Watershed plans'!$Y$12:$Y$267,0)),NA())</f>
        <v/>
      </c>
      <c r="K104" s="10">
        <f>IF('Watershed plans'!T85=1,1+SUMPRODUCT('Watershed plans'!$T$12:$T$267*(('Watershed plans'!$M$12:$M$267&lt;'Watershed plans'!M85)+('Watershed plans'!$M$12:$M$267='Watershed plans'!M85)*('Watershed plans'!$A$12:$A$267&lt;'Watershed plans'!A85))),0)</f>
        <v/>
      </c>
    </row>
    <row r="105">
      <c r="A105" s="21">
        <f>IF(AND('Watershed plans'!C86=1,'Watershed plans'!T86&lt;&gt;1),'Watershed plans'!P86,NA())</f>
        <v/>
      </c>
      <c r="B105" s="25">
        <f>IF(AND('Watershed plans'!C86=1,'Watershed plans'!T86&lt;&gt;1),'Watershed plans'!Q86,NA())</f>
        <v/>
      </c>
      <c r="C105" s="21">
        <f>IFERROR(INDEX('Watershed plans'!$P$12:$P$267,MATCH(75,$K$31:$K$286,0)),NA())</f>
        <v/>
      </c>
      <c r="D105" s="25">
        <f>IFERROR(INDEX('Watershed plans'!$Q$12:$Q$267,MATCH(75,$K$31:$K$286,0)),NA())</f>
        <v/>
      </c>
      <c r="E105" s="21">
        <f>IFERROR(INDEX('Watershed plans'!$P$12:$P$267,MATCH(75,'Watershed plans'!$Y$12:$Y$267,0)),NA())</f>
        <v/>
      </c>
      <c r="F105" s="25">
        <f>IFERROR(INDEX('Watershed plans'!$Q$12:$Q$267,MATCH(75,'Watershed plans'!$Y$12:$Y$267,0)),NA())</f>
        <v/>
      </c>
      <c r="G105" s="21">
        <f>E50</f>
        <v/>
      </c>
      <c r="H105" s="25">
        <f>H104</f>
        <v/>
      </c>
      <c r="K105" s="10">
        <f>IF('Watershed plans'!T86=1,1+SUMPRODUCT('Watershed plans'!$T$12:$T$267*(('Watershed plans'!$M$12:$M$267&lt;'Watershed plans'!M86)+('Watershed plans'!$M$12:$M$267='Watershed plans'!M86)*('Watershed plans'!$A$12:$A$267&lt;'Watershed plans'!A86))),0)</f>
        <v/>
      </c>
    </row>
    <row r="106">
      <c r="A106" s="21">
        <f>IF(AND('Watershed plans'!C87=1,'Watershed plans'!T87&lt;&gt;1),'Watershed plans'!P87,NA())</f>
        <v/>
      </c>
      <c r="B106" s="25">
        <f>IF(AND('Watershed plans'!C87=1,'Watershed plans'!T87&lt;&gt;1),'Watershed plans'!Q87,NA())</f>
        <v/>
      </c>
      <c r="C106" s="21">
        <f>IFERROR(INDEX('Watershed plans'!$P$12:$P$267,MATCH(76,$K$31:$K$286,0)),NA())</f>
        <v/>
      </c>
      <c r="D106" s="25">
        <f>IFERROR(INDEX('Watershed plans'!$Q$12:$Q$267,MATCH(76,$K$31:$K$286,0)),NA())</f>
        <v/>
      </c>
      <c r="E106" s="21">
        <f>IFERROR(INDEX('Watershed plans'!$P$12:$P$267,MATCH(76,'Watershed plans'!$Y$12:$Y$267,0)),NA())</f>
        <v/>
      </c>
      <c r="F106" s="25">
        <f>IFERROR(INDEX('Watershed plans'!$Q$12:$Q$267,MATCH(76,'Watershed plans'!$Y$12:$Y$267,0)),NA())</f>
        <v/>
      </c>
      <c r="G106" s="21">
        <f>E50</f>
        <v/>
      </c>
      <c r="H106" s="25">
        <f>IF(ISNUMBER(H104),0,NA())</f>
        <v/>
      </c>
      <c r="K106" s="10">
        <f>IF('Watershed plans'!T87=1,1+SUMPRODUCT('Watershed plans'!$T$12:$T$267*(('Watershed plans'!$M$12:$M$267&lt;'Watershed plans'!M87)+('Watershed plans'!$M$12:$M$267='Watershed plans'!M87)*('Watershed plans'!$A$12:$A$267&lt;'Watershed plans'!A87))),0)</f>
        <v/>
      </c>
    </row>
    <row r="107">
      <c r="A107" s="21">
        <f>IF(AND('Watershed plans'!C88=1,'Watershed plans'!T88&lt;&gt;1),'Watershed plans'!P88,NA())</f>
        <v/>
      </c>
      <c r="B107" s="25">
        <f>IF(AND('Watershed plans'!C88=1,'Watershed plans'!T88&lt;&gt;1),'Watershed plans'!Q88,NA())</f>
        <v/>
      </c>
      <c r="C107" s="21">
        <f>IFERROR(INDEX('Watershed plans'!$P$12:$P$267,MATCH(77,$K$31:$K$286,0)),NA())</f>
        <v/>
      </c>
      <c r="D107" s="25">
        <f>IFERROR(INDEX('Watershed plans'!$Q$12:$Q$267,MATCH(77,$K$31:$K$286,0)),NA())</f>
        <v/>
      </c>
      <c r="E107" s="21">
        <f>IFERROR(INDEX('Watershed plans'!$P$12:$P$267,MATCH(77,'Watershed plans'!$Y$12:$Y$267,0)),NA())</f>
        <v/>
      </c>
      <c r="F107" s="25">
        <f>IFERROR(INDEX('Watershed plans'!$Q$12:$Q$267,MATCH(77,'Watershed plans'!$Y$12:$Y$267,0)),NA())</f>
        <v/>
      </c>
      <c r="G107" s="21">
        <f>E50</f>
        <v/>
      </c>
      <c r="H107" s="25">
        <f>IF(ISNUMBER(H108),0,NA())</f>
        <v/>
      </c>
      <c r="K107" s="10">
        <f>IF('Watershed plans'!T88=1,1+SUMPRODUCT('Watershed plans'!$T$12:$T$267*(('Watershed plans'!$M$12:$M$267&lt;'Watershed plans'!M88)+('Watershed plans'!$M$12:$M$267='Watershed plans'!M88)*('Watershed plans'!$A$12:$A$267&lt;'Watershed plans'!A88))),0)</f>
        <v/>
      </c>
    </row>
    <row r="108">
      <c r="A108" s="21">
        <f>IF(AND('Watershed plans'!C89=1,'Watershed plans'!T89&lt;&gt;1),'Watershed plans'!P89,NA())</f>
        <v/>
      </c>
      <c r="B108" s="25">
        <f>IF(AND('Watershed plans'!C89=1,'Watershed plans'!T89&lt;&gt;1),'Watershed plans'!Q89,NA())</f>
        <v/>
      </c>
      <c r="C108" s="21">
        <f>IFERROR(INDEX('Watershed plans'!$P$12:$P$267,MATCH(78,$K$31:$K$286,0)),NA())</f>
        <v/>
      </c>
      <c r="D108" s="25">
        <f>IFERROR(INDEX('Watershed plans'!$Q$12:$Q$267,MATCH(78,$K$31:$K$286,0)),NA())</f>
        <v/>
      </c>
      <c r="E108" s="21">
        <f>IFERROR(INDEX('Watershed plans'!$P$12:$P$267,MATCH(78,'Watershed plans'!$Y$12:$Y$267,0)),NA())</f>
        <v/>
      </c>
      <c r="F108" s="25">
        <f>IFERROR(INDEX('Watershed plans'!$Q$12:$Q$267,MATCH(78,'Watershed plans'!$Y$12:$Y$267,0)),NA())</f>
        <v/>
      </c>
      <c r="G108" s="21">
        <f>E50</f>
        <v/>
      </c>
      <c r="H108" s="25">
        <f>IFERROR(INDEX('Watershed plans'!$AD$12:$AD$267,MATCH(21,'Watershed plans'!$Y$12:$Y$267,0)),NA())</f>
        <v/>
      </c>
      <c r="K108" s="10">
        <f>IF('Watershed plans'!T89=1,1+SUMPRODUCT('Watershed plans'!$T$12:$T$267*(('Watershed plans'!$M$12:$M$267&lt;'Watershed plans'!M89)+('Watershed plans'!$M$12:$M$267='Watershed plans'!M89)*('Watershed plans'!$A$12:$A$267&lt;'Watershed plans'!A89))),0)</f>
        <v/>
      </c>
    </row>
    <row r="109">
      <c r="A109" s="21">
        <f>IF(AND('Watershed plans'!C90=1,'Watershed plans'!T90&lt;&gt;1),'Watershed plans'!P90,NA())</f>
        <v/>
      </c>
      <c r="B109" s="25">
        <f>IF(AND('Watershed plans'!C90=1,'Watershed plans'!T90&lt;&gt;1),'Watershed plans'!Q90,NA())</f>
        <v/>
      </c>
      <c r="C109" s="21">
        <f>IFERROR(INDEX('Watershed plans'!$P$12:$P$267,MATCH(79,$K$31:$K$286,0)),NA())</f>
        <v/>
      </c>
      <c r="D109" s="25">
        <f>IFERROR(INDEX('Watershed plans'!$Q$12:$Q$267,MATCH(79,$K$31:$K$286,0)),NA())</f>
        <v/>
      </c>
      <c r="E109" s="21">
        <f>IFERROR(INDEX('Watershed plans'!$P$12:$P$267,MATCH(79,'Watershed plans'!$Y$12:$Y$267,0)),NA())</f>
        <v/>
      </c>
      <c r="F109" s="25">
        <f>IFERROR(INDEX('Watershed plans'!$Q$12:$Q$267,MATCH(79,'Watershed plans'!$Y$12:$Y$267,0)),NA())</f>
        <v/>
      </c>
      <c r="G109" s="21">
        <f>E51</f>
        <v/>
      </c>
      <c r="H109" s="25">
        <f>H108</f>
        <v/>
      </c>
      <c r="K109" s="10">
        <f>IF('Watershed plans'!T90=1,1+SUMPRODUCT('Watershed plans'!$T$12:$T$267*(('Watershed plans'!$M$12:$M$267&lt;'Watershed plans'!M90)+('Watershed plans'!$M$12:$M$267='Watershed plans'!M90)*('Watershed plans'!$A$12:$A$267&lt;'Watershed plans'!A90))),0)</f>
        <v/>
      </c>
    </row>
    <row r="110">
      <c r="A110" s="21">
        <f>IF(AND('Watershed plans'!C91=1,'Watershed plans'!T91&lt;&gt;1),'Watershed plans'!P91,NA())</f>
        <v/>
      </c>
      <c r="B110" s="25">
        <f>IF(AND('Watershed plans'!C91=1,'Watershed plans'!T91&lt;&gt;1),'Watershed plans'!Q91,NA())</f>
        <v/>
      </c>
      <c r="C110" s="21">
        <f>IFERROR(INDEX('Watershed plans'!$P$12:$P$267,MATCH(80,$K$31:$K$286,0)),NA())</f>
        <v/>
      </c>
      <c r="D110" s="25">
        <f>IFERROR(INDEX('Watershed plans'!$Q$12:$Q$267,MATCH(80,$K$31:$K$286,0)),NA())</f>
        <v/>
      </c>
      <c r="E110" s="21">
        <f>IFERROR(INDEX('Watershed plans'!$P$12:$P$267,MATCH(80,'Watershed plans'!$Y$12:$Y$267,0)),NA())</f>
        <v/>
      </c>
      <c r="F110" s="25">
        <f>IFERROR(INDEX('Watershed plans'!$Q$12:$Q$267,MATCH(80,'Watershed plans'!$Y$12:$Y$267,0)),NA())</f>
        <v/>
      </c>
      <c r="G110" s="21">
        <f>E51</f>
        <v/>
      </c>
      <c r="H110" s="25">
        <f>IF(ISNUMBER(H108),0,NA())</f>
        <v/>
      </c>
      <c r="K110" s="10">
        <f>IF('Watershed plans'!T91=1,1+SUMPRODUCT('Watershed plans'!$T$12:$T$267*(('Watershed plans'!$M$12:$M$267&lt;'Watershed plans'!M91)+('Watershed plans'!$M$12:$M$267='Watershed plans'!M91)*('Watershed plans'!$A$12:$A$267&lt;'Watershed plans'!A91))),0)</f>
        <v/>
      </c>
    </row>
    <row r="111">
      <c r="A111" s="21">
        <f>IF(AND('Watershed plans'!C92=1,'Watershed plans'!T92&lt;&gt;1),'Watershed plans'!P92,NA())</f>
        <v/>
      </c>
      <c r="B111" s="25">
        <f>IF(AND('Watershed plans'!C92=1,'Watershed plans'!T92&lt;&gt;1),'Watershed plans'!Q92,NA())</f>
        <v/>
      </c>
      <c r="C111" s="21">
        <f>IFERROR(INDEX('Watershed plans'!$P$12:$P$267,MATCH(81,$K$31:$K$286,0)),NA())</f>
        <v/>
      </c>
      <c r="D111" s="25">
        <f>IFERROR(INDEX('Watershed plans'!$Q$12:$Q$267,MATCH(81,$K$31:$K$286,0)),NA())</f>
        <v/>
      </c>
      <c r="E111" s="21">
        <f>IFERROR(INDEX('Watershed plans'!$P$12:$P$267,MATCH(81,'Watershed plans'!$Y$12:$Y$267,0)),NA())</f>
        <v/>
      </c>
      <c r="F111" s="25">
        <f>IFERROR(INDEX('Watershed plans'!$Q$12:$Q$267,MATCH(81,'Watershed plans'!$Y$12:$Y$267,0)),NA())</f>
        <v/>
      </c>
      <c r="G111" s="21">
        <f>E51</f>
        <v/>
      </c>
      <c r="H111" s="25">
        <f>IF(ISNUMBER(H112),0,NA())</f>
        <v/>
      </c>
      <c r="K111" s="10">
        <f>IF('Watershed plans'!T92=1,1+SUMPRODUCT('Watershed plans'!$T$12:$T$267*(('Watershed plans'!$M$12:$M$267&lt;'Watershed plans'!M92)+('Watershed plans'!$M$12:$M$267='Watershed plans'!M92)*('Watershed plans'!$A$12:$A$267&lt;'Watershed plans'!A92))),0)</f>
        <v/>
      </c>
    </row>
    <row r="112">
      <c r="A112" s="21">
        <f>IF(AND('Watershed plans'!C93=1,'Watershed plans'!T93&lt;&gt;1),'Watershed plans'!P93,NA())</f>
        <v/>
      </c>
      <c r="B112" s="25">
        <f>IF(AND('Watershed plans'!C93=1,'Watershed plans'!T93&lt;&gt;1),'Watershed plans'!Q93,NA())</f>
        <v/>
      </c>
      <c r="C112" s="21">
        <f>IFERROR(INDEX('Watershed plans'!$P$12:$P$267,MATCH(82,$K$31:$K$286,0)),NA())</f>
        <v/>
      </c>
      <c r="D112" s="25">
        <f>IFERROR(INDEX('Watershed plans'!$Q$12:$Q$267,MATCH(82,$K$31:$K$286,0)),NA())</f>
        <v/>
      </c>
      <c r="E112" s="21">
        <f>IFERROR(INDEX('Watershed plans'!$P$12:$P$267,MATCH(82,'Watershed plans'!$Y$12:$Y$267,0)),NA())</f>
        <v/>
      </c>
      <c r="F112" s="25">
        <f>IFERROR(INDEX('Watershed plans'!$Q$12:$Q$267,MATCH(82,'Watershed plans'!$Y$12:$Y$267,0)),NA())</f>
        <v/>
      </c>
      <c r="G112" s="21">
        <f>E51</f>
        <v/>
      </c>
      <c r="H112" s="25">
        <f>IFERROR(INDEX('Watershed plans'!$AD$12:$AD$267,MATCH(22,'Watershed plans'!$Y$12:$Y$267,0)),NA())</f>
        <v/>
      </c>
      <c r="K112" s="10">
        <f>IF('Watershed plans'!T93=1,1+SUMPRODUCT('Watershed plans'!$T$12:$T$267*(('Watershed plans'!$M$12:$M$267&lt;'Watershed plans'!M93)+('Watershed plans'!$M$12:$M$267='Watershed plans'!M93)*('Watershed plans'!$A$12:$A$267&lt;'Watershed plans'!A93))),0)</f>
        <v/>
      </c>
    </row>
    <row r="113">
      <c r="A113" s="21">
        <f>IF(AND('Watershed plans'!C94=1,'Watershed plans'!T94&lt;&gt;1),'Watershed plans'!P94,NA())</f>
        <v/>
      </c>
      <c r="B113" s="25">
        <f>IF(AND('Watershed plans'!C94=1,'Watershed plans'!T94&lt;&gt;1),'Watershed plans'!Q94,NA())</f>
        <v/>
      </c>
      <c r="C113" s="21">
        <f>IFERROR(INDEX('Watershed plans'!$P$12:$P$267,MATCH(83,$K$31:$K$286,0)),NA())</f>
        <v/>
      </c>
      <c r="D113" s="25">
        <f>IFERROR(INDEX('Watershed plans'!$Q$12:$Q$267,MATCH(83,$K$31:$K$286,0)),NA())</f>
        <v/>
      </c>
      <c r="E113" s="21">
        <f>IFERROR(INDEX('Watershed plans'!$P$12:$P$267,MATCH(83,'Watershed plans'!$Y$12:$Y$267,0)),NA())</f>
        <v/>
      </c>
      <c r="F113" s="25">
        <f>IFERROR(INDEX('Watershed plans'!$Q$12:$Q$267,MATCH(83,'Watershed plans'!$Y$12:$Y$267,0)),NA())</f>
        <v/>
      </c>
      <c r="G113" s="21">
        <f>E52</f>
        <v/>
      </c>
      <c r="H113" s="25">
        <f>H112</f>
        <v/>
      </c>
      <c r="K113" s="10">
        <f>IF('Watershed plans'!T94=1,1+SUMPRODUCT('Watershed plans'!$T$12:$T$267*(('Watershed plans'!$M$12:$M$267&lt;'Watershed plans'!M94)+('Watershed plans'!$M$12:$M$267='Watershed plans'!M94)*('Watershed plans'!$A$12:$A$267&lt;'Watershed plans'!A94))),0)</f>
        <v/>
      </c>
    </row>
    <row r="114">
      <c r="A114" s="21">
        <f>IF(AND('Watershed plans'!C95=1,'Watershed plans'!T95&lt;&gt;1),'Watershed plans'!P95,NA())</f>
        <v/>
      </c>
      <c r="B114" s="25">
        <f>IF(AND('Watershed plans'!C95=1,'Watershed plans'!T95&lt;&gt;1),'Watershed plans'!Q95,NA())</f>
        <v/>
      </c>
      <c r="C114" s="21">
        <f>IFERROR(INDEX('Watershed plans'!$P$12:$P$267,MATCH(84,$K$31:$K$286,0)),NA())</f>
        <v/>
      </c>
      <c r="D114" s="25">
        <f>IFERROR(INDEX('Watershed plans'!$Q$12:$Q$267,MATCH(84,$K$31:$K$286,0)),NA())</f>
        <v/>
      </c>
      <c r="E114" s="21">
        <f>IFERROR(INDEX('Watershed plans'!$P$12:$P$267,MATCH(84,'Watershed plans'!$Y$12:$Y$267,0)),NA())</f>
        <v/>
      </c>
      <c r="F114" s="25">
        <f>IFERROR(INDEX('Watershed plans'!$Q$12:$Q$267,MATCH(84,'Watershed plans'!$Y$12:$Y$267,0)),NA())</f>
        <v/>
      </c>
      <c r="G114" s="21">
        <f>E52</f>
        <v/>
      </c>
      <c r="H114" s="25">
        <f>IF(ISNUMBER(H112),0,NA())</f>
        <v/>
      </c>
      <c r="K114" s="10">
        <f>IF('Watershed plans'!T95=1,1+SUMPRODUCT('Watershed plans'!$T$12:$T$267*(('Watershed plans'!$M$12:$M$267&lt;'Watershed plans'!M95)+('Watershed plans'!$M$12:$M$267='Watershed plans'!M95)*('Watershed plans'!$A$12:$A$267&lt;'Watershed plans'!A95))),0)</f>
        <v/>
      </c>
    </row>
    <row r="115">
      <c r="A115" s="21">
        <f>IF(AND('Watershed plans'!C96=1,'Watershed plans'!T96&lt;&gt;1),'Watershed plans'!P96,NA())</f>
        <v/>
      </c>
      <c r="B115" s="25">
        <f>IF(AND('Watershed plans'!C96=1,'Watershed plans'!T96&lt;&gt;1),'Watershed plans'!Q96,NA())</f>
        <v/>
      </c>
      <c r="C115" s="21">
        <f>IFERROR(INDEX('Watershed plans'!$P$12:$P$267,MATCH(85,$K$31:$K$286,0)),NA())</f>
        <v/>
      </c>
      <c r="D115" s="25">
        <f>IFERROR(INDEX('Watershed plans'!$Q$12:$Q$267,MATCH(85,$K$31:$K$286,0)),NA())</f>
        <v/>
      </c>
      <c r="E115" s="21">
        <f>IFERROR(INDEX('Watershed plans'!$P$12:$P$267,MATCH(85,'Watershed plans'!$Y$12:$Y$267,0)),NA())</f>
        <v/>
      </c>
      <c r="F115" s="25">
        <f>IFERROR(INDEX('Watershed plans'!$Q$12:$Q$267,MATCH(85,'Watershed plans'!$Y$12:$Y$267,0)),NA())</f>
        <v/>
      </c>
      <c r="G115" s="21">
        <f>E52</f>
        <v/>
      </c>
      <c r="H115" s="25">
        <f>IF(ISNUMBER(H116),0,NA())</f>
        <v/>
      </c>
      <c r="K115" s="10">
        <f>IF('Watershed plans'!T96=1,1+SUMPRODUCT('Watershed plans'!$T$12:$T$267*(('Watershed plans'!$M$12:$M$267&lt;'Watershed plans'!M96)+('Watershed plans'!$M$12:$M$267='Watershed plans'!M96)*('Watershed plans'!$A$12:$A$267&lt;'Watershed plans'!A96))),0)</f>
        <v/>
      </c>
    </row>
    <row r="116">
      <c r="A116" s="21">
        <f>IF(AND('Watershed plans'!C97=1,'Watershed plans'!T97&lt;&gt;1),'Watershed plans'!P97,NA())</f>
        <v/>
      </c>
      <c r="B116" s="25">
        <f>IF(AND('Watershed plans'!C97=1,'Watershed plans'!T97&lt;&gt;1),'Watershed plans'!Q97,NA())</f>
        <v/>
      </c>
      <c r="C116" s="21">
        <f>IFERROR(INDEX('Watershed plans'!$P$12:$P$267,MATCH(86,$K$31:$K$286,0)),NA())</f>
        <v/>
      </c>
      <c r="D116" s="25">
        <f>IFERROR(INDEX('Watershed plans'!$Q$12:$Q$267,MATCH(86,$K$31:$K$286,0)),NA())</f>
        <v/>
      </c>
      <c r="E116" s="21">
        <f>IFERROR(INDEX('Watershed plans'!$P$12:$P$267,MATCH(86,'Watershed plans'!$Y$12:$Y$267,0)),NA())</f>
        <v/>
      </c>
      <c r="F116" s="25">
        <f>IFERROR(INDEX('Watershed plans'!$Q$12:$Q$267,MATCH(86,'Watershed plans'!$Y$12:$Y$267,0)),NA())</f>
        <v/>
      </c>
      <c r="G116" s="21">
        <f>E52</f>
        <v/>
      </c>
      <c r="H116" s="25">
        <f>IFERROR(INDEX('Watershed plans'!$AD$12:$AD$267,MATCH(23,'Watershed plans'!$Y$12:$Y$267,0)),NA())</f>
        <v/>
      </c>
      <c r="K116" s="10">
        <f>IF('Watershed plans'!T97=1,1+SUMPRODUCT('Watershed plans'!$T$12:$T$267*(('Watershed plans'!$M$12:$M$267&lt;'Watershed plans'!M97)+('Watershed plans'!$M$12:$M$267='Watershed plans'!M97)*('Watershed plans'!$A$12:$A$267&lt;'Watershed plans'!A97))),0)</f>
        <v/>
      </c>
    </row>
    <row r="117">
      <c r="A117" s="21">
        <f>IF(AND('Watershed plans'!C98=1,'Watershed plans'!T98&lt;&gt;1),'Watershed plans'!P98,NA())</f>
        <v/>
      </c>
      <c r="B117" s="25">
        <f>IF(AND('Watershed plans'!C98=1,'Watershed plans'!T98&lt;&gt;1),'Watershed plans'!Q98,NA())</f>
        <v/>
      </c>
      <c r="C117" s="21">
        <f>IFERROR(INDEX('Watershed plans'!$P$12:$P$267,MATCH(87,$K$31:$K$286,0)),NA())</f>
        <v/>
      </c>
      <c r="D117" s="25">
        <f>IFERROR(INDEX('Watershed plans'!$Q$12:$Q$267,MATCH(87,$K$31:$K$286,0)),NA())</f>
        <v/>
      </c>
      <c r="E117" s="21">
        <f>IFERROR(INDEX('Watershed plans'!$P$12:$P$267,MATCH(87,'Watershed plans'!$Y$12:$Y$267,0)),NA())</f>
        <v/>
      </c>
      <c r="F117" s="25">
        <f>IFERROR(INDEX('Watershed plans'!$Q$12:$Q$267,MATCH(87,'Watershed plans'!$Y$12:$Y$267,0)),NA())</f>
        <v/>
      </c>
      <c r="G117" s="21">
        <f>E53</f>
        <v/>
      </c>
      <c r="H117" s="25">
        <f>H116</f>
        <v/>
      </c>
      <c r="K117" s="10">
        <f>IF('Watershed plans'!T98=1,1+SUMPRODUCT('Watershed plans'!$T$12:$T$267*(('Watershed plans'!$M$12:$M$267&lt;'Watershed plans'!M98)+('Watershed plans'!$M$12:$M$267='Watershed plans'!M98)*('Watershed plans'!$A$12:$A$267&lt;'Watershed plans'!A98))),0)</f>
        <v/>
      </c>
    </row>
    <row r="118">
      <c r="A118" s="21">
        <f>IF(AND('Watershed plans'!C99=1,'Watershed plans'!T99&lt;&gt;1),'Watershed plans'!P99,NA())</f>
        <v/>
      </c>
      <c r="B118" s="25">
        <f>IF(AND('Watershed plans'!C99=1,'Watershed plans'!T99&lt;&gt;1),'Watershed plans'!Q99,NA())</f>
        <v/>
      </c>
      <c r="C118" s="21">
        <f>IFERROR(INDEX('Watershed plans'!$P$12:$P$267,MATCH(88,$K$31:$K$286,0)),NA())</f>
        <v/>
      </c>
      <c r="D118" s="25">
        <f>IFERROR(INDEX('Watershed plans'!$Q$12:$Q$267,MATCH(88,$K$31:$K$286,0)),NA())</f>
        <v/>
      </c>
      <c r="E118" s="21">
        <f>IFERROR(INDEX('Watershed plans'!$P$12:$P$267,MATCH(88,'Watershed plans'!$Y$12:$Y$267,0)),NA())</f>
        <v/>
      </c>
      <c r="F118" s="25">
        <f>IFERROR(INDEX('Watershed plans'!$Q$12:$Q$267,MATCH(88,'Watershed plans'!$Y$12:$Y$267,0)),NA())</f>
        <v/>
      </c>
      <c r="G118" s="21">
        <f>E53</f>
        <v/>
      </c>
      <c r="H118" s="25">
        <f>IF(ISNUMBER(H116),0,NA())</f>
        <v/>
      </c>
      <c r="K118" s="10">
        <f>IF('Watershed plans'!T99=1,1+SUMPRODUCT('Watershed plans'!$T$12:$T$267*(('Watershed plans'!$M$12:$M$267&lt;'Watershed plans'!M99)+('Watershed plans'!$M$12:$M$267='Watershed plans'!M99)*('Watershed plans'!$A$12:$A$267&lt;'Watershed plans'!A99))),0)</f>
        <v/>
      </c>
    </row>
    <row r="119">
      <c r="A119" s="21">
        <f>IF(AND('Watershed plans'!C100=1,'Watershed plans'!T100&lt;&gt;1),'Watershed plans'!P100,NA())</f>
        <v/>
      </c>
      <c r="B119" s="25">
        <f>IF(AND('Watershed plans'!C100=1,'Watershed plans'!T100&lt;&gt;1),'Watershed plans'!Q100,NA())</f>
        <v/>
      </c>
      <c r="C119" s="21">
        <f>IFERROR(INDEX('Watershed plans'!$P$12:$P$267,MATCH(89,$K$31:$K$286,0)),NA())</f>
        <v/>
      </c>
      <c r="D119" s="25">
        <f>IFERROR(INDEX('Watershed plans'!$Q$12:$Q$267,MATCH(89,$K$31:$K$286,0)),NA())</f>
        <v/>
      </c>
      <c r="E119" s="21">
        <f>IFERROR(INDEX('Watershed plans'!$P$12:$P$267,MATCH(89,'Watershed plans'!$Y$12:$Y$267,0)),NA())</f>
        <v/>
      </c>
      <c r="F119" s="25">
        <f>IFERROR(INDEX('Watershed plans'!$Q$12:$Q$267,MATCH(89,'Watershed plans'!$Y$12:$Y$267,0)),NA())</f>
        <v/>
      </c>
      <c r="G119" s="21">
        <f>E53</f>
        <v/>
      </c>
      <c r="H119" s="25">
        <f>IF(ISNUMBER(H120),0,NA())</f>
        <v/>
      </c>
      <c r="K119" s="10">
        <f>IF('Watershed plans'!T100=1,1+SUMPRODUCT('Watershed plans'!$T$12:$T$267*(('Watershed plans'!$M$12:$M$267&lt;'Watershed plans'!M100)+('Watershed plans'!$M$12:$M$267='Watershed plans'!M100)*('Watershed plans'!$A$12:$A$267&lt;'Watershed plans'!A100))),0)</f>
        <v/>
      </c>
    </row>
    <row r="120">
      <c r="A120" s="21">
        <f>IF(AND('Watershed plans'!C101=1,'Watershed plans'!T101&lt;&gt;1),'Watershed plans'!P101,NA())</f>
        <v/>
      </c>
      <c r="B120" s="25">
        <f>IF(AND('Watershed plans'!C101=1,'Watershed plans'!T101&lt;&gt;1),'Watershed plans'!Q101,NA())</f>
        <v/>
      </c>
      <c r="C120" s="21">
        <f>IFERROR(INDEX('Watershed plans'!$P$12:$P$267,MATCH(90,$K$31:$K$286,0)),NA())</f>
        <v/>
      </c>
      <c r="D120" s="25">
        <f>IFERROR(INDEX('Watershed plans'!$Q$12:$Q$267,MATCH(90,$K$31:$K$286,0)),NA())</f>
        <v/>
      </c>
      <c r="E120" s="21">
        <f>IFERROR(INDEX('Watershed plans'!$P$12:$P$267,MATCH(90,'Watershed plans'!$Y$12:$Y$267,0)),NA())</f>
        <v/>
      </c>
      <c r="F120" s="25">
        <f>IFERROR(INDEX('Watershed plans'!$Q$12:$Q$267,MATCH(90,'Watershed plans'!$Y$12:$Y$267,0)),NA())</f>
        <v/>
      </c>
      <c r="G120" s="21">
        <f>E53</f>
        <v/>
      </c>
      <c r="H120" s="25">
        <f>IFERROR(INDEX('Watershed plans'!$AD$12:$AD$267,MATCH(24,'Watershed plans'!$Y$12:$Y$267,0)),NA())</f>
        <v/>
      </c>
      <c r="K120" s="10">
        <f>IF('Watershed plans'!T101=1,1+SUMPRODUCT('Watershed plans'!$T$12:$T$267*(('Watershed plans'!$M$12:$M$267&lt;'Watershed plans'!M101)+('Watershed plans'!$M$12:$M$267='Watershed plans'!M101)*('Watershed plans'!$A$12:$A$267&lt;'Watershed plans'!A101))),0)</f>
        <v/>
      </c>
    </row>
    <row r="121">
      <c r="A121" s="21">
        <f>IF(AND('Watershed plans'!C102=1,'Watershed plans'!T102&lt;&gt;1),'Watershed plans'!P102,NA())</f>
        <v/>
      </c>
      <c r="B121" s="25">
        <f>IF(AND('Watershed plans'!C102=1,'Watershed plans'!T102&lt;&gt;1),'Watershed plans'!Q102,NA())</f>
        <v/>
      </c>
      <c r="C121" s="21">
        <f>IFERROR(INDEX('Watershed plans'!$P$12:$P$267,MATCH(91,$K$31:$K$286,0)),NA())</f>
        <v/>
      </c>
      <c r="D121" s="25">
        <f>IFERROR(INDEX('Watershed plans'!$Q$12:$Q$267,MATCH(91,$K$31:$K$286,0)),NA())</f>
        <v/>
      </c>
      <c r="E121" s="21">
        <f>IFERROR(INDEX('Watershed plans'!$P$12:$P$267,MATCH(91,'Watershed plans'!$Y$12:$Y$267,0)),NA())</f>
        <v/>
      </c>
      <c r="F121" s="25">
        <f>IFERROR(INDEX('Watershed plans'!$Q$12:$Q$267,MATCH(91,'Watershed plans'!$Y$12:$Y$267,0)),NA())</f>
        <v/>
      </c>
      <c r="G121" s="21">
        <f>E54</f>
        <v/>
      </c>
      <c r="H121" s="25">
        <f>H120</f>
        <v/>
      </c>
      <c r="K121" s="10">
        <f>IF('Watershed plans'!T102=1,1+SUMPRODUCT('Watershed plans'!$T$12:$T$267*(('Watershed plans'!$M$12:$M$267&lt;'Watershed plans'!M102)+('Watershed plans'!$M$12:$M$267='Watershed plans'!M102)*('Watershed plans'!$A$12:$A$267&lt;'Watershed plans'!A102))),0)</f>
        <v/>
      </c>
    </row>
    <row r="122">
      <c r="A122" s="21">
        <f>IF(AND('Watershed plans'!C103=1,'Watershed plans'!T103&lt;&gt;1),'Watershed plans'!P103,NA())</f>
        <v/>
      </c>
      <c r="B122" s="25">
        <f>IF(AND('Watershed plans'!C103=1,'Watershed plans'!T103&lt;&gt;1),'Watershed plans'!Q103,NA())</f>
        <v/>
      </c>
      <c r="C122" s="21">
        <f>IFERROR(INDEX('Watershed plans'!$P$12:$P$267,MATCH(92,$K$31:$K$286,0)),NA())</f>
        <v/>
      </c>
      <c r="D122" s="25">
        <f>IFERROR(INDEX('Watershed plans'!$Q$12:$Q$267,MATCH(92,$K$31:$K$286,0)),NA())</f>
        <v/>
      </c>
      <c r="E122" s="21">
        <f>IFERROR(INDEX('Watershed plans'!$P$12:$P$267,MATCH(92,'Watershed plans'!$Y$12:$Y$267,0)),NA())</f>
        <v/>
      </c>
      <c r="F122" s="25">
        <f>IFERROR(INDEX('Watershed plans'!$Q$12:$Q$267,MATCH(92,'Watershed plans'!$Y$12:$Y$267,0)),NA())</f>
        <v/>
      </c>
      <c r="G122" s="21">
        <f>E54</f>
        <v/>
      </c>
      <c r="H122" s="25">
        <f>IF(ISNUMBER(H120),0,NA())</f>
        <v/>
      </c>
      <c r="K122" s="10">
        <f>IF('Watershed plans'!T103=1,1+SUMPRODUCT('Watershed plans'!$T$12:$T$267*(('Watershed plans'!$M$12:$M$267&lt;'Watershed plans'!M103)+('Watershed plans'!$M$12:$M$267='Watershed plans'!M103)*('Watershed plans'!$A$12:$A$267&lt;'Watershed plans'!A103))),0)</f>
        <v/>
      </c>
    </row>
    <row r="123">
      <c r="A123" s="21">
        <f>IF(AND('Watershed plans'!C104=1,'Watershed plans'!T104&lt;&gt;1),'Watershed plans'!P104,NA())</f>
        <v/>
      </c>
      <c r="B123" s="25">
        <f>IF(AND('Watershed plans'!C104=1,'Watershed plans'!T104&lt;&gt;1),'Watershed plans'!Q104,NA())</f>
        <v/>
      </c>
      <c r="C123" s="21">
        <f>IFERROR(INDEX('Watershed plans'!$P$12:$P$267,MATCH(93,$K$31:$K$286,0)),NA())</f>
        <v/>
      </c>
      <c r="D123" s="25">
        <f>IFERROR(INDEX('Watershed plans'!$Q$12:$Q$267,MATCH(93,$K$31:$K$286,0)),NA())</f>
        <v/>
      </c>
      <c r="E123" s="21">
        <f>IFERROR(INDEX('Watershed plans'!$P$12:$P$267,MATCH(93,'Watershed plans'!$Y$12:$Y$267,0)),NA())</f>
        <v/>
      </c>
      <c r="F123" s="25">
        <f>IFERROR(INDEX('Watershed plans'!$Q$12:$Q$267,MATCH(93,'Watershed plans'!$Y$12:$Y$267,0)),NA())</f>
        <v/>
      </c>
      <c r="G123" s="21">
        <f>E54</f>
        <v/>
      </c>
      <c r="H123" s="25">
        <f>IF(ISNUMBER(H124),0,NA())</f>
        <v/>
      </c>
      <c r="K123" s="10">
        <f>IF('Watershed plans'!T104=1,1+SUMPRODUCT('Watershed plans'!$T$12:$T$267*(('Watershed plans'!$M$12:$M$267&lt;'Watershed plans'!M104)+('Watershed plans'!$M$12:$M$267='Watershed plans'!M104)*('Watershed plans'!$A$12:$A$267&lt;'Watershed plans'!A104))),0)</f>
        <v/>
      </c>
    </row>
    <row r="124">
      <c r="A124" s="21">
        <f>IF(AND('Watershed plans'!C105=1,'Watershed plans'!T105&lt;&gt;1),'Watershed plans'!P105,NA())</f>
        <v/>
      </c>
      <c r="B124" s="25">
        <f>IF(AND('Watershed plans'!C105=1,'Watershed plans'!T105&lt;&gt;1),'Watershed plans'!Q105,NA())</f>
        <v/>
      </c>
      <c r="C124" s="21">
        <f>IFERROR(INDEX('Watershed plans'!$P$12:$P$267,MATCH(94,$K$31:$K$286,0)),NA())</f>
        <v/>
      </c>
      <c r="D124" s="25">
        <f>IFERROR(INDEX('Watershed plans'!$Q$12:$Q$267,MATCH(94,$K$31:$K$286,0)),NA())</f>
        <v/>
      </c>
      <c r="E124" s="21">
        <f>IFERROR(INDEX('Watershed plans'!$P$12:$P$267,MATCH(94,'Watershed plans'!$Y$12:$Y$267,0)),NA())</f>
        <v/>
      </c>
      <c r="F124" s="25">
        <f>IFERROR(INDEX('Watershed plans'!$Q$12:$Q$267,MATCH(94,'Watershed plans'!$Y$12:$Y$267,0)),NA())</f>
        <v/>
      </c>
      <c r="G124" s="21">
        <f>E54</f>
        <v/>
      </c>
      <c r="H124" s="25">
        <f>IFERROR(INDEX('Watershed plans'!$AD$12:$AD$267,MATCH(25,'Watershed plans'!$Y$12:$Y$267,0)),NA())</f>
        <v/>
      </c>
      <c r="K124" s="10">
        <f>IF('Watershed plans'!T105=1,1+SUMPRODUCT('Watershed plans'!$T$12:$T$267*(('Watershed plans'!$M$12:$M$267&lt;'Watershed plans'!M105)+('Watershed plans'!$M$12:$M$267='Watershed plans'!M105)*('Watershed plans'!$A$12:$A$267&lt;'Watershed plans'!A105))),0)</f>
        <v/>
      </c>
    </row>
    <row r="125">
      <c r="A125" s="21">
        <f>IF(AND('Watershed plans'!C106=1,'Watershed plans'!T106&lt;&gt;1),'Watershed plans'!P106,NA())</f>
        <v/>
      </c>
      <c r="B125" s="25">
        <f>IF(AND('Watershed plans'!C106=1,'Watershed plans'!T106&lt;&gt;1),'Watershed plans'!Q106,NA())</f>
        <v/>
      </c>
      <c r="C125" s="21">
        <f>IFERROR(INDEX('Watershed plans'!$P$12:$P$267,MATCH(95,$K$31:$K$286,0)),NA())</f>
        <v/>
      </c>
      <c r="D125" s="25">
        <f>IFERROR(INDEX('Watershed plans'!$Q$12:$Q$267,MATCH(95,$K$31:$K$286,0)),NA())</f>
        <v/>
      </c>
      <c r="E125" s="21">
        <f>IFERROR(INDEX('Watershed plans'!$P$12:$P$267,MATCH(95,'Watershed plans'!$Y$12:$Y$267,0)),NA())</f>
        <v/>
      </c>
      <c r="F125" s="25">
        <f>IFERROR(INDEX('Watershed plans'!$Q$12:$Q$267,MATCH(95,'Watershed plans'!$Y$12:$Y$267,0)),NA())</f>
        <v/>
      </c>
      <c r="G125" s="21">
        <f>E55</f>
        <v/>
      </c>
      <c r="H125" s="25">
        <f>H124</f>
        <v/>
      </c>
      <c r="K125" s="10">
        <f>IF('Watershed plans'!T106=1,1+SUMPRODUCT('Watershed plans'!$T$12:$T$267*(('Watershed plans'!$M$12:$M$267&lt;'Watershed plans'!M106)+('Watershed plans'!$M$12:$M$267='Watershed plans'!M106)*('Watershed plans'!$A$12:$A$267&lt;'Watershed plans'!A106))),0)</f>
        <v/>
      </c>
    </row>
    <row r="126">
      <c r="A126" s="21">
        <f>IF(AND('Watershed plans'!C107=1,'Watershed plans'!T107&lt;&gt;1),'Watershed plans'!P107,NA())</f>
        <v/>
      </c>
      <c r="B126" s="25">
        <f>IF(AND('Watershed plans'!C107=1,'Watershed plans'!T107&lt;&gt;1),'Watershed plans'!Q107,NA())</f>
        <v/>
      </c>
      <c r="C126" s="21">
        <f>IFERROR(INDEX('Watershed plans'!$P$12:$P$267,MATCH(96,$K$31:$K$286,0)),NA())</f>
        <v/>
      </c>
      <c r="D126" s="25">
        <f>IFERROR(INDEX('Watershed plans'!$Q$12:$Q$267,MATCH(96,$K$31:$K$286,0)),NA())</f>
        <v/>
      </c>
      <c r="E126" s="21">
        <f>IFERROR(INDEX('Watershed plans'!$P$12:$P$267,MATCH(96,'Watershed plans'!$Y$12:$Y$267,0)),NA())</f>
        <v/>
      </c>
      <c r="F126" s="25">
        <f>IFERROR(INDEX('Watershed plans'!$Q$12:$Q$267,MATCH(96,'Watershed plans'!$Y$12:$Y$267,0)),NA())</f>
        <v/>
      </c>
      <c r="G126" s="21">
        <f>E55</f>
        <v/>
      </c>
      <c r="H126" s="25">
        <f>IF(ISNUMBER(H124),0,NA())</f>
        <v/>
      </c>
      <c r="K126" s="10">
        <f>IF('Watershed plans'!T107=1,1+SUMPRODUCT('Watershed plans'!$T$12:$T$267*(('Watershed plans'!$M$12:$M$267&lt;'Watershed plans'!M107)+('Watershed plans'!$M$12:$M$267='Watershed plans'!M107)*('Watershed plans'!$A$12:$A$267&lt;'Watershed plans'!A107))),0)</f>
        <v/>
      </c>
    </row>
    <row r="127">
      <c r="A127" s="21">
        <f>IF(AND('Watershed plans'!C108=1,'Watershed plans'!T108&lt;&gt;1),'Watershed plans'!P108,NA())</f>
        <v/>
      </c>
      <c r="B127" s="25">
        <f>IF(AND('Watershed plans'!C108=1,'Watershed plans'!T108&lt;&gt;1),'Watershed plans'!Q108,NA())</f>
        <v/>
      </c>
      <c r="C127" s="21">
        <f>IFERROR(INDEX('Watershed plans'!$P$12:$P$267,MATCH(97,$K$31:$K$286,0)),NA())</f>
        <v/>
      </c>
      <c r="D127" s="25">
        <f>IFERROR(INDEX('Watershed plans'!$Q$12:$Q$267,MATCH(97,$K$31:$K$286,0)),NA())</f>
        <v/>
      </c>
      <c r="E127" s="21">
        <f>IFERROR(INDEX('Watershed plans'!$P$12:$P$267,MATCH(97,'Watershed plans'!$Y$12:$Y$267,0)),NA())</f>
        <v/>
      </c>
      <c r="F127" s="25">
        <f>IFERROR(INDEX('Watershed plans'!$Q$12:$Q$267,MATCH(97,'Watershed plans'!$Y$12:$Y$267,0)),NA())</f>
        <v/>
      </c>
      <c r="G127" s="21">
        <f>E55</f>
        <v/>
      </c>
      <c r="H127" s="25">
        <f>IF(ISNUMBER(H128),0,NA())</f>
        <v/>
      </c>
      <c r="K127" s="10">
        <f>IF('Watershed plans'!T108=1,1+SUMPRODUCT('Watershed plans'!$T$12:$T$267*(('Watershed plans'!$M$12:$M$267&lt;'Watershed plans'!M108)+('Watershed plans'!$M$12:$M$267='Watershed plans'!M108)*('Watershed plans'!$A$12:$A$267&lt;'Watershed plans'!A108))),0)</f>
        <v/>
      </c>
    </row>
    <row r="128">
      <c r="A128" s="21">
        <f>IF(AND('Watershed plans'!C109=1,'Watershed plans'!T109&lt;&gt;1),'Watershed plans'!P109,NA())</f>
        <v/>
      </c>
      <c r="B128" s="25">
        <f>IF(AND('Watershed plans'!C109=1,'Watershed plans'!T109&lt;&gt;1),'Watershed plans'!Q109,NA())</f>
        <v/>
      </c>
      <c r="C128" s="21">
        <f>IFERROR(INDEX('Watershed plans'!$P$12:$P$267,MATCH(98,$K$31:$K$286,0)),NA())</f>
        <v/>
      </c>
      <c r="D128" s="25">
        <f>IFERROR(INDEX('Watershed plans'!$Q$12:$Q$267,MATCH(98,$K$31:$K$286,0)),NA())</f>
        <v/>
      </c>
      <c r="E128" s="21">
        <f>IFERROR(INDEX('Watershed plans'!$P$12:$P$267,MATCH(98,'Watershed plans'!$Y$12:$Y$267,0)),NA())</f>
        <v/>
      </c>
      <c r="F128" s="25">
        <f>IFERROR(INDEX('Watershed plans'!$Q$12:$Q$267,MATCH(98,'Watershed plans'!$Y$12:$Y$267,0)),NA())</f>
        <v/>
      </c>
      <c r="G128" s="21">
        <f>E55</f>
        <v/>
      </c>
      <c r="H128" s="25">
        <f>IFERROR(INDEX('Watershed plans'!$AD$12:$AD$267,MATCH(26,'Watershed plans'!$Y$12:$Y$267,0)),NA())</f>
        <v/>
      </c>
      <c r="K128" s="10">
        <f>IF('Watershed plans'!T109=1,1+SUMPRODUCT('Watershed plans'!$T$12:$T$267*(('Watershed plans'!$M$12:$M$267&lt;'Watershed plans'!M109)+('Watershed plans'!$M$12:$M$267='Watershed plans'!M109)*('Watershed plans'!$A$12:$A$267&lt;'Watershed plans'!A109))),0)</f>
        <v/>
      </c>
    </row>
    <row r="129">
      <c r="A129" s="21">
        <f>IF(AND('Watershed plans'!C110=1,'Watershed plans'!T110&lt;&gt;1),'Watershed plans'!P110,NA())</f>
        <v/>
      </c>
      <c r="B129" s="25">
        <f>IF(AND('Watershed plans'!C110=1,'Watershed plans'!T110&lt;&gt;1),'Watershed plans'!Q110,NA())</f>
        <v/>
      </c>
      <c r="C129" s="21">
        <f>IFERROR(INDEX('Watershed plans'!$P$12:$P$267,MATCH(99,$K$31:$K$286,0)),NA())</f>
        <v/>
      </c>
      <c r="D129" s="25">
        <f>IFERROR(INDEX('Watershed plans'!$Q$12:$Q$267,MATCH(99,$K$31:$K$286,0)),NA())</f>
        <v/>
      </c>
      <c r="E129" s="21">
        <f>IFERROR(INDEX('Watershed plans'!$P$12:$P$267,MATCH(99,'Watershed plans'!$Y$12:$Y$267,0)),NA())</f>
        <v/>
      </c>
      <c r="F129" s="25">
        <f>IFERROR(INDEX('Watershed plans'!$Q$12:$Q$267,MATCH(99,'Watershed plans'!$Y$12:$Y$267,0)),NA())</f>
        <v/>
      </c>
      <c r="G129" s="21">
        <f>E56</f>
        <v/>
      </c>
      <c r="H129" s="25">
        <f>H128</f>
        <v/>
      </c>
      <c r="K129" s="10">
        <f>IF('Watershed plans'!T110=1,1+SUMPRODUCT('Watershed plans'!$T$12:$T$267*(('Watershed plans'!$M$12:$M$267&lt;'Watershed plans'!M110)+('Watershed plans'!$M$12:$M$267='Watershed plans'!M110)*('Watershed plans'!$A$12:$A$267&lt;'Watershed plans'!A110))),0)</f>
        <v/>
      </c>
    </row>
    <row r="130">
      <c r="A130" s="21">
        <f>IF(AND('Watershed plans'!C111=1,'Watershed plans'!T111&lt;&gt;1),'Watershed plans'!P111,NA())</f>
        <v/>
      </c>
      <c r="B130" s="25">
        <f>IF(AND('Watershed plans'!C111=1,'Watershed plans'!T111&lt;&gt;1),'Watershed plans'!Q111,NA())</f>
        <v/>
      </c>
      <c r="C130" s="21">
        <f>IFERROR(INDEX('Watershed plans'!$P$12:$P$267,MATCH(100,$K$31:$K$286,0)),NA())</f>
        <v/>
      </c>
      <c r="D130" s="25">
        <f>IFERROR(INDEX('Watershed plans'!$Q$12:$Q$267,MATCH(100,$K$31:$K$286,0)),NA())</f>
        <v/>
      </c>
      <c r="E130" s="21">
        <f>IFERROR(INDEX('Watershed plans'!$P$12:$P$267,MATCH(100,'Watershed plans'!$Y$12:$Y$267,0)),NA())</f>
        <v/>
      </c>
      <c r="F130" s="25">
        <f>IFERROR(INDEX('Watershed plans'!$Q$12:$Q$267,MATCH(100,'Watershed plans'!$Y$12:$Y$267,0)),NA())</f>
        <v/>
      </c>
      <c r="G130" s="21">
        <f>E56</f>
        <v/>
      </c>
      <c r="H130" s="25">
        <f>IF(ISNUMBER(H128),0,NA())</f>
        <v/>
      </c>
      <c r="K130" s="10">
        <f>IF('Watershed plans'!T111=1,1+SUMPRODUCT('Watershed plans'!$T$12:$T$267*(('Watershed plans'!$M$12:$M$267&lt;'Watershed plans'!M111)+('Watershed plans'!$M$12:$M$267='Watershed plans'!M111)*('Watershed plans'!$A$12:$A$267&lt;'Watershed plans'!A111))),0)</f>
        <v/>
      </c>
    </row>
    <row r="131">
      <c r="A131" s="21">
        <f>IF(AND('Watershed plans'!C112=1,'Watershed plans'!T112&lt;&gt;1),'Watershed plans'!P112,NA())</f>
        <v/>
      </c>
      <c r="B131" s="25">
        <f>IF(AND('Watershed plans'!C112=1,'Watershed plans'!T112&lt;&gt;1),'Watershed plans'!Q112,NA())</f>
        <v/>
      </c>
      <c r="C131" s="21">
        <f>IFERROR(INDEX('Watershed plans'!$P$12:$P$267,MATCH(101,$K$31:$K$286,0)),NA())</f>
        <v/>
      </c>
      <c r="D131" s="25">
        <f>IFERROR(INDEX('Watershed plans'!$Q$12:$Q$267,MATCH(101,$K$31:$K$286,0)),NA())</f>
        <v/>
      </c>
      <c r="E131" s="21">
        <f>IFERROR(INDEX('Watershed plans'!$P$12:$P$267,MATCH(101,'Watershed plans'!$Y$12:$Y$267,0)),NA())</f>
        <v/>
      </c>
      <c r="F131" s="25">
        <f>IFERROR(INDEX('Watershed plans'!$Q$12:$Q$267,MATCH(101,'Watershed plans'!$Y$12:$Y$267,0)),NA())</f>
        <v/>
      </c>
      <c r="G131" s="21">
        <f>E56</f>
        <v/>
      </c>
      <c r="H131" s="25">
        <f>IF(ISNUMBER(H132),0,NA())</f>
        <v/>
      </c>
      <c r="K131" s="10">
        <f>IF('Watershed plans'!T112=1,1+SUMPRODUCT('Watershed plans'!$T$12:$T$267*(('Watershed plans'!$M$12:$M$267&lt;'Watershed plans'!M112)+('Watershed plans'!$M$12:$M$267='Watershed plans'!M112)*('Watershed plans'!$A$12:$A$267&lt;'Watershed plans'!A112))),0)</f>
        <v/>
      </c>
    </row>
    <row r="132">
      <c r="A132" s="21">
        <f>IF(AND('Watershed plans'!C113=1,'Watershed plans'!T113&lt;&gt;1),'Watershed plans'!P113,NA())</f>
        <v/>
      </c>
      <c r="B132" s="25">
        <f>IF(AND('Watershed plans'!C113=1,'Watershed plans'!T113&lt;&gt;1),'Watershed plans'!Q113,NA())</f>
        <v/>
      </c>
      <c r="C132" s="21">
        <f>IFERROR(INDEX('Watershed plans'!$P$12:$P$267,MATCH(102,$K$31:$K$286,0)),NA())</f>
        <v/>
      </c>
      <c r="D132" s="25">
        <f>IFERROR(INDEX('Watershed plans'!$Q$12:$Q$267,MATCH(102,$K$31:$K$286,0)),NA())</f>
        <v/>
      </c>
      <c r="E132" s="21">
        <f>IFERROR(INDEX('Watershed plans'!$P$12:$P$267,MATCH(102,'Watershed plans'!$Y$12:$Y$267,0)),NA())</f>
        <v/>
      </c>
      <c r="F132" s="25">
        <f>IFERROR(INDEX('Watershed plans'!$Q$12:$Q$267,MATCH(102,'Watershed plans'!$Y$12:$Y$267,0)),NA())</f>
        <v/>
      </c>
      <c r="G132" s="21">
        <f>E56</f>
        <v/>
      </c>
      <c r="H132" s="25">
        <f>IFERROR(INDEX('Watershed plans'!$AD$12:$AD$267,MATCH(27,'Watershed plans'!$Y$12:$Y$267,0)),NA())</f>
        <v/>
      </c>
      <c r="K132" s="10">
        <f>IF('Watershed plans'!T113=1,1+SUMPRODUCT('Watershed plans'!$T$12:$T$267*(('Watershed plans'!$M$12:$M$267&lt;'Watershed plans'!M113)+('Watershed plans'!$M$12:$M$267='Watershed plans'!M113)*('Watershed plans'!$A$12:$A$267&lt;'Watershed plans'!A113))),0)</f>
        <v/>
      </c>
    </row>
    <row r="133">
      <c r="A133" s="21">
        <f>IF(AND('Watershed plans'!C114=1,'Watershed plans'!T114&lt;&gt;1),'Watershed plans'!P114,NA())</f>
        <v/>
      </c>
      <c r="B133" s="25">
        <f>IF(AND('Watershed plans'!C114=1,'Watershed plans'!T114&lt;&gt;1),'Watershed plans'!Q114,NA())</f>
        <v/>
      </c>
      <c r="C133" s="21">
        <f>IFERROR(INDEX('Watershed plans'!$P$12:$P$267,MATCH(103,$K$31:$K$286,0)),NA())</f>
        <v/>
      </c>
      <c r="D133" s="25">
        <f>IFERROR(INDEX('Watershed plans'!$Q$12:$Q$267,MATCH(103,$K$31:$K$286,0)),NA())</f>
        <v/>
      </c>
      <c r="E133" s="21">
        <f>IFERROR(INDEX('Watershed plans'!$P$12:$P$267,MATCH(103,'Watershed plans'!$Y$12:$Y$267,0)),NA())</f>
        <v/>
      </c>
      <c r="F133" s="25">
        <f>IFERROR(INDEX('Watershed plans'!$Q$12:$Q$267,MATCH(103,'Watershed plans'!$Y$12:$Y$267,0)),NA())</f>
        <v/>
      </c>
      <c r="G133" s="21">
        <f>E57</f>
        <v/>
      </c>
      <c r="H133" s="25">
        <f>H132</f>
        <v/>
      </c>
      <c r="K133" s="10">
        <f>IF('Watershed plans'!T114=1,1+SUMPRODUCT('Watershed plans'!$T$12:$T$267*(('Watershed plans'!$M$12:$M$267&lt;'Watershed plans'!M114)+('Watershed plans'!$M$12:$M$267='Watershed plans'!M114)*('Watershed plans'!$A$12:$A$267&lt;'Watershed plans'!A114))),0)</f>
        <v/>
      </c>
    </row>
    <row r="134">
      <c r="A134" s="21">
        <f>IF(AND('Watershed plans'!C115=1,'Watershed plans'!T115&lt;&gt;1),'Watershed plans'!P115,NA())</f>
        <v/>
      </c>
      <c r="B134" s="25">
        <f>IF(AND('Watershed plans'!C115=1,'Watershed plans'!T115&lt;&gt;1),'Watershed plans'!Q115,NA())</f>
        <v/>
      </c>
      <c r="C134" s="21">
        <f>IFERROR(INDEX('Watershed plans'!$P$12:$P$267,MATCH(104,$K$31:$K$286,0)),NA())</f>
        <v/>
      </c>
      <c r="D134" s="25">
        <f>IFERROR(INDEX('Watershed plans'!$Q$12:$Q$267,MATCH(104,$K$31:$K$286,0)),NA())</f>
        <v/>
      </c>
      <c r="E134" s="21">
        <f>IFERROR(INDEX('Watershed plans'!$P$12:$P$267,MATCH(104,'Watershed plans'!$Y$12:$Y$267,0)),NA())</f>
        <v/>
      </c>
      <c r="F134" s="25">
        <f>IFERROR(INDEX('Watershed plans'!$Q$12:$Q$267,MATCH(104,'Watershed plans'!$Y$12:$Y$267,0)),NA())</f>
        <v/>
      </c>
      <c r="G134" s="21">
        <f>E57</f>
        <v/>
      </c>
      <c r="H134" s="25">
        <f>IF(ISNUMBER(H132),0,NA())</f>
        <v/>
      </c>
      <c r="K134" s="10">
        <f>IF('Watershed plans'!T115=1,1+SUMPRODUCT('Watershed plans'!$T$12:$T$267*(('Watershed plans'!$M$12:$M$267&lt;'Watershed plans'!M115)+('Watershed plans'!$M$12:$M$267='Watershed plans'!M115)*('Watershed plans'!$A$12:$A$267&lt;'Watershed plans'!A115))),0)</f>
        <v/>
      </c>
    </row>
    <row r="135">
      <c r="A135" s="21">
        <f>IF(AND('Watershed plans'!C116=1,'Watershed plans'!T116&lt;&gt;1),'Watershed plans'!P116,NA())</f>
        <v/>
      </c>
      <c r="B135" s="25">
        <f>IF(AND('Watershed plans'!C116=1,'Watershed plans'!T116&lt;&gt;1),'Watershed plans'!Q116,NA())</f>
        <v/>
      </c>
      <c r="C135" s="21">
        <f>IFERROR(INDEX('Watershed plans'!$P$12:$P$267,MATCH(105,$K$31:$K$286,0)),NA())</f>
        <v/>
      </c>
      <c r="D135" s="25">
        <f>IFERROR(INDEX('Watershed plans'!$Q$12:$Q$267,MATCH(105,$K$31:$K$286,0)),NA())</f>
        <v/>
      </c>
      <c r="E135" s="21">
        <f>IFERROR(INDEX('Watershed plans'!$P$12:$P$267,MATCH(105,'Watershed plans'!$Y$12:$Y$267,0)),NA())</f>
        <v/>
      </c>
      <c r="F135" s="25">
        <f>IFERROR(INDEX('Watershed plans'!$Q$12:$Q$267,MATCH(105,'Watershed plans'!$Y$12:$Y$267,0)),NA())</f>
        <v/>
      </c>
      <c r="G135" s="21">
        <f>E57</f>
        <v/>
      </c>
      <c r="H135" s="25">
        <f>IF(ISNUMBER(H136),0,NA())</f>
        <v/>
      </c>
      <c r="K135" s="10">
        <f>IF('Watershed plans'!T116=1,1+SUMPRODUCT('Watershed plans'!$T$12:$T$267*(('Watershed plans'!$M$12:$M$267&lt;'Watershed plans'!M116)+('Watershed plans'!$M$12:$M$267='Watershed plans'!M116)*('Watershed plans'!$A$12:$A$267&lt;'Watershed plans'!A116))),0)</f>
        <v/>
      </c>
    </row>
    <row r="136">
      <c r="A136" s="21">
        <f>IF(AND('Watershed plans'!C117=1,'Watershed plans'!T117&lt;&gt;1),'Watershed plans'!P117,NA())</f>
        <v/>
      </c>
      <c r="B136" s="25">
        <f>IF(AND('Watershed plans'!C117=1,'Watershed plans'!T117&lt;&gt;1),'Watershed plans'!Q117,NA())</f>
        <v/>
      </c>
      <c r="C136" s="21">
        <f>IFERROR(INDEX('Watershed plans'!$P$12:$P$267,MATCH(106,$K$31:$K$286,0)),NA())</f>
        <v/>
      </c>
      <c r="D136" s="25">
        <f>IFERROR(INDEX('Watershed plans'!$Q$12:$Q$267,MATCH(106,$K$31:$K$286,0)),NA())</f>
        <v/>
      </c>
      <c r="E136" s="21">
        <f>IFERROR(INDEX('Watershed plans'!$P$12:$P$267,MATCH(106,'Watershed plans'!$Y$12:$Y$267,0)),NA())</f>
        <v/>
      </c>
      <c r="F136" s="25">
        <f>IFERROR(INDEX('Watershed plans'!$Q$12:$Q$267,MATCH(106,'Watershed plans'!$Y$12:$Y$267,0)),NA())</f>
        <v/>
      </c>
      <c r="G136" s="21">
        <f>E57</f>
        <v/>
      </c>
      <c r="H136" s="25">
        <f>IFERROR(INDEX('Watershed plans'!$AD$12:$AD$267,MATCH(28,'Watershed plans'!$Y$12:$Y$267,0)),NA())</f>
        <v/>
      </c>
      <c r="K136" s="10">
        <f>IF('Watershed plans'!T117=1,1+SUMPRODUCT('Watershed plans'!$T$12:$T$267*(('Watershed plans'!$M$12:$M$267&lt;'Watershed plans'!M117)+('Watershed plans'!$M$12:$M$267='Watershed plans'!M117)*('Watershed plans'!$A$12:$A$267&lt;'Watershed plans'!A117))),0)</f>
        <v/>
      </c>
    </row>
    <row r="137">
      <c r="A137" s="21">
        <f>IF(AND('Watershed plans'!C118=1,'Watershed plans'!T118&lt;&gt;1),'Watershed plans'!P118,NA())</f>
        <v/>
      </c>
      <c r="B137" s="25">
        <f>IF(AND('Watershed plans'!C118=1,'Watershed plans'!T118&lt;&gt;1),'Watershed plans'!Q118,NA())</f>
        <v/>
      </c>
      <c r="C137" s="21">
        <f>IFERROR(INDEX('Watershed plans'!$P$12:$P$267,MATCH(107,$K$31:$K$286,0)),NA())</f>
        <v/>
      </c>
      <c r="D137" s="25">
        <f>IFERROR(INDEX('Watershed plans'!$Q$12:$Q$267,MATCH(107,$K$31:$K$286,0)),NA())</f>
        <v/>
      </c>
      <c r="E137" s="21">
        <f>IFERROR(INDEX('Watershed plans'!$P$12:$P$267,MATCH(107,'Watershed plans'!$Y$12:$Y$267,0)),NA())</f>
        <v/>
      </c>
      <c r="F137" s="25">
        <f>IFERROR(INDEX('Watershed plans'!$Q$12:$Q$267,MATCH(107,'Watershed plans'!$Y$12:$Y$267,0)),NA())</f>
        <v/>
      </c>
      <c r="G137" s="21">
        <f>E58</f>
        <v/>
      </c>
      <c r="H137" s="25">
        <f>H136</f>
        <v/>
      </c>
      <c r="K137" s="10">
        <f>IF('Watershed plans'!T118=1,1+SUMPRODUCT('Watershed plans'!$T$12:$T$267*(('Watershed plans'!$M$12:$M$267&lt;'Watershed plans'!M118)+('Watershed plans'!$M$12:$M$267='Watershed plans'!M118)*('Watershed plans'!$A$12:$A$267&lt;'Watershed plans'!A118))),0)</f>
        <v/>
      </c>
    </row>
    <row r="138">
      <c r="A138" s="21">
        <f>IF(AND('Watershed plans'!C119=1,'Watershed plans'!T119&lt;&gt;1),'Watershed plans'!P119,NA())</f>
        <v/>
      </c>
      <c r="B138" s="25">
        <f>IF(AND('Watershed plans'!C119=1,'Watershed plans'!T119&lt;&gt;1),'Watershed plans'!Q119,NA())</f>
        <v/>
      </c>
      <c r="C138" s="21">
        <f>IFERROR(INDEX('Watershed plans'!$P$12:$P$267,MATCH(108,$K$31:$K$286,0)),NA())</f>
        <v/>
      </c>
      <c r="D138" s="25">
        <f>IFERROR(INDEX('Watershed plans'!$Q$12:$Q$267,MATCH(108,$K$31:$K$286,0)),NA())</f>
        <v/>
      </c>
      <c r="E138" s="21">
        <f>IFERROR(INDEX('Watershed plans'!$P$12:$P$267,MATCH(108,'Watershed plans'!$Y$12:$Y$267,0)),NA())</f>
        <v/>
      </c>
      <c r="F138" s="25">
        <f>IFERROR(INDEX('Watershed plans'!$Q$12:$Q$267,MATCH(108,'Watershed plans'!$Y$12:$Y$267,0)),NA())</f>
        <v/>
      </c>
      <c r="G138" s="21">
        <f>E58</f>
        <v/>
      </c>
      <c r="H138" s="25">
        <f>IF(ISNUMBER(H136),0,NA())</f>
        <v/>
      </c>
      <c r="K138" s="10">
        <f>IF('Watershed plans'!T119=1,1+SUMPRODUCT('Watershed plans'!$T$12:$T$267*(('Watershed plans'!$M$12:$M$267&lt;'Watershed plans'!M119)+('Watershed plans'!$M$12:$M$267='Watershed plans'!M119)*('Watershed plans'!$A$12:$A$267&lt;'Watershed plans'!A119))),0)</f>
        <v/>
      </c>
    </row>
    <row r="139">
      <c r="A139" s="21">
        <f>IF(AND('Watershed plans'!C120=1,'Watershed plans'!T120&lt;&gt;1),'Watershed plans'!P120,NA())</f>
        <v/>
      </c>
      <c r="B139" s="25">
        <f>IF(AND('Watershed plans'!C120=1,'Watershed plans'!T120&lt;&gt;1),'Watershed plans'!Q120,NA())</f>
        <v/>
      </c>
      <c r="C139" s="21">
        <f>IFERROR(INDEX('Watershed plans'!$P$12:$P$267,MATCH(109,$K$31:$K$286,0)),NA())</f>
        <v/>
      </c>
      <c r="D139" s="25">
        <f>IFERROR(INDEX('Watershed plans'!$Q$12:$Q$267,MATCH(109,$K$31:$K$286,0)),NA())</f>
        <v/>
      </c>
      <c r="E139" s="21">
        <f>IFERROR(INDEX('Watershed plans'!$P$12:$P$267,MATCH(109,'Watershed plans'!$Y$12:$Y$267,0)),NA())</f>
        <v/>
      </c>
      <c r="F139" s="25">
        <f>IFERROR(INDEX('Watershed plans'!$Q$12:$Q$267,MATCH(109,'Watershed plans'!$Y$12:$Y$267,0)),NA())</f>
        <v/>
      </c>
      <c r="G139" s="21">
        <f>E58</f>
        <v/>
      </c>
      <c r="H139" s="25">
        <f>IF(ISNUMBER(H140),0,NA())</f>
        <v/>
      </c>
      <c r="K139" s="10">
        <f>IF('Watershed plans'!T120=1,1+SUMPRODUCT('Watershed plans'!$T$12:$T$267*(('Watershed plans'!$M$12:$M$267&lt;'Watershed plans'!M120)+('Watershed plans'!$M$12:$M$267='Watershed plans'!M120)*('Watershed plans'!$A$12:$A$267&lt;'Watershed plans'!A120))),0)</f>
        <v/>
      </c>
    </row>
    <row r="140">
      <c r="A140" s="21">
        <f>IF(AND('Watershed plans'!C121=1,'Watershed plans'!T121&lt;&gt;1),'Watershed plans'!P121,NA())</f>
        <v/>
      </c>
      <c r="B140" s="25">
        <f>IF(AND('Watershed plans'!C121=1,'Watershed plans'!T121&lt;&gt;1),'Watershed plans'!Q121,NA())</f>
        <v/>
      </c>
      <c r="C140" s="21">
        <f>IFERROR(INDEX('Watershed plans'!$P$12:$P$267,MATCH(110,$K$31:$K$286,0)),NA())</f>
        <v/>
      </c>
      <c r="D140" s="25">
        <f>IFERROR(INDEX('Watershed plans'!$Q$12:$Q$267,MATCH(110,$K$31:$K$286,0)),NA())</f>
        <v/>
      </c>
      <c r="E140" s="21">
        <f>IFERROR(INDEX('Watershed plans'!$P$12:$P$267,MATCH(110,'Watershed plans'!$Y$12:$Y$267,0)),NA())</f>
        <v/>
      </c>
      <c r="F140" s="25">
        <f>IFERROR(INDEX('Watershed plans'!$Q$12:$Q$267,MATCH(110,'Watershed plans'!$Y$12:$Y$267,0)),NA())</f>
        <v/>
      </c>
      <c r="G140" s="21">
        <f>E58</f>
        <v/>
      </c>
      <c r="H140" s="25">
        <f>IFERROR(INDEX('Watershed plans'!$AD$12:$AD$267,MATCH(29,'Watershed plans'!$Y$12:$Y$267,0)),NA())</f>
        <v/>
      </c>
      <c r="K140" s="10">
        <f>IF('Watershed plans'!T121=1,1+SUMPRODUCT('Watershed plans'!$T$12:$T$267*(('Watershed plans'!$M$12:$M$267&lt;'Watershed plans'!M121)+('Watershed plans'!$M$12:$M$267='Watershed plans'!M121)*('Watershed plans'!$A$12:$A$267&lt;'Watershed plans'!A121))),0)</f>
        <v/>
      </c>
    </row>
    <row r="141">
      <c r="A141" s="21">
        <f>IF(AND('Watershed plans'!C122=1,'Watershed plans'!T122&lt;&gt;1),'Watershed plans'!P122,NA())</f>
        <v/>
      </c>
      <c r="B141" s="25">
        <f>IF(AND('Watershed plans'!C122=1,'Watershed plans'!T122&lt;&gt;1),'Watershed plans'!Q122,NA())</f>
        <v/>
      </c>
      <c r="C141" s="21">
        <f>IFERROR(INDEX('Watershed plans'!$P$12:$P$267,MATCH(111,$K$31:$K$286,0)),NA())</f>
        <v/>
      </c>
      <c r="D141" s="25">
        <f>IFERROR(INDEX('Watershed plans'!$Q$12:$Q$267,MATCH(111,$K$31:$K$286,0)),NA())</f>
        <v/>
      </c>
      <c r="E141" s="21">
        <f>IFERROR(INDEX('Watershed plans'!$P$12:$P$267,MATCH(111,'Watershed plans'!$Y$12:$Y$267,0)),NA())</f>
        <v/>
      </c>
      <c r="F141" s="25">
        <f>IFERROR(INDEX('Watershed plans'!$Q$12:$Q$267,MATCH(111,'Watershed plans'!$Y$12:$Y$267,0)),NA())</f>
        <v/>
      </c>
      <c r="G141" s="21">
        <f>E59</f>
        <v/>
      </c>
      <c r="H141" s="25">
        <f>H140</f>
        <v/>
      </c>
      <c r="K141" s="10">
        <f>IF('Watershed plans'!T122=1,1+SUMPRODUCT('Watershed plans'!$T$12:$T$267*(('Watershed plans'!$M$12:$M$267&lt;'Watershed plans'!M122)+('Watershed plans'!$M$12:$M$267='Watershed plans'!M122)*('Watershed plans'!$A$12:$A$267&lt;'Watershed plans'!A122))),0)</f>
        <v/>
      </c>
    </row>
    <row r="142">
      <c r="A142" s="21">
        <f>IF(AND('Watershed plans'!C123=1,'Watershed plans'!T123&lt;&gt;1),'Watershed plans'!P123,NA())</f>
        <v/>
      </c>
      <c r="B142" s="25">
        <f>IF(AND('Watershed plans'!C123=1,'Watershed plans'!T123&lt;&gt;1),'Watershed plans'!Q123,NA())</f>
        <v/>
      </c>
      <c r="C142" s="21">
        <f>IFERROR(INDEX('Watershed plans'!$P$12:$P$267,MATCH(112,$K$31:$K$286,0)),NA())</f>
        <v/>
      </c>
      <c r="D142" s="25">
        <f>IFERROR(INDEX('Watershed plans'!$Q$12:$Q$267,MATCH(112,$K$31:$K$286,0)),NA())</f>
        <v/>
      </c>
      <c r="E142" s="21">
        <f>IFERROR(INDEX('Watershed plans'!$P$12:$P$267,MATCH(112,'Watershed plans'!$Y$12:$Y$267,0)),NA())</f>
        <v/>
      </c>
      <c r="F142" s="25">
        <f>IFERROR(INDEX('Watershed plans'!$Q$12:$Q$267,MATCH(112,'Watershed plans'!$Y$12:$Y$267,0)),NA())</f>
        <v/>
      </c>
      <c r="G142" s="21">
        <f>E59</f>
        <v/>
      </c>
      <c r="H142" s="25">
        <f>IF(ISNUMBER(H140),0,NA())</f>
        <v/>
      </c>
      <c r="K142" s="10">
        <f>IF('Watershed plans'!T123=1,1+SUMPRODUCT('Watershed plans'!$T$12:$T$267*(('Watershed plans'!$M$12:$M$267&lt;'Watershed plans'!M123)+('Watershed plans'!$M$12:$M$267='Watershed plans'!M123)*('Watershed plans'!$A$12:$A$267&lt;'Watershed plans'!A123))),0)</f>
        <v/>
      </c>
    </row>
    <row r="143">
      <c r="A143" s="21">
        <f>IF(AND('Watershed plans'!C124=1,'Watershed plans'!T124&lt;&gt;1),'Watershed plans'!P124,NA())</f>
        <v/>
      </c>
      <c r="B143" s="25">
        <f>IF(AND('Watershed plans'!C124=1,'Watershed plans'!T124&lt;&gt;1),'Watershed plans'!Q124,NA())</f>
        <v/>
      </c>
      <c r="C143" s="21">
        <f>IFERROR(INDEX('Watershed plans'!$P$12:$P$267,MATCH(113,$K$31:$K$286,0)),NA())</f>
        <v/>
      </c>
      <c r="D143" s="25">
        <f>IFERROR(INDEX('Watershed plans'!$Q$12:$Q$267,MATCH(113,$K$31:$K$286,0)),NA())</f>
        <v/>
      </c>
      <c r="E143" s="21">
        <f>IFERROR(INDEX('Watershed plans'!$P$12:$P$267,MATCH(113,'Watershed plans'!$Y$12:$Y$267,0)),NA())</f>
        <v/>
      </c>
      <c r="F143" s="25">
        <f>IFERROR(INDEX('Watershed plans'!$Q$12:$Q$267,MATCH(113,'Watershed plans'!$Y$12:$Y$267,0)),NA())</f>
        <v/>
      </c>
      <c r="G143" s="21">
        <f>E59</f>
        <v/>
      </c>
      <c r="H143" s="25">
        <f>IF(ISNUMBER(H144),0,NA())</f>
        <v/>
      </c>
      <c r="K143" s="10">
        <f>IF('Watershed plans'!T124=1,1+SUMPRODUCT('Watershed plans'!$T$12:$T$267*(('Watershed plans'!$M$12:$M$267&lt;'Watershed plans'!M124)+('Watershed plans'!$M$12:$M$267='Watershed plans'!M124)*('Watershed plans'!$A$12:$A$267&lt;'Watershed plans'!A124))),0)</f>
        <v/>
      </c>
    </row>
    <row r="144">
      <c r="A144" s="21">
        <f>IF(AND('Watershed plans'!C125=1,'Watershed plans'!T125&lt;&gt;1),'Watershed plans'!P125,NA())</f>
        <v/>
      </c>
      <c r="B144" s="25">
        <f>IF(AND('Watershed plans'!C125=1,'Watershed plans'!T125&lt;&gt;1),'Watershed plans'!Q125,NA())</f>
        <v/>
      </c>
      <c r="C144" s="21">
        <f>IFERROR(INDEX('Watershed plans'!$P$12:$P$267,MATCH(114,$K$31:$K$286,0)),NA())</f>
        <v/>
      </c>
      <c r="D144" s="25">
        <f>IFERROR(INDEX('Watershed plans'!$Q$12:$Q$267,MATCH(114,$K$31:$K$286,0)),NA())</f>
        <v/>
      </c>
      <c r="E144" s="21">
        <f>IFERROR(INDEX('Watershed plans'!$P$12:$P$267,MATCH(114,'Watershed plans'!$Y$12:$Y$267,0)),NA())</f>
        <v/>
      </c>
      <c r="F144" s="25">
        <f>IFERROR(INDEX('Watershed plans'!$Q$12:$Q$267,MATCH(114,'Watershed plans'!$Y$12:$Y$267,0)),NA())</f>
        <v/>
      </c>
      <c r="G144" s="21">
        <f>E59</f>
        <v/>
      </c>
      <c r="H144" s="25">
        <f>IFERROR(INDEX('Watershed plans'!$AD$12:$AD$267,MATCH(30,'Watershed plans'!$Y$12:$Y$267,0)),NA())</f>
        <v/>
      </c>
      <c r="K144" s="10">
        <f>IF('Watershed plans'!T125=1,1+SUMPRODUCT('Watershed plans'!$T$12:$T$267*(('Watershed plans'!$M$12:$M$267&lt;'Watershed plans'!M125)+('Watershed plans'!$M$12:$M$267='Watershed plans'!M125)*('Watershed plans'!$A$12:$A$267&lt;'Watershed plans'!A125))),0)</f>
        <v/>
      </c>
    </row>
    <row r="145">
      <c r="A145" s="21">
        <f>IF(AND('Watershed plans'!C126=1,'Watershed plans'!T126&lt;&gt;1),'Watershed plans'!P126,NA())</f>
        <v/>
      </c>
      <c r="B145" s="25">
        <f>IF(AND('Watershed plans'!C126=1,'Watershed plans'!T126&lt;&gt;1),'Watershed plans'!Q126,NA())</f>
        <v/>
      </c>
      <c r="C145" s="21">
        <f>IFERROR(INDEX('Watershed plans'!$P$12:$P$267,MATCH(115,$K$31:$K$286,0)),NA())</f>
        <v/>
      </c>
      <c r="D145" s="25">
        <f>IFERROR(INDEX('Watershed plans'!$Q$12:$Q$267,MATCH(115,$K$31:$K$286,0)),NA())</f>
        <v/>
      </c>
      <c r="E145" s="21">
        <f>IFERROR(INDEX('Watershed plans'!$P$12:$P$267,MATCH(115,'Watershed plans'!$Y$12:$Y$267,0)),NA())</f>
        <v/>
      </c>
      <c r="F145" s="25">
        <f>IFERROR(INDEX('Watershed plans'!$Q$12:$Q$267,MATCH(115,'Watershed plans'!$Y$12:$Y$267,0)),NA())</f>
        <v/>
      </c>
      <c r="G145" s="21">
        <f>E60</f>
        <v/>
      </c>
      <c r="H145" s="25">
        <f>H144</f>
        <v/>
      </c>
      <c r="K145" s="10">
        <f>IF('Watershed plans'!T126=1,1+SUMPRODUCT('Watershed plans'!$T$12:$T$267*(('Watershed plans'!$M$12:$M$267&lt;'Watershed plans'!M126)+('Watershed plans'!$M$12:$M$267='Watershed plans'!M126)*('Watershed plans'!$A$12:$A$267&lt;'Watershed plans'!A126))),0)</f>
        <v/>
      </c>
    </row>
    <row r="146">
      <c r="A146" s="21">
        <f>IF(AND('Watershed plans'!C127=1,'Watershed plans'!T127&lt;&gt;1),'Watershed plans'!P127,NA())</f>
        <v/>
      </c>
      <c r="B146" s="25">
        <f>IF(AND('Watershed plans'!C127=1,'Watershed plans'!T127&lt;&gt;1),'Watershed plans'!Q127,NA())</f>
        <v/>
      </c>
      <c r="C146" s="21">
        <f>IFERROR(INDEX('Watershed plans'!$P$12:$P$267,MATCH(116,$K$31:$K$286,0)),NA())</f>
        <v/>
      </c>
      <c r="D146" s="25">
        <f>IFERROR(INDEX('Watershed plans'!$Q$12:$Q$267,MATCH(116,$K$31:$K$286,0)),NA())</f>
        <v/>
      </c>
      <c r="E146" s="21">
        <f>IFERROR(INDEX('Watershed plans'!$P$12:$P$267,MATCH(116,'Watershed plans'!$Y$12:$Y$267,0)),NA())</f>
        <v/>
      </c>
      <c r="F146" s="25">
        <f>IFERROR(INDEX('Watershed plans'!$Q$12:$Q$267,MATCH(116,'Watershed plans'!$Y$12:$Y$267,0)),NA())</f>
        <v/>
      </c>
      <c r="G146" s="21">
        <f>E60</f>
        <v/>
      </c>
      <c r="H146" s="25">
        <f>IF(ISNUMBER(H144),0,NA())</f>
        <v/>
      </c>
      <c r="K146" s="10">
        <f>IF('Watershed plans'!T127=1,1+SUMPRODUCT('Watershed plans'!$T$12:$T$267*(('Watershed plans'!$M$12:$M$267&lt;'Watershed plans'!M127)+('Watershed plans'!$M$12:$M$267='Watershed plans'!M127)*('Watershed plans'!$A$12:$A$267&lt;'Watershed plans'!A127))),0)</f>
        <v/>
      </c>
    </row>
    <row r="147">
      <c r="A147" s="21">
        <f>IF(AND('Watershed plans'!C128=1,'Watershed plans'!T128&lt;&gt;1),'Watershed plans'!P128,NA())</f>
        <v/>
      </c>
      <c r="B147" s="25">
        <f>IF(AND('Watershed plans'!C128=1,'Watershed plans'!T128&lt;&gt;1),'Watershed plans'!Q128,NA())</f>
        <v/>
      </c>
      <c r="C147" s="21">
        <f>IFERROR(INDEX('Watershed plans'!$P$12:$P$267,MATCH(117,$K$31:$K$286,0)),NA())</f>
        <v/>
      </c>
      <c r="D147" s="25">
        <f>IFERROR(INDEX('Watershed plans'!$Q$12:$Q$267,MATCH(117,$K$31:$K$286,0)),NA())</f>
        <v/>
      </c>
      <c r="E147" s="21">
        <f>IFERROR(INDEX('Watershed plans'!$P$12:$P$267,MATCH(117,'Watershed plans'!$Y$12:$Y$267,0)),NA())</f>
        <v/>
      </c>
      <c r="F147" s="25">
        <f>IFERROR(INDEX('Watershed plans'!$Q$12:$Q$267,MATCH(117,'Watershed plans'!$Y$12:$Y$267,0)),NA())</f>
        <v/>
      </c>
      <c r="G147" s="21">
        <f>E60</f>
        <v/>
      </c>
      <c r="H147" s="25">
        <f>IF(ISNUMBER(H148),0,NA())</f>
        <v/>
      </c>
      <c r="K147" s="10">
        <f>IF('Watershed plans'!T128=1,1+SUMPRODUCT('Watershed plans'!$T$12:$T$267*(('Watershed plans'!$M$12:$M$267&lt;'Watershed plans'!M128)+('Watershed plans'!$M$12:$M$267='Watershed plans'!M128)*('Watershed plans'!$A$12:$A$267&lt;'Watershed plans'!A128))),0)</f>
        <v/>
      </c>
    </row>
    <row r="148">
      <c r="A148" s="21">
        <f>IF(AND('Watershed plans'!C129=1,'Watershed plans'!T129&lt;&gt;1),'Watershed plans'!P129,NA())</f>
        <v/>
      </c>
      <c r="B148" s="25">
        <f>IF(AND('Watershed plans'!C129=1,'Watershed plans'!T129&lt;&gt;1),'Watershed plans'!Q129,NA())</f>
        <v/>
      </c>
      <c r="C148" s="21">
        <f>IFERROR(INDEX('Watershed plans'!$P$12:$P$267,MATCH(118,$K$31:$K$286,0)),NA())</f>
        <v/>
      </c>
      <c r="D148" s="25">
        <f>IFERROR(INDEX('Watershed plans'!$Q$12:$Q$267,MATCH(118,$K$31:$K$286,0)),NA())</f>
        <v/>
      </c>
      <c r="E148" s="21">
        <f>IFERROR(INDEX('Watershed plans'!$P$12:$P$267,MATCH(118,'Watershed plans'!$Y$12:$Y$267,0)),NA())</f>
        <v/>
      </c>
      <c r="F148" s="25">
        <f>IFERROR(INDEX('Watershed plans'!$Q$12:$Q$267,MATCH(118,'Watershed plans'!$Y$12:$Y$267,0)),NA())</f>
        <v/>
      </c>
      <c r="G148" s="21">
        <f>E60</f>
        <v/>
      </c>
      <c r="H148" s="25">
        <f>IFERROR(INDEX('Watershed plans'!$AD$12:$AD$267,MATCH(31,'Watershed plans'!$Y$12:$Y$267,0)),NA())</f>
        <v/>
      </c>
      <c r="K148" s="10">
        <f>IF('Watershed plans'!T129=1,1+SUMPRODUCT('Watershed plans'!$T$12:$T$267*(('Watershed plans'!$M$12:$M$267&lt;'Watershed plans'!M129)+('Watershed plans'!$M$12:$M$267='Watershed plans'!M129)*('Watershed plans'!$A$12:$A$267&lt;'Watershed plans'!A129))),0)</f>
        <v/>
      </c>
    </row>
    <row r="149">
      <c r="A149" s="21">
        <f>IF(AND('Watershed plans'!C130=1,'Watershed plans'!T130&lt;&gt;1),'Watershed plans'!P130,NA())</f>
        <v/>
      </c>
      <c r="B149" s="25">
        <f>IF(AND('Watershed plans'!C130=1,'Watershed plans'!T130&lt;&gt;1),'Watershed plans'!Q130,NA())</f>
        <v/>
      </c>
      <c r="C149" s="21">
        <f>IFERROR(INDEX('Watershed plans'!$P$12:$P$267,MATCH(119,$K$31:$K$286,0)),NA())</f>
        <v/>
      </c>
      <c r="D149" s="25">
        <f>IFERROR(INDEX('Watershed plans'!$Q$12:$Q$267,MATCH(119,$K$31:$K$286,0)),NA())</f>
        <v/>
      </c>
      <c r="E149" s="21">
        <f>IFERROR(INDEX('Watershed plans'!$P$12:$P$267,MATCH(119,'Watershed plans'!$Y$12:$Y$267,0)),NA())</f>
        <v/>
      </c>
      <c r="F149" s="25">
        <f>IFERROR(INDEX('Watershed plans'!$Q$12:$Q$267,MATCH(119,'Watershed plans'!$Y$12:$Y$267,0)),NA())</f>
        <v/>
      </c>
      <c r="G149" s="21">
        <f>E61</f>
        <v/>
      </c>
      <c r="H149" s="25">
        <f>H148</f>
        <v/>
      </c>
      <c r="K149" s="10">
        <f>IF('Watershed plans'!T130=1,1+SUMPRODUCT('Watershed plans'!$T$12:$T$267*(('Watershed plans'!$M$12:$M$267&lt;'Watershed plans'!M130)+('Watershed plans'!$M$12:$M$267='Watershed plans'!M130)*('Watershed plans'!$A$12:$A$267&lt;'Watershed plans'!A130))),0)</f>
        <v/>
      </c>
    </row>
    <row r="150">
      <c r="A150" s="21">
        <f>IF(AND('Watershed plans'!C131=1,'Watershed plans'!T131&lt;&gt;1),'Watershed plans'!P131,NA())</f>
        <v/>
      </c>
      <c r="B150" s="25">
        <f>IF(AND('Watershed plans'!C131=1,'Watershed plans'!T131&lt;&gt;1),'Watershed plans'!Q131,NA())</f>
        <v/>
      </c>
      <c r="C150" s="21">
        <f>IFERROR(INDEX('Watershed plans'!$P$12:$P$267,MATCH(120,$K$31:$K$286,0)),NA())</f>
        <v/>
      </c>
      <c r="D150" s="25">
        <f>IFERROR(INDEX('Watershed plans'!$Q$12:$Q$267,MATCH(120,$K$31:$K$286,0)),NA())</f>
        <v/>
      </c>
      <c r="E150" s="21">
        <f>IFERROR(INDEX('Watershed plans'!$P$12:$P$267,MATCH(120,'Watershed plans'!$Y$12:$Y$267,0)),NA())</f>
        <v/>
      </c>
      <c r="F150" s="25">
        <f>IFERROR(INDEX('Watershed plans'!$Q$12:$Q$267,MATCH(120,'Watershed plans'!$Y$12:$Y$267,0)),NA())</f>
        <v/>
      </c>
      <c r="G150" s="21">
        <f>E61</f>
        <v/>
      </c>
      <c r="H150" s="25">
        <f>IF(ISNUMBER(H148),0,NA())</f>
        <v/>
      </c>
      <c r="K150" s="10">
        <f>IF('Watershed plans'!T131=1,1+SUMPRODUCT('Watershed plans'!$T$12:$T$267*(('Watershed plans'!$M$12:$M$267&lt;'Watershed plans'!M131)+('Watershed plans'!$M$12:$M$267='Watershed plans'!M131)*('Watershed plans'!$A$12:$A$267&lt;'Watershed plans'!A131))),0)</f>
        <v/>
      </c>
    </row>
    <row r="151">
      <c r="A151" s="21">
        <f>IF(AND('Watershed plans'!C132=1,'Watershed plans'!T132&lt;&gt;1),'Watershed plans'!P132,NA())</f>
        <v/>
      </c>
      <c r="B151" s="25">
        <f>IF(AND('Watershed plans'!C132=1,'Watershed plans'!T132&lt;&gt;1),'Watershed plans'!Q132,NA())</f>
        <v/>
      </c>
      <c r="C151" s="21">
        <f>IFERROR(INDEX('Watershed plans'!$P$12:$P$267,MATCH(121,$K$31:$K$286,0)),NA())</f>
        <v/>
      </c>
      <c r="D151" s="25">
        <f>IFERROR(INDEX('Watershed plans'!$Q$12:$Q$267,MATCH(121,$K$31:$K$286,0)),NA())</f>
        <v/>
      </c>
      <c r="E151" s="21">
        <f>IFERROR(INDEX('Watershed plans'!$P$12:$P$267,MATCH(121,'Watershed plans'!$Y$12:$Y$267,0)),NA())</f>
        <v/>
      </c>
      <c r="F151" s="25">
        <f>IFERROR(INDEX('Watershed plans'!$Q$12:$Q$267,MATCH(121,'Watershed plans'!$Y$12:$Y$267,0)),NA())</f>
        <v/>
      </c>
      <c r="G151" s="21">
        <f>E61</f>
        <v/>
      </c>
      <c r="H151" s="25">
        <f>IF(ISNUMBER(H152),0,NA())</f>
        <v/>
      </c>
      <c r="K151" s="10">
        <f>IF('Watershed plans'!T132=1,1+SUMPRODUCT('Watershed plans'!$T$12:$T$267*(('Watershed plans'!$M$12:$M$267&lt;'Watershed plans'!M132)+('Watershed plans'!$M$12:$M$267='Watershed plans'!M132)*('Watershed plans'!$A$12:$A$267&lt;'Watershed plans'!A132))),0)</f>
        <v/>
      </c>
    </row>
    <row r="152">
      <c r="A152" s="21">
        <f>IF(AND('Watershed plans'!C133=1,'Watershed plans'!T133&lt;&gt;1),'Watershed plans'!P133,NA())</f>
        <v/>
      </c>
      <c r="B152" s="25">
        <f>IF(AND('Watershed plans'!C133=1,'Watershed plans'!T133&lt;&gt;1),'Watershed plans'!Q133,NA())</f>
        <v/>
      </c>
      <c r="C152" s="21">
        <f>IFERROR(INDEX('Watershed plans'!$P$12:$P$267,MATCH(122,$K$31:$K$286,0)),NA())</f>
        <v/>
      </c>
      <c r="D152" s="25">
        <f>IFERROR(INDEX('Watershed plans'!$Q$12:$Q$267,MATCH(122,$K$31:$K$286,0)),NA())</f>
        <v/>
      </c>
      <c r="E152" s="21">
        <f>IFERROR(INDEX('Watershed plans'!$P$12:$P$267,MATCH(122,'Watershed plans'!$Y$12:$Y$267,0)),NA())</f>
        <v/>
      </c>
      <c r="F152" s="25">
        <f>IFERROR(INDEX('Watershed plans'!$Q$12:$Q$267,MATCH(122,'Watershed plans'!$Y$12:$Y$267,0)),NA())</f>
        <v/>
      </c>
      <c r="G152" s="21">
        <f>E61</f>
        <v/>
      </c>
      <c r="H152" s="25">
        <f>IFERROR(INDEX('Watershed plans'!$AD$12:$AD$267,MATCH(32,'Watershed plans'!$Y$12:$Y$267,0)),NA())</f>
        <v/>
      </c>
      <c r="K152" s="10">
        <f>IF('Watershed plans'!T133=1,1+SUMPRODUCT('Watershed plans'!$T$12:$T$267*(('Watershed plans'!$M$12:$M$267&lt;'Watershed plans'!M133)+('Watershed plans'!$M$12:$M$267='Watershed plans'!M133)*('Watershed plans'!$A$12:$A$267&lt;'Watershed plans'!A133))),0)</f>
        <v/>
      </c>
    </row>
    <row r="153">
      <c r="A153" s="21">
        <f>IF(AND('Watershed plans'!C134=1,'Watershed plans'!T134&lt;&gt;1),'Watershed plans'!P134,NA())</f>
        <v/>
      </c>
      <c r="B153" s="25">
        <f>IF(AND('Watershed plans'!C134=1,'Watershed plans'!T134&lt;&gt;1),'Watershed plans'!Q134,NA())</f>
        <v/>
      </c>
      <c r="C153" s="21">
        <f>IFERROR(INDEX('Watershed plans'!$P$12:$P$267,MATCH(123,$K$31:$K$286,0)),NA())</f>
        <v/>
      </c>
      <c r="D153" s="25">
        <f>IFERROR(INDEX('Watershed plans'!$Q$12:$Q$267,MATCH(123,$K$31:$K$286,0)),NA())</f>
        <v/>
      </c>
      <c r="E153" s="21">
        <f>IFERROR(INDEX('Watershed plans'!$P$12:$P$267,MATCH(123,'Watershed plans'!$Y$12:$Y$267,0)),NA())</f>
        <v/>
      </c>
      <c r="F153" s="25">
        <f>IFERROR(INDEX('Watershed plans'!$Q$12:$Q$267,MATCH(123,'Watershed plans'!$Y$12:$Y$267,0)),NA())</f>
        <v/>
      </c>
      <c r="G153" s="21">
        <f>E62</f>
        <v/>
      </c>
      <c r="H153" s="25">
        <f>H152</f>
        <v/>
      </c>
      <c r="K153" s="10">
        <f>IF('Watershed plans'!T134=1,1+SUMPRODUCT('Watershed plans'!$T$12:$T$267*(('Watershed plans'!$M$12:$M$267&lt;'Watershed plans'!M134)+('Watershed plans'!$M$12:$M$267='Watershed plans'!M134)*('Watershed plans'!$A$12:$A$267&lt;'Watershed plans'!A134))),0)</f>
        <v/>
      </c>
    </row>
    <row r="154">
      <c r="A154" s="21">
        <f>IF(AND('Watershed plans'!C135=1,'Watershed plans'!T135&lt;&gt;1),'Watershed plans'!P135,NA())</f>
        <v/>
      </c>
      <c r="B154" s="25">
        <f>IF(AND('Watershed plans'!C135=1,'Watershed plans'!T135&lt;&gt;1),'Watershed plans'!Q135,NA())</f>
        <v/>
      </c>
      <c r="C154" s="21">
        <f>IFERROR(INDEX('Watershed plans'!$P$12:$P$267,MATCH(124,$K$31:$K$286,0)),NA())</f>
        <v/>
      </c>
      <c r="D154" s="25">
        <f>IFERROR(INDEX('Watershed plans'!$Q$12:$Q$267,MATCH(124,$K$31:$K$286,0)),NA())</f>
        <v/>
      </c>
      <c r="E154" s="21">
        <f>IFERROR(INDEX('Watershed plans'!$P$12:$P$267,MATCH(124,'Watershed plans'!$Y$12:$Y$267,0)),NA())</f>
        <v/>
      </c>
      <c r="F154" s="25">
        <f>IFERROR(INDEX('Watershed plans'!$Q$12:$Q$267,MATCH(124,'Watershed plans'!$Y$12:$Y$267,0)),NA())</f>
        <v/>
      </c>
      <c r="G154" s="21">
        <f>E62</f>
        <v/>
      </c>
      <c r="H154" s="25">
        <f>IF(ISNUMBER(H152),0,NA())</f>
        <v/>
      </c>
      <c r="K154" s="10">
        <f>IF('Watershed plans'!T135=1,1+SUMPRODUCT('Watershed plans'!$T$12:$T$267*(('Watershed plans'!$M$12:$M$267&lt;'Watershed plans'!M135)+('Watershed plans'!$M$12:$M$267='Watershed plans'!M135)*('Watershed plans'!$A$12:$A$267&lt;'Watershed plans'!A135))),0)</f>
        <v/>
      </c>
    </row>
    <row r="155">
      <c r="A155" s="21">
        <f>IF(AND('Watershed plans'!C136=1,'Watershed plans'!T136&lt;&gt;1),'Watershed plans'!P136,NA())</f>
        <v/>
      </c>
      <c r="B155" s="25">
        <f>IF(AND('Watershed plans'!C136=1,'Watershed plans'!T136&lt;&gt;1),'Watershed plans'!Q136,NA())</f>
        <v/>
      </c>
      <c r="C155" s="21">
        <f>IFERROR(INDEX('Watershed plans'!$P$12:$P$267,MATCH(125,$K$31:$K$286,0)),NA())</f>
        <v/>
      </c>
      <c r="D155" s="25">
        <f>IFERROR(INDEX('Watershed plans'!$Q$12:$Q$267,MATCH(125,$K$31:$K$286,0)),NA())</f>
        <v/>
      </c>
      <c r="E155" s="21">
        <f>IFERROR(INDEX('Watershed plans'!$P$12:$P$267,MATCH(125,'Watershed plans'!$Y$12:$Y$267,0)),NA())</f>
        <v/>
      </c>
      <c r="F155" s="25">
        <f>IFERROR(INDEX('Watershed plans'!$Q$12:$Q$267,MATCH(125,'Watershed plans'!$Y$12:$Y$267,0)),NA())</f>
        <v/>
      </c>
      <c r="G155" s="21">
        <f>E62</f>
        <v/>
      </c>
      <c r="H155" s="25">
        <f>IF(ISNUMBER(H156),0,NA())</f>
        <v/>
      </c>
      <c r="K155" s="10">
        <f>IF('Watershed plans'!T136=1,1+SUMPRODUCT('Watershed plans'!$T$12:$T$267*(('Watershed plans'!$M$12:$M$267&lt;'Watershed plans'!M136)+('Watershed plans'!$M$12:$M$267='Watershed plans'!M136)*('Watershed plans'!$A$12:$A$267&lt;'Watershed plans'!A136))),0)</f>
        <v/>
      </c>
    </row>
    <row r="156">
      <c r="A156" s="21">
        <f>IF(AND('Watershed plans'!C137=1,'Watershed plans'!T137&lt;&gt;1),'Watershed plans'!P137,NA())</f>
        <v/>
      </c>
      <c r="B156" s="25">
        <f>IF(AND('Watershed plans'!C137=1,'Watershed plans'!T137&lt;&gt;1),'Watershed plans'!Q137,NA())</f>
        <v/>
      </c>
      <c r="C156" s="21">
        <f>IFERROR(INDEX('Watershed plans'!$P$12:$P$267,MATCH(126,$K$31:$K$286,0)),NA())</f>
        <v/>
      </c>
      <c r="D156" s="25">
        <f>IFERROR(INDEX('Watershed plans'!$Q$12:$Q$267,MATCH(126,$K$31:$K$286,0)),NA())</f>
        <v/>
      </c>
      <c r="E156" s="21">
        <f>IFERROR(INDEX('Watershed plans'!$P$12:$P$267,MATCH(126,'Watershed plans'!$Y$12:$Y$267,0)),NA())</f>
        <v/>
      </c>
      <c r="F156" s="25">
        <f>IFERROR(INDEX('Watershed plans'!$Q$12:$Q$267,MATCH(126,'Watershed plans'!$Y$12:$Y$267,0)),NA())</f>
        <v/>
      </c>
      <c r="G156" s="21">
        <f>E62</f>
        <v/>
      </c>
      <c r="H156" s="25">
        <f>IFERROR(INDEX('Watershed plans'!$AD$12:$AD$267,MATCH(33,'Watershed plans'!$Y$12:$Y$267,0)),NA())</f>
        <v/>
      </c>
      <c r="K156" s="10">
        <f>IF('Watershed plans'!T137=1,1+SUMPRODUCT('Watershed plans'!$T$12:$T$267*(('Watershed plans'!$M$12:$M$267&lt;'Watershed plans'!M137)+('Watershed plans'!$M$12:$M$267='Watershed plans'!M137)*('Watershed plans'!$A$12:$A$267&lt;'Watershed plans'!A137))),0)</f>
        <v/>
      </c>
    </row>
    <row r="157">
      <c r="A157" s="21">
        <f>IF(AND('Watershed plans'!C138=1,'Watershed plans'!T138&lt;&gt;1),'Watershed plans'!P138,NA())</f>
        <v/>
      </c>
      <c r="B157" s="25">
        <f>IF(AND('Watershed plans'!C138=1,'Watershed plans'!T138&lt;&gt;1),'Watershed plans'!Q138,NA())</f>
        <v/>
      </c>
      <c r="C157" s="21">
        <f>IFERROR(INDEX('Watershed plans'!$P$12:$P$267,MATCH(127,$K$31:$K$286,0)),NA())</f>
        <v/>
      </c>
      <c r="D157" s="25">
        <f>IFERROR(INDEX('Watershed plans'!$Q$12:$Q$267,MATCH(127,$K$31:$K$286,0)),NA())</f>
        <v/>
      </c>
      <c r="E157" s="21">
        <f>IFERROR(INDEX('Watershed plans'!$P$12:$P$267,MATCH(127,'Watershed plans'!$Y$12:$Y$267,0)),NA())</f>
        <v/>
      </c>
      <c r="F157" s="25">
        <f>IFERROR(INDEX('Watershed plans'!$Q$12:$Q$267,MATCH(127,'Watershed plans'!$Y$12:$Y$267,0)),NA())</f>
        <v/>
      </c>
      <c r="G157" s="21">
        <f>E63</f>
        <v/>
      </c>
      <c r="H157" s="25">
        <f>H156</f>
        <v/>
      </c>
      <c r="K157" s="10">
        <f>IF('Watershed plans'!T138=1,1+SUMPRODUCT('Watershed plans'!$T$12:$T$267*(('Watershed plans'!$M$12:$M$267&lt;'Watershed plans'!M138)+('Watershed plans'!$M$12:$M$267='Watershed plans'!M138)*('Watershed plans'!$A$12:$A$267&lt;'Watershed plans'!A138))),0)</f>
        <v/>
      </c>
    </row>
    <row r="158">
      <c r="A158" s="21">
        <f>IF(AND('Watershed plans'!C139=1,'Watershed plans'!T139&lt;&gt;1),'Watershed plans'!P139,NA())</f>
        <v/>
      </c>
      <c r="B158" s="25">
        <f>IF(AND('Watershed plans'!C139=1,'Watershed plans'!T139&lt;&gt;1),'Watershed plans'!Q139,NA())</f>
        <v/>
      </c>
      <c r="C158" s="21">
        <f>IFERROR(INDEX('Watershed plans'!$P$12:$P$267,MATCH(128,$K$31:$K$286,0)),NA())</f>
        <v/>
      </c>
      <c r="D158" s="25">
        <f>IFERROR(INDEX('Watershed plans'!$Q$12:$Q$267,MATCH(128,$K$31:$K$286,0)),NA())</f>
        <v/>
      </c>
      <c r="E158" s="21">
        <f>IFERROR(INDEX('Watershed plans'!$P$12:$P$267,MATCH(128,'Watershed plans'!$Y$12:$Y$267,0)),NA())</f>
        <v/>
      </c>
      <c r="F158" s="25">
        <f>IFERROR(INDEX('Watershed plans'!$Q$12:$Q$267,MATCH(128,'Watershed plans'!$Y$12:$Y$267,0)),NA())</f>
        <v/>
      </c>
      <c r="G158" s="21">
        <f>E63</f>
        <v/>
      </c>
      <c r="H158" s="25">
        <f>IF(ISNUMBER(H156),0,NA())</f>
        <v/>
      </c>
      <c r="K158" s="10">
        <f>IF('Watershed plans'!T139=1,1+SUMPRODUCT('Watershed plans'!$T$12:$T$267*(('Watershed plans'!$M$12:$M$267&lt;'Watershed plans'!M139)+('Watershed plans'!$M$12:$M$267='Watershed plans'!M139)*('Watershed plans'!$A$12:$A$267&lt;'Watershed plans'!A139))),0)</f>
        <v/>
      </c>
    </row>
    <row r="159">
      <c r="A159" s="21">
        <f>IF(AND('Watershed plans'!C140=1,'Watershed plans'!T140&lt;&gt;1),'Watershed plans'!P140,NA())</f>
        <v/>
      </c>
      <c r="B159" s="25">
        <f>IF(AND('Watershed plans'!C140=1,'Watershed plans'!T140&lt;&gt;1),'Watershed plans'!Q140,NA())</f>
        <v/>
      </c>
      <c r="C159" s="21">
        <f>IFERROR(INDEX('Watershed plans'!$P$12:$P$267,MATCH(129,$K$31:$K$286,0)),NA())</f>
        <v/>
      </c>
      <c r="D159" s="25">
        <f>IFERROR(INDEX('Watershed plans'!$Q$12:$Q$267,MATCH(129,$K$31:$K$286,0)),NA())</f>
        <v/>
      </c>
      <c r="E159" s="21">
        <f>IFERROR(INDEX('Watershed plans'!$P$12:$P$267,MATCH(129,'Watershed plans'!$Y$12:$Y$267,0)),NA())</f>
        <v/>
      </c>
      <c r="F159" s="25">
        <f>IFERROR(INDEX('Watershed plans'!$Q$12:$Q$267,MATCH(129,'Watershed plans'!$Y$12:$Y$267,0)),NA())</f>
        <v/>
      </c>
      <c r="G159" s="21">
        <f>E63</f>
        <v/>
      </c>
      <c r="H159" s="25">
        <f>IF(ISNUMBER(H160),0,NA())</f>
        <v/>
      </c>
      <c r="K159" s="10">
        <f>IF('Watershed plans'!T140=1,1+SUMPRODUCT('Watershed plans'!$T$12:$T$267*(('Watershed plans'!$M$12:$M$267&lt;'Watershed plans'!M140)+('Watershed plans'!$M$12:$M$267='Watershed plans'!M140)*('Watershed plans'!$A$12:$A$267&lt;'Watershed plans'!A140))),0)</f>
        <v/>
      </c>
    </row>
    <row r="160">
      <c r="A160" s="21">
        <f>IF(AND('Watershed plans'!C141=1,'Watershed plans'!T141&lt;&gt;1),'Watershed plans'!P141,NA())</f>
        <v/>
      </c>
      <c r="B160" s="25">
        <f>IF(AND('Watershed plans'!C141=1,'Watershed plans'!T141&lt;&gt;1),'Watershed plans'!Q141,NA())</f>
        <v/>
      </c>
      <c r="C160" s="21">
        <f>IFERROR(INDEX('Watershed plans'!$P$12:$P$267,MATCH(130,$K$31:$K$286,0)),NA())</f>
        <v/>
      </c>
      <c r="D160" s="25">
        <f>IFERROR(INDEX('Watershed plans'!$Q$12:$Q$267,MATCH(130,$K$31:$K$286,0)),NA())</f>
        <v/>
      </c>
      <c r="E160" s="21">
        <f>IFERROR(INDEX('Watershed plans'!$P$12:$P$267,MATCH(130,'Watershed plans'!$Y$12:$Y$267,0)),NA())</f>
        <v/>
      </c>
      <c r="F160" s="25">
        <f>IFERROR(INDEX('Watershed plans'!$Q$12:$Q$267,MATCH(130,'Watershed plans'!$Y$12:$Y$267,0)),NA())</f>
        <v/>
      </c>
      <c r="G160" s="21">
        <f>E63</f>
        <v/>
      </c>
      <c r="H160" s="25">
        <f>IFERROR(INDEX('Watershed plans'!$AD$12:$AD$267,MATCH(34,'Watershed plans'!$Y$12:$Y$267,0)),NA())</f>
        <v/>
      </c>
      <c r="K160" s="10">
        <f>IF('Watershed plans'!T141=1,1+SUMPRODUCT('Watershed plans'!$T$12:$T$267*(('Watershed plans'!$M$12:$M$267&lt;'Watershed plans'!M141)+('Watershed plans'!$M$12:$M$267='Watershed plans'!M141)*('Watershed plans'!$A$12:$A$267&lt;'Watershed plans'!A141))),0)</f>
        <v/>
      </c>
    </row>
    <row r="161">
      <c r="A161" s="21">
        <f>IF(AND('Watershed plans'!C142=1,'Watershed plans'!T142&lt;&gt;1),'Watershed plans'!P142,NA())</f>
        <v/>
      </c>
      <c r="B161" s="25">
        <f>IF(AND('Watershed plans'!C142=1,'Watershed plans'!T142&lt;&gt;1),'Watershed plans'!Q142,NA())</f>
        <v/>
      </c>
      <c r="C161" s="21">
        <f>IFERROR(INDEX('Watershed plans'!$P$12:$P$267,MATCH(131,$K$31:$K$286,0)),NA())</f>
        <v/>
      </c>
      <c r="D161" s="25">
        <f>IFERROR(INDEX('Watershed plans'!$Q$12:$Q$267,MATCH(131,$K$31:$K$286,0)),NA())</f>
        <v/>
      </c>
      <c r="E161" s="21">
        <f>IFERROR(INDEX('Watershed plans'!$P$12:$P$267,MATCH(131,'Watershed plans'!$Y$12:$Y$267,0)),NA())</f>
        <v/>
      </c>
      <c r="F161" s="25">
        <f>IFERROR(INDEX('Watershed plans'!$Q$12:$Q$267,MATCH(131,'Watershed plans'!$Y$12:$Y$267,0)),NA())</f>
        <v/>
      </c>
      <c r="G161" s="21">
        <f>E64</f>
        <v/>
      </c>
      <c r="H161" s="25">
        <f>H160</f>
        <v/>
      </c>
      <c r="K161" s="10">
        <f>IF('Watershed plans'!T142=1,1+SUMPRODUCT('Watershed plans'!$T$12:$T$267*(('Watershed plans'!$M$12:$M$267&lt;'Watershed plans'!M142)+('Watershed plans'!$M$12:$M$267='Watershed plans'!M142)*('Watershed plans'!$A$12:$A$267&lt;'Watershed plans'!A142))),0)</f>
        <v/>
      </c>
    </row>
    <row r="162">
      <c r="A162" s="21">
        <f>IF(AND('Watershed plans'!C143=1,'Watershed plans'!T143&lt;&gt;1),'Watershed plans'!P143,NA())</f>
        <v/>
      </c>
      <c r="B162" s="25">
        <f>IF(AND('Watershed plans'!C143=1,'Watershed plans'!T143&lt;&gt;1),'Watershed plans'!Q143,NA())</f>
        <v/>
      </c>
      <c r="C162" s="21">
        <f>IFERROR(INDEX('Watershed plans'!$P$12:$P$267,MATCH(132,$K$31:$K$286,0)),NA())</f>
        <v/>
      </c>
      <c r="D162" s="25">
        <f>IFERROR(INDEX('Watershed plans'!$Q$12:$Q$267,MATCH(132,$K$31:$K$286,0)),NA())</f>
        <v/>
      </c>
      <c r="E162" s="21">
        <f>IFERROR(INDEX('Watershed plans'!$P$12:$P$267,MATCH(132,'Watershed plans'!$Y$12:$Y$267,0)),NA())</f>
        <v/>
      </c>
      <c r="F162" s="25">
        <f>IFERROR(INDEX('Watershed plans'!$Q$12:$Q$267,MATCH(132,'Watershed plans'!$Y$12:$Y$267,0)),NA())</f>
        <v/>
      </c>
      <c r="G162" s="21">
        <f>E64</f>
        <v/>
      </c>
      <c r="H162" s="25">
        <f>IF(ISNUMBER(H160),0,NA())</f>
        <v/>
      </c>
      <c r="K162" s="10">
        <f>IF('Watershed plans'!T143=1,1+SUMPRODUCT('Watershed plans'!$T$12:$T$267*(('Watershed plans'!$M$12:$M$267&lt;'Watershed plans'!M143)+('Watershed plans'!$M$12:$M$267='Watershed plans'!M143)*('Watershed plans'!$A$12:$A$267&lt;'Watershed plans'!A143))),0)</f>
        <v/>
      </c>
    </row>
    <row r="163">
      <c r="A163" s="21">
        <f>IF(AND('Watershed plans'!C144=1,'Watershed plans'!T144&lt;&gt;1),'Watershed plans'!P144,NA())</f>
        <v/>
      </c>
      <c r="B163" s="25">
        <f>IF(AND('Watershed plans'!C144=1,'Watershed plans'!T144&lt;&gt;1),'Watershed plans'!Q144,NA())</f>
        <v/>
      </c>
      <c r="C163" s="21">
        <f>IFERROR(INDEX('Watershed plans'!$P$12:$P$267,MATCH(133,$K$31:$K$286,0)),NA())</f>
        <v/>
      </c>
      <c r="D163" s="25">
        <f>IFERROR(INDEX('Watershed plans'!$Q$12:$Q$267,MATCH(133,$K$31:$K$286,0)),NA())</f>
        <v/>
      </c>
      <c r="E163" s="21">
        <f>IFERROR(INDEX('Watershed plans'!$P$12:$P$267,MATCH(133,'Watershed plans'!$Y$12:$Y$267,0)),NA())</f>
        <v/>
      </c>
      <c r="F163" s="25">
        <f>IFERROR(INDEX('Watershed plans'!$Q$12:$Q$267,MATCH(133,'Watershed plans'!$Y$12:$Y$267,0)),NA())</f>
        <v/>
      </c>
      <c r="G163" s="21">
        <f>E64</f>
        <v/>
      </c>
      <c r="H163" s="25">
        <f>IF(ISNUMBER(H164),0,NA())</f>
        <v/>
      </c>
      <c r="K163" s="10">
        <f>IF('Watershed plans'!T144=1,1+SUMPRODUCT('Watershed plans'!$T$12:$T$267*(('Watershed plans'!$M$12:$M$267&lt;'Watershed plans'!M144)+('Watershed plans'!$M$12:$M$267='Watershed plans'!M144)*('Watershed plans'!$A$12:$A$267&lt;'Watershed plans'!A144))),0)</f>
        <v/>
      </c>
    </row>
    <row r="164">
      <c r="A164" s="21">
        <f>IF(AND('Watershed plans'!C145=1,'Watershed plans'!T145&lt;&gt;1),'Watershed plans'!P145,NA())</f>
        <v/>
      </c>
      <c r="B164" s="25">
        <f>IF(AND('Watershed plans'!C145=1,'Watershed plans'!T145&lt;&gt;1),'Watershed plans'!Q145,NA())</f>
        <v/>
      </c>
      <c r="C164" s="21">
        <f>IFERROR(INDEX('Watershed plans'!$P$12:$P$267,MATCH(134,$K$31:$K$286,0)),NA())</f>
        <v/>
      </c>
      <c r="D164" s="25">
        <f>IFERROR(INDEX('Watershed plans'!$Q$12:$Q$267,MATCH(134,$K$31:$K$286,0)),NA())</f>
        <v/>
      </c>
      <c r="E164" s="21">
        <f>IFERROR(INDEX('Watershed plans'!$P$12:$P$267,MATCH(134,'Watershed plans'!$Y$12:$Y$267,0)),NA())</f>
        <v/>
      </c>
      <c r="F164" s="25">
        <f>IFERROR(INDEX('Watershed plans'!$Q$12:$Q$267,MATCH(134,'Watershed plans'!$Y$12:$Y$267,0)),NA())</f>
        <v/>
      </c>
      <c r="G164" s="21">
        <f>E64</f>
        <v/>
      </c>
      <c r="H164" s="25">
        <f>IFERROR(INDEX('Watershed plans'!$AD$12:$AD$267,MATCH(35,'Watershed plans'!$Y$12:$Y$267,0)),NA())</f>
        <v/>
      </c>
      <c r="K164" s="10">
        <f>IF('Watershed plans'!T145=1,1+SUMPRODUCT('Watershed plans'!$T$12:$T$267*(('Watershed plans'!$M$12:$M$267&lt;'Watershed plans'!M145)+('Watershed plans'!$M$12:$M$267='Watershed plans'!M145)*('Watershed plans'!$A$12:$A$267&lt;'Watershed plans'!A145))),0)</f>
        <v/>
      </c>
    </row>
    <row r="165">
      <c r="A165" s="21">
        <f>IF(AND('Watershed plans'!C146=1,'Watershed plans'!T146&lt;&gt;1),'Watershed plans'!P146,NA())</f>
        <v/>
      </c>
      <c r="B165" s="25">
        <f>IF(AND('Watershed plans'!C146=1,'Watershed plans'!T146&lt;&gt;1),'Watershed plans'!Q146,NA())</f>
        <v/>
      </c>
      <c r="C165" s="21">
        <f>IFERROR(INDEX('Watershed plans'!$P$12:$P$267,MATCH(135,$K$31:$K$286,0)),NA())</f>
        <v/>
      </c>
      <c r="D165" s="25">
        <f>IFERROR(INDEX('Watershed plans'!$Q$12:$Q$267,MATCH(135,$K$31:$K$286,0)),NA())</f>
        <v/>
      </c>
      <c r="E165" s="21">
        <f>IFERROR(INDEX('Watershed plans'!$P$12:$P$267,MATCH(135,'Watershed plans'!$Y$12:$Y$267,0)),NA())</f>
        <v/>
      </c>
      <c r="F165" s="25">
        <f>IFERROR(INDEX('Watershed plans'!$Q$12:$Q$267,MATCH(135,'Watershed plans'!$Y$12:$Y$267,0)),NA())</f>
        <v/>
      </c>
      <c r="G165" s="21">
        <f>E65</f>
        <v/>
      </c>
      <c r="H165" s="25">
        <f>H164</f>
        <v/>
      </c>
      <c r="K165" s="10">
        <f>IF('Watershed plans'!T146=1,1+SUMPRODUCT('Watershed plans'!$T$12:$T$267*(('Watershed plans'!$M$12:$M$267&lt;'Watershed plans'!M146)+('Watershed plans'!$M$12:$M$267='Watershed plans'!M146)*('Watershed plans'!$A$12:$A$267&lt;'Watershed plans'!A146))),0)</f>
        <v/>
      </c>
    </row>
    <row r="166">
      <c r="A166" s="21">
        <f>IF(AND('Watershed plans'!C147=1,'Watershed plans'!T147&lt;&gt;1),'Watershed plans'!P147,NA())</f>
        <v/>
      </c>
      <c r="B166" s="25">
        <f>IF(AND('Watershed plans'!C147=1,'Watershed plans'!T147&lt;&gt;1),'Watershed plans'!Q147,NA())</f>
        <v/>
      </c>
      <c r="C166" s="21">
        <f>IFERROR(INDEX('Watershed plans'!$P$12:$P$267,MATCH(136,$K$31:$K$286,0)),NA())</f>
        <v/>
      </c>
      <c r="D166" s="25">
        <f>IFERROR(INDEX('Watershed plans'!$Q$12:$Q$267,MATCH(136,$K$31:$K$286,0)),NA())</f>
        <v/>
      </c>
      <c r="E166" s="21">
        <f>IFERROR(INDEX('Watershed plans'!$P$12:$P$267,MATCH(136,'Watershed plans'!$Y$12:$Y$267,0)),NA())</f>
        <v/>
      </c>
      <c r="F166" s="25">
        <f>IFERROR(INDEX('Watershed plans'!$Q$12:$Q$267,MATCH(136,'Watershed plans'!$Y$12:$Y$267,0)),NA())</f>
        <v/>
      </c>
      <c r="G166" s="21">
        <f>E65</f>
        <v/>
      </c>
      <c r="H166" s="25">
        <f>IF(ISNUMBER(H164),0,NA())</f>
        <v/>
      </c>
      <c r="K166" s="10">
        <f>IF('Watershed plans'!T147=1,1+SUMPRODUCT('Watershed plans'!$T$12:$T$267*(('Watershed plans'!$M$12:$M$267&lt;'Watershed plans'!M147)+('Watershed plans'!$M$12:$M$267='Watershed plans'!M147)*('Watershed plans'!$A$12:$A$267&lt;'Watershed plans'!A147))),0)</f>
        <v/>
      </c>
    </row>
    <row r="167">
      <c r="A167" s="21">
        <f>IF(AND('Watershed plans'!C148=1,'Watershed plans'!T148&lt;&gt;1),'Watershed plans'!P148,NA())</f>
        <v/>
      </c>
      <c r="B167" s="25">
        <f>IF(AND('Watershed plans'!C148=1,'Watershed plans'!T148&lt;&gt;1),'Watershed plans'!Q148,NA())</f>
        <v/>
      </c>
      <c r="C167" s="21">
        <f>IFERROR(INDEX('Watershed plans'!$P$12:$P$267,MATCH(137,$K$31:$K$286,0)),NA())</f>
        <v/>
      </c>
      <c r="D167" s="25">
        <f>IFERROR(INDEX('Watershed plans'!$Q$12:$Q$267,MATCH(137,$K$31:$K$286,0)),NA())</f>
        <v/>
      </c>
      <c r="E167" s="21">
        <f>IFERROR(INDEX('Watershed plans'!$P$12:$P$267,MATCH(137,'Watershed plans'!$Y$12:$Y$267,0)),NA())</f>
        <v/>
      </c>
      <c r="F167" s="25">
        <f>IFERROR(INDEX('Watershed plans'!$Q$12:$Q$267,MATCH(137,'Watershed plans'!$Y$12:$Y$267,0)),NA())</f>
        <v/>
      </c>
      <c r="G167" s="21">
        <f>E65</f>
        <v/>
      </c>
      <c r="H167" s="25">
        <f>IF(ISNUMBER(H168),0,NA())</f>
        <v/>
      </c>
      <c r="K167" s="10">
        <f>IF('Watershed plans'!T148=1,1+SUMPRODUCT('Watershed plans'!$T$12:$T$267*(('Watershed plans'!$M$12:$M$267&lt;'Watershed plans'!M148)+('Watershed plans'!$M$12:$M$267='Watershed plans'!M148)*('Watershed plans'!$A$12:$A$267&lt;'Watershed plans'!A148))),0)</f>
        <v/>
      </c>
    </row>
    <row r="168">
      <c r="A168" s="21">
        <f>IF(AND('Watershed plans'!C149=1,'Watershed plans'!T149&lt;&gt;1),'Watershed plans'!P149,NA())</f>
        <v/>
      </c>
      <c r="B168" s="25">
        <f>IF(AND('Watershed plans'!C149=1,'Watershed plans'!T149&lt;&gt;1),'Watershed plans'!Q149,NA())</f>
        <v/>
      </c>
      <c r="C168" s="21">
        <f>IFERROR(INDEX('Watershed plans'!$P$12:$P$267,MATCH(138,$K$31:$K$286,0)),NA())</f>
        <v/>
      </c>
      <c r="D168" s="25">
        <f>IFERROR(INDEX('Watershed plans'!$Q$12:$Q$267,MATCH(138,$K$31:$K$286,0)),NA())</f>
        <v/>
      </c>
      <c r="E168" s="21">
        <f>IFERROR(INDEX('Watershed plans'!$P$12:$P$267,MATCH(138,'Watershed plans'!$Y$12:$Y$267,0)),NA())</f>
        <v/>
      </c>
      <c r="F168" s="25">
        <f>IFERROR(INDEX('Watershed plans'!$Q$12:$Q$267,MATCH(138,'Watershed plans'!$Y$12:$Y$267,0)),NA())</f>
        <v/>
      </c>
      <c r="G168" s="21">
        <f>E65</f>
        <v/>
      </c>
      <c r="H168" s="25">
        <f>IFERROR(INDEX('Watershed plans'!$AD$12:$AD$267,MATCH(36,'Watershed plans'!$Y$12:$Y$267,0)),NA())</f>
        <v/>
      </c>
      <c r="K168" s="10">
        <f>IF('Watershed plans'!T149=1,1+SUMPRODUCT('Watershed plans'!$T$12:$T$267*(('Watershed plans'!$M$12:$M$267&lt;'Watershed plans'!M149)+('Watershed plans'!$M$12:$M$267='Watershed plans'!M149)*('Watershed plans'!$A$12:$A$267&lt;'Watershed plans'!A149))),0)</f>
        <v/>
      </c>
    </row>
    <row r="169">
      <c r="A169" s="21">
        <f>IF(AND('Watershed plans'!C150=1,'Watershed plans'!T150&lt;&gt;1),'Watershed plans'!P150,NA())</f>
        <v/>
      </c>
      <c r="B169" s="25">
        <f>IF(AND('Watershed plans'!C150=1,'Watershed plans'!T150&lt;&gt;1),'Watershed plans'!Q150,NA())</f>
        <v/>
      </c>
      <c r="C169" s="21">
        <f>IFERROR(INDEX('Watershed plans'!$P$12:$P$267,MATCH(139,$K$31:$K$286,0)),NA())</f>
        <v/>
      </c>
      <c r="D169" s="25">
        <f>IFERROR(INDEX('Watershed plans'!$Q$12:$Q$267,MATCH(139,$K$31:$K$286,0)),NA())</f>
        <v/>
      </c>
      <c r="E169" s="21">
        <f>IFERROR(INDEX('Watershed plans'!$P$12:$P$267,MATCH(139,'Watershed plans'!$Y$12:$Y$267,0)),NA())</f>
        <v/>
      </c>
      <c r="F169" s="25">
        <f>IFERROR(INDEX('Watershed plans'!$Q$12:$Q$267,MATCH(139,'Watershed plans'!$Y$12:$Y$267,0)),NA())</f>
        <v/>
      </c>
      <c r="G169" s="21">
        <f>E66</f>
        <v/>
      </c>
      <c r="H169" s="25">
        <f>H168</f>
        <v/>
      </c>
      <c r="K169" s="10">
        <f>IF('Watershed plans'!T150=1,1+SUMPRODUCT('Watershed plans'!$T$12:$T$267*(('Watershed plans'!$M$12:$M$267&lt;'Watershed plans'!M150)+('Watershed plans'!$M$12:$M$267='Watershed plans'!M150)*('Watershed plans'!$A$12:$A$267&lt;'Watershed plans'!A150))),0)</f>
        <v/>
      </c>
    </row>
    <row r="170">
      <c r="A170" s="21">
        <f>IF(AND('Watershed plans'!C151=1,'Watershed plans'!T151&lt;&gt;1),'Watershed plans'!P151,NA())</f>
        <v/>
      </c>
      <c r="B170" s="25">
        <f>IF(AND('Watershed plans'!C151=1,'Watershed plans'!T151&lt;&gt;1),'Watershed plans'!Q151,NA())</f>
        <v/>
      </c>
      <c r="C170" s="21">
        <f>IFERROR(INDEX('Watershed plans'!$P$12:$P$267,MATCH(140,$K$31:$K$286,0)),NA())</f>
        <v/>
      </c>
      <c r="D170" s="25">
        <f>IFERROR(INDEX('Watershed plans'!$Q$12:$Q$267,MATCH(140,$K$31:$K$286,0)),NA())</f>
        <v/>
      </c>
      <c r="E170" s="21">
        <f>IFERROR(INDEX('Watershed plans'!$P$12:$P$267,MATCH(140,'Watershed plans'!$Y$12:$Y$267,0)),NA())</f>
        <v/>
      </c>
      <c r="F170" s="25">
        <f>IFERROR(INDEX('Watershed plans'!$Q$12:$Q$267,MATCH(140,'Watershed plans'!$Y$12:$Y$267,0)),NA())</f>
        <v/>
      </c>
      <c r="G170" s="21">
        <f>E66</f>
        <v/>
      </c>
      <c r="H170" s="25">
        <f>IF(ISNUMBER(H168),0,NA())</f>
        <v/>
      </c>
      <c r="K170" s="10">
        <f>IF('Watershed plans'!T151=1,1+SUMPRODUCT('Watershed plans'!$T$12:$T$267*(('Watershed plans'!$M$12:$M$267&lt;'Watershed plans'!M151)+('Watershed plans'!$M$12:$M$267='Watershed plans'!M151)*('Watershed plans'!$A$12:$A$267&lt;'Watershed plans'!A151))),0)</f>
        <v/>
      </c>
    </row>
    <row r="171">
      <c r="A171" s="21">
        <f>IF(AND('Watershed plans'!C152=1,'Watershed plans'!T152&lt;&gt;1),'Watershed plans'!P152,NA())</f>
        <v/>
      </c>
      <c r="B171" s="25">
        <f>IF(AND('Watershed plans'!C152=1,'Watershed plans'!T152&lt;&gt;1),'Watershed plans'!Q152,NA())</f>
        <v/>
      </c>
      <c r="C171" s="21">
        <f>IFERROR(INDEX('Watershed plans'!$P$12:$P$267,MATCH(141,$K$31:$K$286,0)),NA())</f>
        <v/>
      </c>
      <c r="D171" s="25">
        <f>IFERROR(INDEX('Watershed plans'!$Q$12:$Q$267,MATCH(141,$K$31:$K$286,0)),NA())</f>
        <v/>
      </c>
      <c r="E171" s="21">
        <f>IFERROR(INDEX('Watershed plans'!$P$12:$P$267,MATCH(141,'Watershed plans'!$Y$12:$Y$267,0)),NA())</f>
        <v/>
      </c>
      <c r="F171" s="25">
        <f>IFERROR(INDEX('Watershed plans'!$Q$12:$Q$267,MATCH(141,'Watershed plans'!$Y$12:$Y$267,0)),NA())</f>
        <v/>
      </c>
      <c r="G171" s="21">
        <f>E66</f>
        <v/>
      </c>
      <c r="H171" s="25">
        <f>IF(ISNUMBER(H172),0,NA())</f>
        <v/>
      </c>
      <c r="K171" s="10">
        <f>IF('Watershed plans'!T152=1,1+SUMPRODUCT('Watershed plans'!$T$12:$T$267*(('Watershed plans'!$M$12:$M$267&lt;'Watershed plans'!M152)+('Watershed plans'!$M$12:$M$267='Watershed plans'!M152)*('Watershed plans'!$A$12:$A$267&lt;'Watershed plans'!A152))),0)</f>
        <v/>
      </c>
    </row>
    <row r="172">
      <c r="A172" s="21">
        <f>IF(AND('Watershed plans'!C153=1,'Watershed plans'!T153&lt;&gt;1),'Watershed plans'!P153,NA())</f>
        <v/>
      </c>
      <c r="B172" s="25">
        <f>IF(AND('Watershed plans'!C153=1,'Watershed plans'!T153&lt;&gt;1),'Watershed plans'!Q153,NA())</f>
        <v/>
      </c>
      <c r="C172" s="21">
        <f>IFERROR(INDEX('Watershed plans'!$P$12:$P$267,MATCH(142,$K$31:$K$286,0)),NA())</f>
        <v/>
      </c>
      <c r="D172" s="25">
        <f>IFERROR(INDEX('Watershed plans'!$Q$12:$Q$267,MATCH(142,$K$31:$K$286,0)),NA())</f>
        <v/>
      </c>
      <c r="E172" s="21">
        <f>IFERROR(INDEX('Watershed plans'!$P$12:$P$267,MATCH(142,'Watershed plans'!$Y$12:$Y$267,0)),NA())</f>
        <v/>
      </c>
      <c r="F172" s="25">
        <f>IFERROR(INDEX('Watershed plans'!$Q$12:$Q$267,MATCH(142,'Watershed plans'!$Y$12:$Y$267,0)),NA())</f>
        <v/>
      </c>
      <c r="G172" s="21">
        <f>E66</f>
        <v/>
      </c>
      <c r="H172" s="25">
        <f>IFERROR(INDEX('Watershed plans'!$AD$12:$AD$267,MATCH(37,'Watershed plans'!$Y$12:$Y$267,0)),NA())</f>
        <v/>
      </c>
      <c r="K172" s="10">
        <f>IF('Watershed plans'!T153=1,1+SUMPRODUCT('Watershed plans'!$T$12:$T$267*(('Watershed plans'!$M$12:$M$267&lt;'Watershed plans'!M153)+('Watershed plans'!$M$12:$M$267='Watershed plans'!M153)*('Watershed plans'!$A$12:$A$267&lt;'Watershed plans'!A153))),0)</f>
        <v/>
      </c>
    </row>
    <row r="173">
      <c r="A173" s="21">
        <f>IF(AND('Watershed plans'!C154=1,'Watershed plans'!T154&lt;&gt;1),'Watershed plans'!P154,NA())</f>
        <v/>
      </c>
      <c r="B173" s="25">
        <f>IF(AND('Watershed plans'!C154=1,'Watershed plans'!T154&lt;&gt;1),'Watershed plans'!Q154,NA())</f>
        <v/>
      </c>
      <c r="C173" s="21">
        <f>IFERROR(INDEX('Watershed plans'!$P$12:$P$267,MATCH(143,$K$31:$K$286,0)),NA())</f>
        <v/>
      </c>
      <c r="D173" s="25">
        <f>IFERROR(INDEX('Watershed plans'!$Q$12:$Q$267,MATCH(143,$K$31:$K$286,0)),NA())</f>
        <v/>
      </c>
      <c r="E173" s="21">
        <f>IFERROR(INDEX('Watershed plans'!$P$12:$P$267,MATCH(143,'Watershed plans'!$Y$12:$Y$267,0)),NA())</f>
        <v/>
      </c>
      <c r="F173" s="25">
        <f>IFERROR(INDEX('Watershed plans'!$Q$12:$Q$267,MATCH(143,'Watershed plans'!$Y$12:$Y$267,0)),NA())</f>
        <v/>
      </c>
      <c r="G173" s="21">
        <f>E67</f>
        <v/>
      </c>
      <c r="H173" s="25">
        <f>H172</f>
        <v/>
      </c>
      <c r="K173" s="10">
        <f>IF('Watershed plans'!T154=1,1+SUMPRODUCT('Watershed plans'!$T$12:$T$267*(('Watershed plans'!$M$12:$M$267&lt;'Watershed plans'!M154)+('Watershed plans'!$M$12:$M$267='Watershed plans'!M154)*('Watershed plans'!$A$12:$A$267&lt;'Watershed plans'!A154))),0)</f>
        <v/>
      </c>
    </row>
    <row r="174">
      <c r="A174" s="21">
        <f>IF(AND('Watershed plans'!C155=1,'Watershed plans'!T155&lt;&gt;1),'Watershed plans'!P155,NA())</f>
        <v/>
      </c>
      <c r="B174" s="25">
        <f>IF(AND('Watershed plans'!C155=1,'Watershed plans'!T155&lt;&gt;1),'Watershed plans'!Q155,NA())</f>
        <v/>
      </c>
      <c r="C174" s="21">
        <f>IFERROR(INDEX('Watershed plans'!$P$12:$P$267,MATCH(144,$K$31:$K$286,0)),NA())</f>
        <v/>
      </c>
      <c r="D174" s="25">
        <f>IFERROR(INDEX('Watershed plans'!$Q$12:$Q$267,MATCH(144,$K$31:$K$286,0)),NA())</f>
        <v/>
      </c>
      <c r="E174" s="21">
        <f>IFERROR(INDEX('Watershed plans'!$P$12:$P$267,MATCH(144,'Watershed plans'!$Y$12:$Y$267,0)),NA())</f>
        <v/>
      </c>
      <c r="F174" s="25">
        <f>IFERROR(INDEX('Watershed plans'!$Q$12:$Q$267,MATCH(144,'Watershed plans'!$Y$12:$Y$267,0)),NA())</f>
        <v/>
      </c>
      <c r="G174" s="21">
        <f>E67</f>
        <v/>
      </c>
      <c r="H174" s="25">
        <f>IF(ISNUMBER(H172),0,NA())</f>
        <v/>
      </c>
      <c r="K174" s="10">
        <f>IF('Watershed plans'!T155=1,1+SUMPRODUCT('Watershed plans'!$T$12:$T$267*(('Watershed plans'!$M$12:$M$267&lt;'Watershed plans'!M155)+('Watershed plans'!$M$12:$M$267='Watershed plans'!M155)*('Watershed plans'!$A$12:$A$267&lt;'Watershed plans'!A155))),0)</f>
        <v/>
      </c>
    </row>
    <row r="175">
      <c r="A175" s="21">
        <f>IF(AND('Watershed plans'!C156=1,'Watershed plans'!T156&lt;&gt;1),'Watershed plans'!P156,NA())</f>
        <v/>
      </c>
      <c r="B175" s="25">
        <f>IF(AND('Watershed plans'!C156=1,'Watershed plans'!T156&lt;&gt;1),'Watershed plans'!Q156,NA())</f>
        <v/>
      </c>
      <c r="C175" s="21">
        <f>IFERROR(INDEX('Watershed plans'!$P$12:$P$267,MATCH(145,$K$31:$K$286,0)),NA())</f>
        <v/>
      </c>
      <c r="D175" s="25">
        <f>IFERROR(INDEX('Watershed plans'!$Q$12:$Q$267,MATCH(145,$K$31:$K$286,0)),NA())</f>
        <v/>
      </c>
      <c r="E175" s="21">
        <f>IFERROR(INDEX('Watershed plans'!$P$12:$P$267,MATCH(145,'Watershed plans'!$Y$12:$Y$267,0)),NA())</f>
        <v/>
      </c>
      <c r="F175" s="25">
        <f>IFERROR(INDEX('Watershed plans'!$Q$12:$Q$267,MATCH(145,'Watershed plans'!$Y$12:$Y$267,0)),NA())</f>
        <v/>
      </c>
      <c r="G175" s="21">
        <f>E67</f>
        <v/>
      </c>
      <c r="H175" s="25">
        <f>IF(ISNUMBER(H176),0,NA())</f>
        <v/>
      </c>
      <c r="K175" s="10">
        <f>IF('Watershed plans'!T156=1,1+SUMPRODUCT('Watershed plans'!$T$12:$T$267*(('Watershed plans'!$M$12:$M$267&lt;'Watershed plans'!M156)+('Watershed plans'!$M$12:$M$267='Watershed plans'!M156)*('Watershed plans'!$A$12:$A$267&lt;'Watershed plans'!A156))),0)</f>
        <v/>
      </c>
    </row>
    <row r="176">
      <c r="A176" s="21">
        <f>IF(AND('Watershed plans'!C157=1,'Watershed plans'!T157&lt;&gt;1),'Watershed plans'!P157,NA())</f>
        <v/>
      </c>
      <c r="B176" s="25">
        <f>IF(AND('Watershed plans'!C157=1,'Watershed plans'!T157&lt;&gt;1),'Watershed plans'!Q157,NA())</f>
        <v/>
      </c>
      <c r="C176" s="21">
        <f>IFERROR(INDEX('Watershed plans'!$P$12:$P$267,MATCH(146,$K$31:$K$286,0)),NA())</f>
        <v/>
      </c>
      <c r="D176" s="25">
        <f>IFERROR(INDEX('Watershed plans'!$Q$12:$Q$267,MATCH(146,$K$31:$K$286,0)),NA())</f>
        <v/>
      </c>
      <c r="E176" s="21">
        <f>IFERROR(INDEX('Watershed plans'!$P$12:$P$267,MATCH(146,'Watershed plans'!$Y$12:$Y$267,0)),NA())</f>
        <v/>
      </c>
      <c r="F176" s="25">
        <f>IFERROR(INDEX('Watershed plans'!$Q$12:$Q$267,MATCH(146,'Watershed plans'!$Y$12:$Y$267,0)),NA())</f>
        <v/>
      </c>
      <c r="G176" s="21">
        <f>E67</f>
        <v/>
      </c>
      <c r="H176" s="25">
        <f>IFERROR(INDEX('Watershed plans'!$AD$12:$AD$267,MATCH(38,'Watershed plans'!$Y$12:$Y$267,0)),NA())</f>
        <v/>
      </c>
      <c r="K176" s="10">
        <f>IF('Watershed plans'!T157=1,1+SUMPRODUCT('Watershed plans'!$T$12:$T$267*(('Watershed plans'!$M$12:$M$267&lt;'Watershed plans'!M157)+('Watershed plans'!$M$12:$M$267='Watershed plans'!M157)*('Watershed plans'!$A$12:$A$267&lt;'Watershed plans'!A157))),0)</f>
        <v/>
      </c>
    </row>
    <row r="177">
      <c r="A177" s="21">
        <f>IF(AND('Watershed plans'!C158=1,'Watershed plans'!T158&lt;&gt;1),'Watershed plans'!P158,NA())</f>
        <v/>
      </c>
      <c r="B177" s="25">
        <f>IF(AND('Watershed plans'!C158=1,'Watershed plans'!T158&lt;&gt;1),'Watershed plans'!Q158,NA())</f>
        <v/>
      </c>
      <c r="C177" s="21">
        <f>IFERROR(INDEX('Watershed plans'!$P$12:$P$267,MATCH(147,$K$31:$K$286,0)),NA())</f>
        <v/>
      </c>
      <c r="D177" s="25">
        <f>IFERROR(INDEX('Watershed plans'!$Q$12:$Q$267,MATCH(147,$K$31:$K$286,0)),NA())</f>
        <v/>
      </c>
      <c r="E177" s="21">
        <f>IFERROR(INDEX('Watershed plans'!$P$12:$P$267,MATCH(147,'Watershed plans'!$Y$12:$Y$267,0)),NA())</f>
        <v/>
      </c>
      <c r="F177" s="25">
        <f>IFERROR(INDEX('Watershed plans'!$Q$12:$Q$267,MATCH(147,'Watershed plans'!$Y$12:$Y$267,0)),NA())</f>
        <v/>
      </c>
      <c r="G177" s="21">
        <f>E68</f>
        <v/>
      </c>
      <c r="H177" s="25">
        <f>H176</f>
        <v/>
      </c>
      <c r="K177" s="10">
        <f>IF('Watershed plans'!T158=1,1+SUMPRODUCT('Watershed plans'!$T$12:$T$267*(('Watershed plans'!$M$12:$M$267&lt;'Watershed plans'!M158)+('Watershed plans'!$M$12:$M$267='Watershed plans'!M158)*('Watershed plans'!$A$12:$A$267&lt;'Watershed plans'!A158))),0)</f>
        <v/>
      </c>
    </row>
    <row r="178">
      <c r="A178" s="21">
        <f>IF(AND('Watershed plans'!C159=1,'Watershed plans'!T159&lt;&gt;1),'Watershed plans'!P159,NA())</f>
        <v/>
      </c>
      <c r="B178" s="25">
        <f>IF(AND('Watershed plans'!C159=1,'Watershed plans'!T159&lt;&gt;1),'Watershed plans'!Q159,NA())</f>
        <v/>
      </c>
      <c r="C178" s="21">
        <f>IFERROR(INDEX('Watershed plans'!$P$12:$P$267,MATCH(148,$K$31:$K$286,0)),NA())</f>
        <v/>
      </c>
      <c r="D178" s="25">
        <f>IFERROR(INDEX('Watershed plans'!$Q$12:$Q$267,MATCH(148,$K$31:$K$286,0)),NA())</f>
        <v/>
      </c>
      <c r="E178" s="21">
        <f>IFERROR(INDEX('Watershed plans'!$P$12:$P$267,MATCH(148,'Watershed plans'!$Y$12:$Y$267,0)),NA())</f>
        <v/>
      </c>
      <c r="F178" s="25">
        <f>IFERROR(INDEX('Watershed plans'!$Q$12:$Q$267,MATCH(148,'Watershed plans'!$Y$12:$Y$267,0)),NA())</f>
        <v/>
      </c>
      <c r="G178" s="21">
        <f>E68</f>
        <v/>
      </c>
      <c r="H178" s="25">
        <f>IF(ISNUMBER(H176),0,NA())</f>
        <v/>
      </c>
      <c r="K178" s="10">
        <f>IF('Watershed plans'!T159=1,1+SUMPRODUCT('Watershed plans'!$T$12:$T$267*(('Watershed plans'!$M$12:$M$267&lt;'Watershed plans'!M159)+('Watershed plans'!$M$12:$M$267='Watershed plans'!M159)*('Watershed plans'!$A$12:$A$267&lt;'Watershed plans'!A159))),0)</f>
        <v/>
      </c>
    </row>
    <row r="179">
      <c r="A179" s="21">
        <f>IF(AND('Watershed plans'!C160=1,'Watershed plans'!T160&lt;&gt;1),'Watershed plans'!P160,NA())</f>
        <v/>
      </c>
      <c r="B179" s="25">
        <f>IF(AND('Watershed plans'!C160=1,'Watershed plans'!T160&lt;&gt;1),'Watershed plans'!Q160,NA())</f>
        <v/>
      </c>
      <c r="C179" s="21">
        <f>IFERROR(INDEX('Watershed plans'!$P$12:$P$267,MATCH(149,$K$31:$K$286,0)),NA())</f>
        <v/>
      </c>
      <c r="D179" s="25">
        <f>IFERROR(INDEX('Watershed plans'!$Q$12:$Q$267,MATCH(149,$K$31:$K$286,0)),NA())</f>
        <v/>
      </c>
      <c r="E179" s="21">
        <f>IFERROR(INDEX('Watershed plans'!$P$12:$P$267,MATCH(149,'Watershed plans'!$Y$12:$Y$267,0)),NA())</f>
        <v/>
      </c>
      <c r="F179" s="25">
        <f>IFERROR(INDEX('Watershed plans'!$Q$12:$Q$267,MATCH(149,'Watershed plans'!$Y$12:$Y$267,0)),NA())</f>
        <v/>
      </c>
      <c r="G179" s="21">
        <f>E68</f>
        <v/>
      </c>
      <c r="H179" s="25">
        <f>IF(ISNUMBER(H180),0,NA())</f>
        <v/>
      </c>
      <c r="K179" s="10">
        <f>IF('Watershed plans'!T160=1,1+SUMPRODUCT('Watershed plans'!$T$12:$T$267*(('Watershed plans'!$M$12:$M$267&lt;'Watershed plans'!M160)+('Watershed plans'!$M$12:$M$267='Watershed plans'!M160)*('Watershed plans'!$A$12:$A$267&lt;'Watershed plans'!A160))),0)</f>
        <v/>
      </c>
    </row>
    <row r="180">
      <c r="A180" s="21">
        <f>IF(AND('Watershed plans'!C161=1,'Watershed plans'!T161&lt;&gt;1),'Watershed plans'!P161,NA())</f>
        <v/>
      </c>
      <c r="B180" s="25">
        <f>IF(AND('Watershed plans'!C161=1,'Watershed plans'!T161&lt;&gt;1),'Watershed plans'!Q161,NA())</f>
        <v/>
      </c>
      <c r="C180" s="21">
        <f>IFERROR(INDEX('Watershed plans'!$P$12:$P$267,MATCH(150,$K$31:$K$286,0)),NA())</f>
        <v/>
      </c>
      <c r="D180" s="25">
        <f>IFERROR(INDEX('Watershed plans'!$Q$12:$Q$267,MATCH(150,$K$31:$K$286,0)),NA())</f>
        <v/>
      </c>
      <c r="E180" s="21">
        <f>IFERROR(INDEX('Watershed plans'!$P$12:$P$267,MATCH(150,'Watershed plans'!$Y$12:$Y$267,0)),NA())</f>
        <v/>
      </c>
      <c r="F180" s="25">
        <f>IFERROR(INDEX('Watershed plans'!$Q$12:$Q$267,MATCH(150,'Watershed plans'!$Y$12:$Y$267,0)),NA())</f>
        <v/>
      </c>
      <c r="G180" s="21">
        <f>E68</f>
        <v/>
      </c>
      <c r="H180" s="25">
        <f>IFERROR(INDEX('Watershed plans'!$AD$12:$AD$267,MATCH(39,'Watershed plans'!$Y$12:$Y$267,0)),NA())</f>
        <v/>
      </c>
      <c r="K180" s="10">
        <f>IF('Watershed plans'!T161=1,1+SUMPRODUCT('Watershed plans'!$T$12:$T$267*(('Watershed plans'!$M$12:$M$267&lt;'Watershed plans'!M161)+('Watershed plans'!$M$12:$M$267='Watershed plans'!M161)*('Watershed plans'!$A$12:$A$267&lt;'Watershed plans'!A161))),0)</f>
        <v/>
      </c>
    </row>
    <row r="181">
      <c r="A181" s="21">
        <f>IF(AND('Watershed plans'!C162=1,'Watershed plans'!T162&lt;&gt;1),'Watershed plans'!P162,NA())</f>
        <v/>
      </c>
      <c r="B181" s="25">
        <f>IF(AND('Watershed plans'!C162=1,'Watershed plans'!T162&lt;&gt;1),'Watershed plans'!Q162,NA())</f>
        <v/>
      </c>
      <c r="C181" s="21">
        <f>IFERROR(INDEX('Watershed plans'!$P$12:$P$267,MATCH(151,$K$31:$K$286,0)),NA())</f>
        <v/>
      </c>
      <c r="D181" s="25">
        <f>IFERROR(INDEX('Watershed plans'!$Q$12:$Q$267,MATCH(151,$K$31:$K$286,0)),NA())</f>
        <v/>
      </c>
      <c r="E181" s="21">
        <f>IFERROR(INDEX('Watershed plans'!$P$12:$P$267,MATCH(151,'Watershed plans'!$Y$12:$Y$267,0)),NA())</f>
        <v/>
      </c>
      <c r="F181" s="25">
        <f>IFERROR(INDEX('Watershed plans'!$Q$12:$Q$267,MATCH(151,'Watershed plans'!$Y$12:$Y$267,0)),NA())</f>
        <v/>
      </c>
      <c r="G181" s="21">
        <f>E69</f>
        <v/>
      </c>
      <c r="H181" s="25">
        <f>H180</f>
        <v/>
      </c>
      <c r="K181" s="10">
        <f>IF('Watershed plans'!T162=1,1+SUMPRODUCT('Watershed plans'!$T$12:$T$267*(('Watershed plans'!$M$12:$M$267&lt;'Watershed plans'!M162)+('Watershed plans'!$M$12:$M$267='Watershed plans'!M162)*('Watershed plans'!$A$12:$A$267&lt;'Watershed plans'!A162))),0)</f>
        <v/>
      </c>
    </row>
    <row r="182">
      <c r="A182" s="21">
        <f>IF(AND('Watershed plans'!C163=1,'Watershed plans'!T163&lt;&gt;1),'Watershed plans'!P163,NA())</f>
        <v/>
      </c>
      <c r="B182" s="25">
        <f>IF(AND('Watershed plans'!C163=1,'Watershed plans'!T163&lt;&gt;1),'Watershed plans'!Q163,NA())</f>
        <v/>
      </c>
      <c r="C182" s="21">
        <f>IFERROR(INDEX('Watershed plans'!$P$12:$P$267,MATCH(152,$K$31:$K$286,0)),NA())</f>
        <v/>
      </c>
      <c r="D182" s="25">
        <f>IFERROR(INDEX('Watershed plans'!$Q$12:$Q$267,MATCH(152,$K$31:$K$286,0)),NA())</f>
        <v/>
      </c>
      <c r="E182" s="21">
        <f>IFERROR(INDEX('Watershed plans'!$P$12:$P$267,MATCH(152,'Watershed plans'!$Y$12:$Y$267,0)),NA())</f>
        <v/>
      </c>
      <c r="F182" s="25">
        <f>IFERROR(INDEX('Watershed plans'!$Q$12:$Q$267,MATCH(152,'Watershed plans'!$Y$12:$Y$267,0)),NA())</f>
        <v/>
      </c>
      <c r="G182" s="21">
        <f>E69</f>
        <v/>
      </c>
      <c r="H182" s="25">
        <f>IF(ISNUMBER(H180),0,NA())</f>
        <v/>
      </c>
      <c r="K182" s="10">
        <f>IF('Watershed plans'!T163=1,1+SUMPRODUCT('Watershed plans'!$T$12:$T$267*(('Watershed plans'!$M$12:$M$267&lt;'Watershed plans'!M163)+('Watershed plans'!$M$12:$M$267='Watershed plans'!M163)*('Watershed plans'!$A$12:$A$267&lt;'Watershed plans'!A163))),0)</f>
        <v/>
      </c>
    </row>
    <row r="183">
      <c r="A183" s="21">
        <f>IF(AND('Watershed plans'!C164=1,'Watershed plans'!T164&lt;&gt;1),'Watershed plans'!P164,NA())</f>
        <v/>
      </c>
      <c r="B183" s="25">
        <f>IF(AND('Watershed plans'!C164=1,'Watershed plans'!T164&lt;&gt;1),'Watershed plans'!Q164,NA())</f>
        <v/>
      </c>
      <c r="C183" s="21">
        <f>IFERROR(INDEX('Watershed plans'!$P$12:$P$267,MATCH(153,$K$31:$K$286,0)),NA())</f>
        <v/>
      </c>
      <c r="D183" s="25">
        <f>IFERROR(INDEX('Watershed plans'!$Q$12:$Q$267,MATCH(153,$K$31:$K$286,0)),NA())</f>
        <v/>
      </c>
      <c r="E183" s="21">
        <f>IFERROR(INDEX('Watershed plans'!$P$12:$P$267,MATCH(153,'Watershed plans'!$Y$12:$Y$267,0)),NA())</f>
        <v/>
      </c>
      <c r="F183" s="25">
        <f>IFERROR(INDEX('Watershed plans'!$Q$12:$Q$267,MATCH(153,'Watershed plans'!$Y$12:$Y$267,0)),NA())</f>
        <v/>
      </c>
      <c r="G183" s="21">
        <f>E69</f>
        <v/>
      </c>
      <c r="H183" s="25">
        <f>IF(ISNUMBER(H184),0,NA())</f>
        <v/>
      </c>
      <c r="K183" s="10">
        <f>IF('Watershed plans'!T164=1,1+SUMPRODUCT('Watershed plans'!$T$12:$T$267*(('Watershed plans'!$M$12:$M$267&lt;'Watershed plans'!M164)+('Watershed plans'!$M$12:$M$267='Watershed plans'!M164)*('Watershed plans'!$A$12:$A$267&lt;'Watershed plans'!A164))),0)</f>
        <v/>
      </c>
    </row>
    <row r="184">
      <c r="A184" s="21">
        <f>IF(AND('Watershed plans'!C165=1,'Watershed plans'!T165&lt;&gt;1),'Watershed plans'!P165,NA())</f>
        <v/>
      </c>
      <c r="B184" s="25">
        <f>IF(AND('Watershed plans'!C165=1,'Watershed plans'!T165&lt;&gt;1),'Watershed plans'!Q165,NA())</f>
        <v/>
      </c>
      <c r="C184" s="21">
        <f>IFERROR(INDEX('Watershed plans'!$P$12:$P$267,MATCH(154,$K$31:$K$286,0)),NA())</f>
        <v/>
      </c>
      <c r="D184" s="25">
        <f>IFERROR(INDEX('Watershed plans'!$Q$12:$Q$267,MATCH(154,$K$31:$K$286,0)),NA())</f>
        <v/>
      </c>
      <c r="E184" s="21">
        <f>IFERROR(INDEX('Watershed plans'!$P$12:$P$267,MATCH(154,'Watershed plans'!$Y$12:$Y$267,0)),NA())</f>
        <v/>
      </c>
      <c r="F184" s="25">
        <f>IFERROR(INDEX('Watershed plans'!$Q$12:$Q$267,MATCH(154,'Watershed plans'!$Y$12:$Y$267,0)),NA())</f>
        <v/>
      </c>
      <c r="G184" s="21">
        <f>E69</f>
        <v/>
      </c>
      <c r="H184" s="25">
        <f>IFERROR(INDEX('Watershed plans'!$AD$12:$AD$267,MATCH(40,'Watershed plans'!$Y$12:$Y$267,0)),NA())</f>
        <v/>
      </c>
      <c r="K184" s="10">
        <f>IF('Watershed plans'!T165=1,1+SUMPRODUCT('Watershed plans'!$T$12:$T$267*(('Watershed plans'!$M$12:$M$267&lt;'Watershed plans'!M165)+('Watershed plans'!$M$12:$M$267='Watershed plans'!M165)*('Watershed plans'!$A$12:$A$267&lt;'Watershed plans'!A165))),0)</f>
        <v/>
      </c>
    </row>
    <row r="185">
      <c r="A185" s="21">
        <f>IF(AND('Watershed plans'!C166=1,'Watershed plans'!T166&lt;&gt;1),'Watershed plans'!P166,NA())</f>
        <v/>
      </c>
      <c r="B185" s="25">
        <f>IF(AND('Watershed plans'!C166=1,'Watershed plans'!T166&lt;&gt;1),'Watershed plans'!Q166,NA())</f>
        <v/>
      </c>
      <c r="C185" s="21">
        <f>IFERROR(INDEX('Watershed plans'!$P$12:$P$267,MATCH(155,$K$31:$K$286,0)),NA())</f>
        <v/>
      </c>
      <c r="D185" s="25">
        <f>IFERROR(INDEX('Watershed plans'!$Q$12:$Q$267,MATCH(155,$K$31:$K$286,0)),NA())</f>
        <v/>
      </c>
      <c r="E185" s="21">
        <f>IFERROR(INDEX('Watershed plans'!$P$12:$P$267,MATCH(155,'Watershed plans'!$Y$12:$Y$267,0)),NA())</f>
        <v/>
      </c>
      <c r="F185" s="25">
        <f>IFERROR(INDEX('Watershed plans'!$Q$12:$Q$267,MATCH(155,'Watershed plans'!$Y$12:$Y$267,0)),NA())</f>
        <v/>
      </c>
      <c r="G185" s="21">
        <f>E70</f>
        <v/>
      </c>
      <c r="H185" s="25">
        <f>H184</f>
        <v/>
      </c>
      <c r="K185" s="10">
        <f>IF('Watershed plans'!T166=1,1+SUMPRODUCT('Watershed plans'!$T$12:$T$267*(('Watershed plans'!$M$12:$M$267&lt;'Watershed plans'!M166)+('Watershed plans'!$M$12:$M$267='Watershed plans'!M166)*('Watershed plans'!$A$12:$A$267&lt;'Watershed plans'!A166))),0)</f>
        <v/>
      </c>
    </row>
    <row r="186">
      <c r="A186" s="21">
        <f>IF(AND('Watershed plans'!C167=1,'Watershed plans'!T167&lt;&gt;1),'Watershed plans'!P167,NA())</f>
        <v/>
      </c>
      <c r="B186" s="25">
        <f>IF(AND('Watershed plans'!C167=1,'Watershed plans'!T167&lt;&gt;1),'Watershed plans'!Q167,NA())</f>
        <v/>
      </c>
      <c r="C186" s="21">
        <f>IFERROR(INDEX('Watershed plans'!$P$12:$P$267,MATCH(156,$K$31:$K$286,0)),NA())</f>
        <v/>
      </c>
      <c r="D186" s="25">
        <f>IFERROR(INDEX('Watershed plans'!$Q$12:$Q$267,MATCH(156,$K$31:$K$286,0)),NA())</f>
        <v/>
      </c>
      <c r="E186" s="21">
        <f>IFERROR(INDEX('Watershed plans'!$P$12:$P$267,MATCH(156,'Watershed plans'!$Y$12:$Y$267,0)),NA())</f>
        <v/>
      </c>
      <c r="F186" s="25">
        <f>IFERROR(INDEX('Watershed plans'!$Q$12:$Q$267,MATCH(156,'Watershed plans'!$Y$12:$Y$267,0)),NA())</f>
        <v/>
      </c>
      <c r="G186" s="21">
        <f>E70</f>
        <v/>
      </c>
      <c r="H186" s="25">
        <f>IF(ISNUMBER(H184),0,NA())</f>
        <v/>
      </c>
      <c r="K186" s="10">
        <f>IF('Watershed plans'!T167=1,1+SUMPRODUCT('Watershed plans'!$T$12:$T$267*(('Watershed plans'!$M$12:$M$267&lt;'Watershed plans'!M167)+('Watershed plans'!$M$12:$M$267='Watershed plans'!M167)*('Watershed plans'!$A$12:$A$267&lt;'Watershed plans'!A167))),0)</f>
        <v/>
      </c>
    </row>
    <row r="187">
      <c r="A187" s="21">
        <f>IF(AND('Watershed plans'!C168=1,'Watershed plans'!T168&lt;&gt;1),'Watershed plans'!P168,NA())</f>
        <v/>
      </c>
      <c r="B187" s="25">
        <f>IF(AND('Watershed plans'!C168=1,'Watershed plans'!T168&lt;&gt;1),'Watershed plans'!Q168,NA())</f>
        <v/>
      </c>
      <c r="C187" s="21">
        <f>IFERROR(INDEX('Watershed plans'!$P$12:$P$267,MATCH(157,$K$31:$K$286,0)),NA())</f>
        <v/>
      </c>
      <c r="D187" s="25">
        <f>IFERROR(INDEX('Watershed plans'!$Q$12:$Q$267,MATCH(157,$K$31:$K$286,0)),NA())</f>
        <v/>
      </c>
      <c r="E187" s="21">
        <f>IFERROR(INDEX('Watershed plans'!$P$12:$P$267,MATCH(157,'Watershed plans'!$Y$12:$Y$267,0)),NA())</f>
        <v/>
      </c>
      <c r="F187" s="25">
        <f>IFERROR(INDEX('Watershed plans'!$Q$12:$Q$267,MATCH(157,'Watershed plans'!$Y$12:$Y$267,0)),NA())</f>
        <v/>
      </c>
      <c r="K187" s="10">
        <f>IF('Watershed plans'!T168=1,1+SUMPRODUCT('Watershed plans'!$T$12:$T$267*(('Watershed plans'!$M$12:$M$267&lt;'Watershed plans'!M168)+('Watershed plans'!$M$12:$M$267='Watershed plans'!M168)*('Watershed plans'!$A$12:$A$267&lt;'Watershed plans'!A168))),0)</f>
        <v/>
      </c>
    </row>
    <row r="188">
      <c r="A188" s="21">
        <f>IF(AND('Watershed plans'!C169=1,'Watershed plans'!T169&lt;&gt;1),'Watershed plans'!P169,NA())</f>
        <v/>
      </c>
      <c r="B188" s="25">
        <f>IF(AND('Watershed plans'!C169=1,'Watershed plans'!T169&lt;&gt;1),'Watershed plans'!Q169,NA())</f>
        <v/>
      </c>
      <c r="C188" s="21">
        <f>IFERROR(INDEX('Watershed plans'!$P$12:$P$267,MATCH(158,$K$31:$K$286,0)),NA())</f>
        <v/>
      </c>
      <c r="D188" s="25">
        <f>IFERROR(INDEX('Watershed plans'!$Q$12:$Q$267,MATCH(158,$K$31:$K$286,0)),NA())</f>
        <v/>
      </c>
      <c r="E188" s="21">
        <f>IFERROR(INDEX('Watershed plans'!$P$12:$P$267,MATCH(158,'Watershed plans'!$Y$12:$Y$267,0)),NA())</f>
        <v/>
      </c>
      <c r="F188" s="25">
        <f>IFERROR(INDEX('Watershed plans'!$Q$12:$Q$267,MATCH(158,'Watershed plans'!$Y$12:$Y$267,0)),NA())</f>
        <v/>
      </c>
      <c r="K188" s="10">
        <f>IF('Watershed plans'!T169=1,1+SUMPRODUCT('Watershed plans'!$T$12:$T$267*(('Watershed plans'!$M$12:$M$267&lt;'Watershed plans'!M169)+('Watershed plans'!$M$12:$M$267='Watershed plans'!M169)*('Watershed plans'!$A$12:$A$267&lt;'Watershed plans'!A169))),0)</f>
        <v/>
      </c>
    </row>
    <row r="189">
      <c r="A189" s="21">
        <f>IF(AND('Watershed plans'!C170=1,'Watershed plans'!T170&lt;&gt;1),'Watershed plans'!P170,NA())</f>
        <v/>
      </c>
      <c r="B189" s="25">
        <f>IF(AND('Watershed plans'!C170=1,'Watershed plans'!T170&lt;&gt;1),'Watershed plans'!Q170,NA())</f>
        <v/>
      </c>
      <c r="C189" s="21">
        <f>IFERROR(INDEX('Watershed plans'!$P$12:$P$267,MATCH(159,$K$31:$K$286,0)),NA())</f>
        <v/>
      </c>
      <c r="D189" s="25">
        <f>IFERROR(INDEX('Watershed plans'!$Q$12:$Q$267,MATCH(159,$K$31:$K$286,0)),NA())</f>
        <v/>
      </c>
      <c r="E189" s="21">
        <f>IFERROR(INDEX('Watershed plans'!$P$12:$P$267,MATCH(159,'Watershed plans'!$Y$12:$Y$267,0)),NA())</f>
        <v/>
      </c>
      <c r="F189" s="25">
        <f>IFERROR(INDEX('Watershed plans'!$Q$12:$Q$267,MATCH(159,'Watershed plans'!$Y$12:$Y$267,0)),NA())</f>
        <v/>
      </c>
      <c r="K189" s="10">
        <f>IF('Watershed plans'!T170=1,1+SUMPRODUCT('Watershed plans'!$T$12:$T$267*(('Watershed plans'!$M$12:$M$267&lt;'Watershed plans'!M170)+('Watershed plans'!$M$12:$M$267='Watershed plans'!M170)*('Watershed plans'!$A$12:$A$267&lt;'Watershed plans'!A170))),0)</f>
        <v/>
      </c>
    </row>
    <row r="190">
      <c r="A190" s="21">
        <f>IF(AND('Watershed plans'!C171=1,'Watershed plans'!T171&lt;&gt;1),'Watershed plans'!P171,NA())</f>
        <v/>
      </c>
      <c r="B190" s="25">
        <f>IF(AND('Watershed plans'!C171=1,'Watershed plans'!T171&lt;&gt;1),'Watershed plans'!Q171,NA())</f>
        <v/>
      </c>
      <c r="C190" s="21">
        <f>IFERROR(INDEX('Watershed plans'!$P$12:$P$267,MATCH(160,$K$31:$K$286,0)),NA())</f>
        <v/>
      </c>
      <c r="D190" s="25">
        <f>IFERROR(INDEX('Watershed plans'!$Q$12:$Q$267,MATCH(160,$K$31:$K$286,0)),NA())</f>
        <v/>
      </c>
      <c r="E190" s="21">
        <f>IFERROR(INDEX('Watershed plans'!$P$12:$P$267,MATCH(160,'Watershed plans'!$Y$12:$Y$267,0)),NA())</f>
        <v/>
      </c>
      <c r="F190" s="25">
        <f>IFERROR(INDEX('Watershed plans'!$Q$12:$Q$267,MATCH(160,'Watershed plans'!$Y$12:$Y$267,0)),NA())</f>
        <v/>
      </c>
      <c r="K190" s="10">
        <f>IF('Watershed plans'!T171=1,1+SUMPRODUCT('Watershed plans'!$T$12:$T$267*(('Watershed plans'!$M$12:$M$267&lt;'Watershed plans'!M171)+('Watershed plans'!$M$12:$M$267='Watershed plans'!M171)*('Watershed plans'!$A$12:$A$267&lt;'Watershed plans'!A171))),0)</f>
        <v/>
      </c>
    </row>
    <row r="191">
      <c r="A191" s="21">
        <f>IF(AND('Watershed plans'!C172=1,'Watershed plans'!T172&lt;&gt;1),'Watershed plans'!P172,NA())</f>
        <v/>
      </c>
      <c r="B191" s="25">
        <f>IF(AND('Watershed plans'!C172=1,'Watershed plans'!T172&lt;&gt;1),'Watershed plans'!Q172,NA())</f>
        <v/>
      </c>
      <c r="C191" s="21">
        <f>IFERROR(INDEX('Watershed plans'!$P$12:$P$267,MATCH(161,$K$31:$K$286,0)),NA())</f>
        <v/>
      </c>
      <c r="D191" s="25">
        <f>IFERROR(INDEX('Watershed plans'!$Q$12:$Q$267,MATCH(161,$K$31:$K$286,0)),NA())</f>
        <v/>
      </c>
      <c r="E191" s="21">
        <f>IFERROR(INDEX('Watershed plans'!$P$12:$P$267,MATCH(161,'Watershed plans'!$Y$12:$Y$267,0)),NA())</f>
        <v/>
      </c>
      <c r="F191" s="25">
        <f>IFERROR(INDEX('Watershed plans'!$Q$12:$Q$267,MATCH(161,'Watershed plans'!$Y$12:$Y$267,0)),NA())</f>
        <v/>
      </c>
      <c r="K191" s="10">
        <f>IF('Watershed plans'!T172=1,1+SUMPRODUCT('Watershed plans'!$T$12:$T$267*(('Watershed plans'!$M$12:$M$267&lt;'Watershed plans'!M172)+('Watershed plans'!$M$12:$M$267='Watershed plans'!M172)*('Watershed plans'!$A$12:$A$267&lt;'Watershed plans'!A172))),0)</f>
        <v/>
      </c>
    </row>
    <row r="192">
      <c r="A192" s="21">
        <f>IF(AND('Watershed plans'!C173=1,'Watershed plans'!T173&lt;&gt;1),'Watershed plans'!P173,NA())</f>
        <v/>
      </c>
      <c r="B192" s="25">
        <f>IF(AND('Watershed plans'!C173=1,'Watershed plans'!T173&lt;&gt;1),'Watershed plans'!Q173,NA())</f>
        <v/>
      </c>
      <c r="C192" s="21">
        <f>IFERROR(INDEX('Watershed plans'!$P$12:$P$267,MATCH(162,$K$31:$K$286,0)),NA())</f>
        <v/>
      </c>
      <c r="D192" s="25">
        <f>IFERROR(INDEX('Watershed plans'!$Q$12:$Q$267,MATCH(162,$K$31:$K$286,0)),NA())</f>
        <v/>
      </c>
      <c r="E192" s="21">
        <f>IFERROR(INDEX('Watershed plans'!$P$12:$P$267,MATCH(162,'Watershed plans'!$Y$12:$Y$267,0)),NA())</f>
        <v/>
      </c>
      <c r="F192" s="25">
        <f>IFERROR(INDEX('Watershed plans'!$Q$12:$Q$267,MATCH(162,'Watershed plans'!$Y$12:$Y$267,0)),NA())</f>
        <v/>
      </c>
      <c r="K192" s="10">
        <f>IF('Watershed plans'!T173=1,1+SUMPRODUCT('Watershed plans'!$T$12:$T$267*(('Watershed plans'!$M$12:$M$267&lt;'Watershed plans'!M173)+('Watershed plans'!$M$12:$M$267='Watershed plans'!M173)*('Watershed plans'!$A$12:$A$267&lt;'Watershed plans'!A173))),0)</f>
        <v/>
      </c>
    </row>
    <row r="193">
      <c r="A193" s="21">
        <f>IF(AND('Watershed plans'!C174=1,'Watershed plans'!T174&lt;&gt;1),'Watershed plans'!P174,NA())</f>
        <v/>
      </c>
      <c r="B193" s="25">
        <f>IF(AND('Watershed plans'!C174=1,'Watershed plans'!T174&lt;&gt;1),'Watershed plans'!Q174,NA())</f>
        <v/>
      </c>
      <c r="C193" s="21">
        <f>IFERROR(INDEX('Watershed plans'!$P$12:$P$267,MATCH(163,$K$31:$K$286,0)),NA())</f>
        <v/>
      </c>
      <c r="D193" s="25">
        <f>IFERROR(INDEX('Watershed plans'!$Q$12:$Q$267,MATCH(163,$K$31:$K$286,0)),NA())</f>
        <v/>
      </c>
      <c r="E193" s="21">
        <f>IFERROR(INDEX('Watershed plans'!$P$12:$P$267,MATCH(163,'Watershed plans'!$Y$12:$Y$267,0)),NA())</f>
        <v/>
      </c>
      <c r="F193" s="25">
        <f>IFERROR(INDEX('Watershed plans'!$Q$12:$Q$267,MATCH(163,'Watershed plans'!$Y$12:$Y$267,0)),NA())</f>
        <v/>
      </c>
      <c r="K193" s="10">
        <f>IF('Watershed plans'!T174=1,1+SUMPRODUCT('Watershed plans'!$T$12:$T$267*(('Watershed plans'!$M$12:$M$267&lt;'Watershed plans'!M174)+('Watershed plans'!$M$12:$M$267='Watershed plans'!M174)*('Watershed plans'!$A$12:$A$267&lt;'Watershed plans'!A174))),0)</f>
        <v/>
      </c>
    </row>
    <row r="194">
      <c r="A194" s="21">
        <f>IF(AND('Watershed plans'!C175=1,'Watershed plans'!T175&lt;&gt;1),'Watershed plans'!P175,NA())</f>
        <v/>
      </c>
      <c r="B194" s="25">
        <f>IF(AND('Watershed plans'!C175=1,'Watershed plans'!T175&lt;&gt;1),'Watershed plans'!Q175,NA())</f>
        <v/>
      </c>
      <c r="C194" s="21">
        <f>IFERROR(INDEX('Watershed plans'!$P$12:$P$267,MATCH(164,$K$31:$K$286,0)),NA())</f>
        <v/>
      </c>
      <c r="D194" s="25">
        <f>IFERROR(INDEX('Watershed plans'!$Q$12:$Q$267,MATCH(164,$K$31:$K$286,0)),NA())</f>
        <v/>
      </c>
      <c r="E194" s="21">
        <f>IFERROR(INDEX('Watershed plans'!$P$12:$P$267,MATCH(164,'Watershed plans'!$Y$12:$Y$267,0)),NA())</f>
        <v/>
      </c>
      <c r="F194" s="25">
        <f>IFERROR(INDEX('Watershed plans'!$Q$12:$Q$267,MATCH(164,'Watershed plans'!$Y$12:$Y$267,0)),NA())</f>
        <v/>
      </c>
      <c r="K194" s="10">
        <f>IF('Watershed plans'!T175=1,1+SUMPRODUCT('Watershed plans'!$T$12:$T$267*(('Watershed plans'!$M$12:$M$267&lt;'Watershed plans'!M175)+('Watershed plans'!$M$12:$M$267='Watershed plans'!M175)*('Watershed plans'!$A$12:$A$267&lt;'Watershed plans'!A175))),0)</f>
        <v/>
      </c>
    </row>
    <row r="195">
      <c r="A195" s="21">
        <f>IF(AND('Watershed plans'!C176=1,'Watershed plans'!T176&lt;&gt;1),'Watershed plans'!P176,NA())</f>
        <v/>
      </c>
      <c r="B195" s="25">
        <f>IF(AND('Watershed plans'!C176=1,'Watershed plans'!T176&lt;&gt;1),'Watershed plans'!Q176,NA())</f>
        <v/>
      </c>
      <c r="C195" s="21">
        <f>IFERROR(INDEX('Watershed plans'!$P$12:$P$267,MATCH(165,$K$31:$K$286,0)),NA())</f>
        <v/>
      </c>
      <c r="D195" s="25">
        <f>IFERROR(INDEX('Watershed plans'!$Q$12:$Q$267,MATCH(165,$K$31:$K$286,0)),NA())</f>
        <v/>
      </c>
      <c r="E195" s="21">
        <f>IFERROR(INDEX('Watershed plans'!$P$12:$P$267,MATCH(165,'Watershed plans'!$Y$12:$Y$267,0)),NA())</f>
        <v/>
      </c>
      <c r="F195" s="25">
        <f>IFERROR(INDEX('Watershed plans'!$Q$12:$Q$267,MATCH(165,'Watershed plans'!$Y$12:$Y$267,0)),NA())</f>
        <v/>
      </c>
      <c r="K195" s="10">
        <f>IF('Watershed plans'!T176=1,1+SUMPRODUCT('Watershed plans'!$T$12:$T$267*(('Watershed plans'!$M$12:$M$267&lt;'Watershed plans'!M176)+('Watershed plans'!$M$12:$M$267='Watershed plans'!M176)*('Watershed plans'!$A$12:$A$267&lt;'Watershed plans'!A176))),0)</f>
        <v/>
      </c>
    </row>
    <row r="196">
      <c r="A196" s="21">
        <f>IF(AND('Watershed plans'!C177=1,'Watershed plans'!T177&lt;&gt;1),'Watershed plans'!P177,NA())</f>
        <v/>
      </c>
      <c r="B196" s="25">
        <f>IF(AND('Watershed plans'!C177=1,'Watershed plans'!T177&lt;&gt;1),'Watershed plans'!Q177,NA())</f>
        <v/>
      </c>
      <c r="C196" s="21">
        <f>IFERROR(INDEX('Watershed plans'!$P$12:$P$267,MATCH(166,$K$31:$K$286,0)),NA())</f>
        <v/>
      </c>
      <c r="D196" s="25">
        <f>IFERROR(INDEX('Watershed plans'!$Q$12:$Q$267,MATCH(166,$K$31:$K$286,0)),NA())</f>
        <v/>
      </c>
      <c r="E196" s="21">
        <f>IFERROR(INDEX('Watershed plans'!$P$12:$P$267,MATCH(166,'Watershed plans'!$Y$12:$Y$267,0)),NA())</f>
        <v/>
      </c>
      <c r="F196" s="25">
        <f>IFERROR(INDEX('Watershed plans'!$Q$12:$Q$267,MATCH(166,'Watershed plans'!$Y$12:$Y$267,0)),NA())</f>
        <v/>
      </c>
      <c r="K196" s="10">
        <f>IF('Watershed plans'!T177=1,1+SUMPRODUCT('Watershed plans'!$T$12:$T$267*(('Watershed plans'!$M$12:$M$267&lt;'Watershed plans'!M177)+('Watershed plans'!$M$12:$M$267='Watershed plans'!M177)*('Watershed plans'!$A$12:$A$267&lt;'Watershed plans'!A177))),0)</f>
        <v/>
      </c>
    </row>
    <row r="197">
      <c r="A197" s="21">
        <f>IF(AND('Watershed plans'!C178=1,'Watershed plans'!T178&lt;&gt;1),'Watershed plans'!P178,NA())</f>
        <v/>
      </c>
      <c r="B197" s="25">
        <f>IF(AND('Watershed plans'!C178=1,'Watershed plans'!T178&lt;&gt;1),'Watershed plans'!Q178,NA())</f>
        <v/>
      </c>
      <c r="C197" s="21">
        <f>IFERROR(INDEX('Watershed plans'!$P$12:$P$267,MATCH(167,$K$31:$K$286,0)),NA())</f>
        <v/>
      </c>
      <c r="D197" s="25">
        <f>IFERROR(INDEX('Watershed plans'!$Q$12:$Q$267,MATCH(167,$K$31:$K$286,0)),NA())</f>
        <v/>
      </c>
      <c r="E197" s="21">
        <f>IFERROR(INDEX('Watershed plans'!$P$12:$P$267,MATCH(167,'Watershed plans'!$Y$12:$Y$267,0)),NA())</f>
        <v/>
      </c>
      <c r="F197" s="25">
        <f>IFERROR(INDEX('Watershed plans'!$Q$12:$Q$267,MATCH(167,'Watershed plans'!$Y$12:$Y$267,0)),NA())</f>
        <v/>
      </c>
      <c r="K197" s="10">
        <f>IF('Watershed plans'!T178=1,1+SUMPRODUCT('Watershed plans'!$T$12:$T$267*(('Watershed plans'!$M$12:$M$267&lt;'Watershed plans'!M178)+('Watershed plans'!$M$12:$M$267='Watershed plans'!M178)*('Watershed plans'!$A$12:$A$267&lt;'Watershed plans'!A178))),0)</f>
        <v/>
      </c>
    </row>
    <row r="198">
      <c r="A198" s="21">
        <f>IF(AND('Watershed plans'!C179=1,'Watershed plans'!T179&lt;&gt;1),'Watershed plans'!P179,NA())</f>
        <v/>
      </c>
      <c r="B198" s="25">
        <f>IF(AND('Watershed plans'!C179=1,'Watershed plans'!T179&lt;&gt;1),'Watershed plans'!Q179,NA())</f>
        <v/>
      </c>
      <c r="C198" s="21">
        <f>IFERROR(INDEX('Watershed plans'!$P$12:$P$267,MATCH(168,$K$31:$K$286,0)),NA())</f>
        <v/>
      </c>
      <c r="D198" s="25">
        <f>IFERROR(INDEX('Watershed plans'!$Q$12:$Q$267,MATCH(168,$K$31:$K$286,0)),NA())</f>
        <v/>
      </c>
      <c r="E198" s="21">
        <f>IFERROR(INDEX('Watershed plans'!$P$12:$P$267,MATCH(168,'Watershed plans'!$Y$12:$Y$267,0)),NA())</f>
        <v/>
      </c>
      <c r="F198" s="25">
        <f>IFERROR(INDEX('Watershed plans'!$Q$12:$Q$267,MATCH(168,'Watershed plans'!$Y$12:$Y$267,0)),NA())</f>
        <v/>
      </c>
      <c r="K198" s="10">
        <f>IF('Watershed plans'!T179=1,1+SUMPRODUCT('Watershed plans'!$T$12:$T$267*(('Watershed plans'!$M$12:$M$267&lt;'Watershed plans'!M179)+('Watershed plans'!$M$12:$M$267='Watershed plans'!M179)*('Watershed plans'!$A$12:$A$267&lt;'Watershed plans'!A179))),0)</f>
        <v/>
      </c>
    </row>
    <row r="199">
      <c r="A199" s="21">
        <f>IF(AND('Watershed plans'!C180=1,'Watershed plans'!T180&lt;&gt;1),'Watershed plans'!P180,NA())</f>
        <v/>
      </c>
      <c r="B199" s="25">
        <f>IF(AND('Watershed plans'!C180=1,'Watershed plans'!T180&lt;&gt;1),'Watershed plans'!Q180,NA())</f>
        <v/>
      </c>
      <c r="C199" s="21">
        <f>IFERROR(INDEX('Watershed plans'!$P$12:$P$267,MATCH(169,$K$31:$K$286,0)),NA())</f>
        <v/>
      </c>
      <c r="D199" s="25">
        <f>IFERROR(INDEX('Watershed plans'!$Q$12:$Q$267,MATCH(169,$K$31:$K$286,0)),NA())</f>
        <v/>
      </c>
      <c r="E199" s="21">
        <f>IFERROR(INDEX('Watershed plans'!$P$12:$P$267,MATCH(169,'Watershed plans'!$Y$12:$Y$267,0)),NA())</f>
        <v/>
      </c>
      <c r="F199" s="25">
        <f>IFERROR(INDEX('Watershed plans'!$Q$12:$Q$267,MATCH(169,'Watershed plans'!$Y$12:$Y$267,0)),NA())</f>
        <v/>
      </c>
      <c r="K199" s="10">
        <f>IF('Watershed plans'!T180=1,1+SUMPRODUCT('Watershed plans'!$T$12:$T$267*(('Watershed plans'!$M$12:$M$267&lt;'Watershed plans'!M180)+('Watershed plans'!$M$12:$M$267='Watershed plans'!M180)*('Watershed plans'!$A$12:$A$267&lt;'Watershed plans'!A180))),0)</f>
        <v/>
      </c>
    </row>
    <row r="200">
      <c r="A200" s="21">
        <f>IF(AND('Watershed plans'!C181=1,'Watershed plans'!T181&lt;&gt;1),'Watershed plans'!P181,NA())</f>
        <v/>
      </c>
      <c r="B200" s="25">
        <f>IF(AND('Watershed plans'!C181=1,'Watershed plans'!T181&lt;&gt;1),'Watershed plans'!Q181,NA())</f>
        <v/>
      </c>
      <c r="C200" s="21">
        <f>IFERROR(INDEX('Watershed plans'!$P$12:$P$267,MATCH(170,$K$31:$K$286,0)),NA())</f>
        <v/>
      </c>
      <c r="D200" s="25">
        <f>IFERROR(INDEX('Watershed plans'!$Q$12:$Q$267,MATCH(170,$K$31:$K$286,0)),NA())</f>
        <v/>
      </c>
      <c r="E200" s="21">
        <f>IFERROR(INDEX('Watershed plans'!$P$12:$P$267,MATCH(170,'Watershed plans'!$Y$12:$Y$267,0)),NA())</f>
        <v/>
      </c>
      <c r="F200" s="25">
        <f>IFERROR(INDEX('Watershed plans'!$Q$12:$Q$267,MATCH(170,'Watershed plans'!$Y$12:$Y$267,0)),NA())</f>
        <v/>
      </c>
      <c r="K200" s="10">
        <f>IF('Watershed plans'!T181=1,1+SUMPRODUCT('Watershed plans'!$T$12:$T$267*(('Watershed plans'!$M$12:$M$267&lt;'Watershed plans'!M181)+('Watershed plans'!$M$12:$M$267='Watershed plans'!M181)*('Watershed plans'!$A$12:$A$267&lt;'Watershed plans'!A181))),0)</f>
        <v/>
      </c>
    </row>
    <row r="201">
      <c r="A201" s="21">
        <f>IF(AND('Watershed plans'!C182=1,'Watershed plans'!T182&lt;&gt;1),'Watershed plans'!P182,NA())</f>
        <v/>
      </c>
      <c r="B201" s="25">
        <f>IF(AND('Watershed plans'!C182=1,'Watershed plans'!T182&lt;&gt;1),'Watershed plans'!Q182,NA())</f>
        <v/>
      </c>
      <c r="C201" s="21">
        <f>IFERROR(INDEX('Watershed plans'!$P$12:$P$267,MATCH(171,$K$31:$K$286,0)),NA())</f>
        <v/>
      </c>
      <c r="D201" s="25">
        <f>IFERROR(INDEX('Watershed plans'!$Q$12:$Q$267,MATCH(171,$K$31:$K$286,0)),NA())</f>
        <v/>
      </c>
      <c r="E201" s="21">
        <f>IFERROR(INDEX('Watershed plans'!$P$12:$P$267,MATCH(171,'Watershed plans'!$Y$12:$Y$267,0)),NA())</f>
        <v/>
      </c>
      <c r="F201" s="25">
        <f>IFERROR(INDEX('Watershed plans'!$Q$12:$Q$267,MATCH(171,'Watershed plans'!$Y$12:$Y$267,0)),NA())</f>
        <v/>
      </c>
      <c r="K201" s="10">
        <f>IF('Watershed plans'!T182=1,1+SUMPRODUCT('Watershed plans'!$T$12:$T$267*(('Watershed plans'!$M$12:$M$267&lt;'Watershed plans'!M182)+('Watershed plans'!$M$12:$M$267='Watershed plans'!M182)*('Watershed plans'!$A$12:$A$267&lt;'Watershed plans'!A182))),0)</f>
        <v/>
      </c>
    </row>
    <row r="202">
      <c r="A202" s="21">
        <f>IF(AND('Watershed plans'!C183=1,'Watershed plans'!T183&lt;&gt;1),'Watershed plans'!P183,NA())</f>
        <v/>
      </c>
      <c r="B202" s="25">
        <f>IF(AND('Watershed plans'!C183=1,'Watershed plans'!T183&lt;&gt;1),'Watershed plans'!Q183,NA())</f>
        <v/>
      </c>
      <c r="C202" s="21">
        <f>IFERROR(INDEX('Watershed plans'!$P$12:$P$267,MATCH(172,$K$31:$K$286,0)),NA())</f>
        <v/>
      </c>
      <c r="D202" s="25">
        <f>IFERROR(INDEX('Watershed plans'!$Q$12:$Q$267,MATCH(172,$K$31:$K$286,0)),NA())</f>
        <v/>
      </c>
      <c r="E202" s="21">
        <f>IFERROR(INDEX('Watershed plans'!$P$12:$P$267,MATCH(172,'Watershed plans'!$Y$12:$Y$267,0)),NA())</f>
        <v/>
      </c>
      <c r="F202" s="25">
        <f>IFERROR(INDEX('Watershed plans'!$Q$12:$Q$267,MATCH(172,'Watershed plans'!$Y$12:$Y$267,0)),NA())</f>
        <v/>
      </c>
      <c r="K202" s="10">
        <f>IF('Watershed plans'!T183=1,1+SUMPRODUCT('Watershed plans'!$T$12:$T$267*(('Watershed plans'!$M$12:$M$267&lt;'Watershed plans'!M183)+('Watershed plans'!$M$12:$M$267='Watershed plans'!M183)*('Watershed plans'!$A$12:$A$267&lt;'Watershed plans'!A183))),0)</f>
        <v/>
      </c>
    </row>
    <row r="203">
      <c r="A203" s="21">
        <f>IF(AND('Watershed plans'!C184=1,'Watershed plans'!T184&lt;&gt;1),'Watershed plans'!P184,NA())</f>
        <v/>
      </c>
      <c r="B203" s="25">
        <f>IF(AND('Watershed plans'!C184=1,'Watershed plans'!T184&lt;&gt;1),'Watershed plans'!Q184,NA())</f>
        <v/>
      </c>
      <c r="C203" s="21">
        <f>IFERROR(INDEX('Watershed plans'!$P$12:$P$267,MATCH(173,$K$31:$K$286,0)),NA())</f>
        <v/>
      </c>
      <c r="D203" s="25">
        <f>IFERROR(INDEX('Watershed plans'!$Q$12:$Q$267,MATCH(173,$K$31:$K$286,0)),NA())</f>
        <v/>
      </c>
      <c r="E203" s="21">
        <f>IFERROR(INDEX('Watershed plans'!$P$12:$P$267,MATCH(173,'Watershed plans'!$Y$12:$Y$267,0)),NA())</f>
        <v/>
      </c>
      <c r="F203" s="25">
        <f>IFERROR(INDEX('Watershed plans'!$Q$12:$Q$267,MATCH(173,'Watershed plans'!$Y$12:$Y$267,0)),NA())</f>
        <v/>
      </c>
      <c r="K203" s="10">
        <f>IF('Watershed plans'!T184=1,1+SUMPRODUCT('Watershed plans'!$T$12:$T$267*(('Watershed plans'!$M$12:$M$267&lt;'Watershed plans'!M184)+('Watershed plans'!$M$12:$M$267='Watershed plans'!M184)*('Watershed plans'!$A$12:$A$267&lt;'Watershed plans'!A184))),0)</f>
        <v/>
      </c>
    </row>
    <row r="204">
      <c r="A204" s="21">
        <f>IF(AND('Watershed plans'!C185=1,'Watershed plans'!T185&lt;&gt;1),'Watershed plans'!P185,NA())</f>
        <v/>
      </c>
      <c r="B204" s="25">
        <f>IF(AND('Watershed plans'!C185=1,'Watershed plans'!T185&lt;&gt;1),'Watershed plans'!Q185,NA())</f>
        <v/>
      </c>
      <c r="C204" s="21">
        <f>IFERROR(INDEX('Watershed plans'!$P$12:$P$267,MATCH(174,$K$31:$K$286,0)),NA())</f>
        <v/>
      </c>
      <c r="D204" s="25">
        <f>IFERROR(INDEX('Watershed plans'!$Q$12:$Q$267,MATCH(174,$K$31:$K$286,0)),NA())</f>
        <v/>
      </c>
      <c r="E204" s="21">
        <f>IFERROR(INDEX('Watershed plans'!$P$12:$P$267,MATCH(174,'Watershed plans'!$Y$12:$Y$267,0)),NA())</f>
        <v/>
      </c>
      <c r="F204" s="25">
        <f>IFERROR(INDEX('Watershed plans'!$Q$12:$Q$267,MATCH(174,'Watershed plans'!$Y$12:$Y$267,0)),NA())</f>
        <v/>
      </c>
      <c r="K204" s="10">
        <f>IF('Watershed plans'!T185=1,1+SUMPRODUCT('Watershed plans'!$T$12:$T$267*(('Watershed plans'!$M$12:$M$267&lt;'Watershed plans'!M185)+('Watershed plans'!$M$12:$M$267='Watershed plans'!M185)*('Watershed plans'!$A$12:$A$267&lt;'Watershed plans'!A185))),0)</f>
        <v/>
      </c>
    </row>
    <row r="205">
      <c r="A205" s="21">
        <f>IF(AND('Watershed plans'!C186=1,'Watershed plans'!T186&lt;&gt;1),'Watershed plans'!P186,NA())</f>
        <v/>
      </c>
      <c r="B205" s="25">
        <f>IF(AND('Watershed plans'!C186=1,'Watershed plans'!T186&lt;&gt;1),'Watershed plans'!Q186,NA())</f>
        <v/>
      </c>
      <c r="C205" s="21">
        <f>IFERROR(INDEX('Watershed plans'!$P$12:$P$267,MATCH(175,$K$31:$K$286,0)),NA())</f>
        <v/>
      </c>
      <c r="D205" s="25">
        <f>IFERROR(INDEX('Watershed plans'!$Q$12:$Q$267,MATCH(175,$K$31:$K$286,0)),NA())</f>
        <v/>
      </c>
      <c r="E205" s="21">
        <f>IFERROR(INDEX('Watershed plans'!$P$12:$P$267,MATCH(175,'Watershed plans'!$Y$12:$Y$267,0)),NA())</f>
        <v/>
      </c>
      <c r="F205" s="25">
        <f>IFERROR(INDEX('Watershed plans'!$Q$12:$Q$267,MATCH(175,'Watershed plans'!$Y$12:$Y$267,0)),NA())</f>
        <v/>
      </c>
      <c r="K205" s="10">
        <f>IF('Watershed plans'!T186=1,1+SUMPRODUCT('Watershed plans'!$T$12:$T$267*(('Watershed plans'!$M$12:$M$267&lt;'Watershed plans'!M186)+('Watershed plans'!$M$12:$M$267='Watershed plans'!M186)*('Watershed plans'!$A$12:$A$267&lt;'Watershed plans'!A186))),0)</f>
        <v/>
      </c>
    </row>
    <row r="206">
      <c r="A206" s="21">
        <f>IF(AND('Watershed plans'!C187=1,'Watershed plans'!T187&lt;&gt;1),'Watershed plans'!P187,NA())</f>
        <v/>
      </c>
      <c r="B206" s="25">
        <f>IF(AND('Watershed plans'!C187=1,'Watershed plans'!T187&lt;&gt;1),'Watershed plans'!Q187,NA())</f>
        <v/>
      </c>
      <c r="C206" s="21">
        <f>IFERROR(INDEX('Watershed plans'!$P$12:$P$267,MATCH(176,$K$31:$K$286,0)),NA())</f>
        <v/>
      </c>
      <c r="D206" s="25">
        <f>IFERROR(INDEX('Watershed plans'!$Q$12:$Q$267,MATCH(176,$K$31:$K$286,0)),NA())</f>
        <v/>
      </c>
      <c r="E206" s="21">
        <f>IFERROR(INDEX('Watershed plans'!$P$12:$P$267,MATCH(176,'Watershed plans'!$Y$12:$Y$267,0)),NA())</f>
        <v/>
      </c>
      <c r="F206" s="25">
        <f>IFERROR(INDEX('Watershed plans'!$Q$12:$Q$267,MATCH(176,'Watershed plans'!$Y$12:$Y$267,0)),NA())</f>
        <v/>
      </c>
      <c r="K206" s="10">
        <f>IF('Watershed plans'!T187=1,1+SUMPRODUCT('Watershed plans'!$T$12:$T$267*(('Watershed plans'!$M$12:$M$267&lt;'Watershed plans'!M187)+('Watershed plans'!$M$12:$M$267='Watershed plans'!M187)*('Watershed plans'!$A$12:$A$267&lt;'Watershed plans'!A187))),0)</f>
        <v/>
      </c>
    </row>
    <row r="207">
      <c r="A207" s="21">
        <f>IF(AND('Watershed plans'!C188=1,'Watershed plans'!T188&lt;&gt;1),'Watershed plans'!P188,NA())</f>
        <v/>
      </c>
      <c r="B207" s="25">
        <f>IF(AND('Watershed plans'!C188=1,'Watershed plans'!T188&lt;&gt;1),'Watershed plans'!Q188,NA())</f>
        <v/>
      </c>
      <c r="C207" s="21">
        <f>IFERROR(INDEX('Watershed plans'!$P$12:$P$267,MATCH(177,$K$31:$K$286,0)),NA())</f>
        <v/>
      </c>
      <c r="D207" s="25">
        <f>IFERROR(INDEX('Watershed plans'!$Q$12:$Q$267,MATCH(177,$K$31:$K$286,0)),NA())</f>
        <v/>
      </c>
      <c r="E207" s="21">
        <f>IFERROR(INDEX('Watershed plans'!$P$12:$P$267,MATCH(177,'Watershed plans'!$Y$12:$Y$267,0)),NA())</f>
        <v/>
      </c>
      <c r="F207" s="25">
        <f>IFERROR(INDEX('Watershed plans'!$Q$12:$Q$267,MATCH(177,'Watershed plans'!$Y$12:$Y$267,0)),NA())</f>
        <v/>
      </c>
      <c r="K207" s="10">
        <f>IF('Watershed plans'!T188=1,1+SUMPRODUCT('Watershed plans'!$T$12:$T$267*(('Watershed plans'!$M$12:$M$267&lt;'Watershed plans'!M188)+('Watershed plans'!$M$12:$M$267='Watershed plans'!M188)*('Watershed plans'!$A$12:$A$267&lt;'Watershed plans'!A188))),0)</f>
        <v/>
      </c>
    </row>
    <row r="208">
      <c r="A208" s="21">
        <f>IF(AND('Watershed plans'!C189=1,'Watershed plans'!T189&lt;&gt;1),'Watershed plans'!P189,NA())</f>
        <v/>
      </c>
      <c r="B208" s="25">
        <f>IF(AND('Watershed plans'!C189=1,'Watershed plans'!T189&lt;&gt;1),'Watershed plans'!Q189,NA())</f>
        <v/>
      </c>
      <c r="C208" s="21">
        <f>IFERROR(INDEX('Watershed plans'!$P$12:$P$267,MATCH(178,$K$31:$K$286,0)),NA())</f>
        <v/>
      </c>
      <c r="D208" s="25">
        <f>IFERROR(INDEX('Watershed plans'!$Q$12:$Q$267,MATCH(178,$K$31:$K$286,0)),NA())</f>
        <v/>
      </c>
      <c r="E208" s="21">
        <f>IFERROR(INDEX('Watershed plans'!$P$12:$P$267,MATCH(178,'Watershed plans'!$Y$12:$Y$267,0)),NA())</f>
        <v/>
      </c>
      <c r="F208" s="25">
        <f>IFERROR(INDEX('Watershed plans'!$Q$12:$Q$267,MATCH(178,'Watershed plans'!$Y$12:$Y$267,0)),NA())</f>
        <v/>
      </c>
      <c r="K208" s="10">
        <f>IF('Watershed plans'!T189=1,1+SUMPRODUCT('Watershed plans'!$T$12:$T$267*(('Watershed plans'!$M$12:$M$267&lt;'Watershed plans'!M189)+('Watershed plans'!$M$12:$M$267='Watershed plans'!M189)*('Watershed plans'!$A$12:$A$267&lt;'Watershed plans'!A189))),0)</f>
        <v/>
      </c>
    </row>
    <row r="209">
      <c r="A209" s="21">
        <f>IF(AND('Watershed plans'!C190=1,'Watershed plans'!T190&lt;&gt;1),'Watershed plans'!P190,NA())</f>
        <v/>
      </c>
      <c r="B209" s="25">
        <f>IF(AND('Watershed plans'!C190=1,'Watershed plans'!T190&lt;&gt;1),'Watershed plans'!Q190,NA())</f>
        <v/>
      </c>
      <c r="C209" s="21">
        <f>IFERROR(INDEX('Watershed plans'!$P$12:$P$267,MATCH(179,$K$31:$K$286,0)),NA())</f>
        <v/>
      </c>
      <c r="D209" s="25">
        <f>IFERROR(INDEX('Watershed plans'!$Q$12:$Q$267,MATCH(179,$K$31:$K$286,0)),NA())</f>
        <v/>
      </c>
      <c r="E209" s="21">
        <f>IFERROR(INDEX('Watershed plans'!$P$12:$P$267,MATCH(179,'Watershed plans'!$Y$12:$Y$267,0)),NA())</f>
        <v/>
      </c>
      <c r="F209" s="25">
        <f>IFERROR(INDEX('Watershed plans'!$Q$12:$Q$267,MATCH(179,'Watershed plans'!$Y$12:$Y$267,0)),NA())</f>
        <v/>
      </c>
      <c r="K209" s="10">
        <f>IF('Watershed plans'!T190=1,1+SUMPRODUCT('Watershed plans'!$T$12:$T$267*(('Watershed plans'!$M$12:$M$267&lt;'Watershed plans'!M190)+('Watershed plans'!$M$12:$M$267='Watershed plans'!M190)*('Watershed plans'!$A$12:$A$267&lt;'Watershed plans'!A190))),0)</f>
        <v/>
      </c>
    </row>
    <row r="210">
      <c r="A210" s="21">
        <f>IF(AND('Watershed plans'!C191=1,'Watershed plans'!T191&lt;&gt;1),'Watershed plans'!P191,NA())</f>
        <v/>
      </c>
      <c r="B210" s="25">
        <f>IF(AND('Watershed plans'!C191=1,'Watershed plans'!T191&lt;&gt;1),'Watershed plans'!Q191,NA())</f>
        <v/>
      </c>
      <c r="C210" s="21">
        <f>IFERROR(INDEX('Watershed plans'!$P$12:$P$267,MATCH(180,$K$31:$K$286,0)),NA())</f>
        <v/>
      </c>
      <c r="D210" s="25">
        <f>IFERROR(INDEX('Watershed plans'!$Q$12:$Q$267,MATCH(180,$K$31:$K$286,0)),NA())</f>
        <v/>
      </c>
      <c r="E210" s="21">
        <f>IFERROR(INDEX('Watershed plans'!$P$12:$P$267,MATCH(180,'Watershed plans'!$Y$12:$Y$267,0)),NA())</f>
        <v/>
      </c>
      <c r="F210" s="25">
        <f>IFERROR(INDEX('Watershed plans'!$Q$12:$Q$267,MATCH(180,'Watershed plans'!$Y$12:$Y$267,0)),NA())</f>
        <v/>
      </c>
      <c r="K210" s="10">
        <f>IF('Watershed plans'!T191=1,1+SUMPRODUCT('Watershed plans'!$T$12:$T$267*(('Watershed plans'!$M$12:$M$267&lt;'Watershed plans'!M191)+('Watershed plans'!$M$12:$M$267='Watershed plans'!M191)*('Watershed plans'!$A$12:$A$267&lt;'Watershed plans'!A191))),0)</f>
        <v/>
      </c>
    </row>
    <row r="211">
      <c r="A211" s="21">
        <f>IF(AND('Watershed plans'!C192=1,'Watershed plans'!T192&lt;&gt;1),'Watershed plans'!P192,NA())</f>
        <v/>
      </c>
      <c r="B211" s="25">
        <f>IF(AND('Watershed plans'!C192=1,'Watershed plans'!T192&lt;&gt;1),'Watershed plans'!Q192,NA())</f>
        <v/>
      </c>
      <c r="C211" s="21">
        <f>IFERROR(INDEX('Watershed plans'!$P$12:$P$267,MATCH(181,$K$31:$K$286,0)),NA())</f>
        <v/>
      </c>
      <c r="D211" s="25">
        <f>IFERROR(INDEX('Watershed plans'!$Q$12:$Q$267,MATCH(181,$K$31:$K$286,0)),NA())</f>
        <v/>
      </c>
      <c r="E211" s="21">
        <f>IFERROR(INDEX('Watershed plans'!$P$12:$P$267,MATCH(181,'Watershed plans'!$Y$12:$Y$267,0)),NA())</f>
        <v/>
      </c>
      <c r="F211" s="25">
        <f>IFERROR(INDEX('Watershed plans'!$Q$12:$Q$267,MATCH(181,'Watershed plans'!$Y$12:$Y$267,0)),NA())</f>
        <v/>
      </c>
      <c r="K211" s="10">
        <f>IF('Watershed plans'!T192=1,1+SUMPRODUCT('Watershed plans'!$T$12:$T$267*(('Watershed plans'!$M$12:$M$267&lt;'Watershed plans'!M192)+('Watershed plans'!$M$12:$M$267='Watershed plans'!M192)*('Watershed plans'!$A$12:$A$267&lt;'Watershed plans'!A192))),0)</f>
        <v/>
      </c>
    </row>
    <row r="212">
      <c r="A212" s="21">
        <f>IF(AND('Watershed plans'!C193=1,'Watershed plans'!T193&lt;&gt;1),'Watershed plans'!P193,NA())</f>
        <v/>
      </c>
      <c r="B212" s="25">
        <f>IF(AND('Watershed plans'!C193=1,'Watershed plans'!T193&lt;&gt;1),'Watershed plans'!Q193,NA())</f>
        <v/>
      </c>
      <c r="C212" s="21">
        <f>IFERROR(INDEX('Watershed plans'!$P$12:$P$267,MATCH(182,$K$31:$K$286,0)),NA())</f>
        <v/>
      </c>
      <c r="D212" s="25">
        <f>IFERROR(INDEX('Watershed plans'!$Q$12:$Q$267,MATCH(182,$K$31:$K$286,0)),NA())</f>
        <v/>
      </c>
      <c r="E212" s="21">
        <f>IFERROR(INDEX('Watershed plans'!$P$12:$P$267,MATCH(182,'Watershed plans'!$Y$12:$Y$267,0)),NA())</f>
        <v/>
      </c>
      <c r="F212" s="25">
        <f>IFERROR(INDEX('Watershed plans'!$Q$12:$Q$267,MATCH(182,'Watershed plans'!$Y$12:$Y$267,0)),NA())</f>
        <v/>
      </c>
      <c r="K212" s="10">
        <f>IF('Watershed plans'!T193=1,1+SUMPRODUCT('Watershed plans'!$T$12:$T$267*(('Watershed plans'!$M$12:$M$267&lt;'Watershed plans'!M193)+('Watershed plans'!$M$12:$M$267='Watershed plans'!M193)*('Watershed plans'!$A$12:$A$267&lt;'Watershed plans'!A193))),0)</f>
        <v/>
      </c>
    </row>
    <row r="213">
      <c r="A213" s="21">
        <f>IF(AND('Watershed plans'!C194=1,'Watershed plans'!T194&lt;&gt;1),'Watershed plans'!P194,NA())</f>
        <v/>
      </c>
      <c r="B213" s="25">
        <f>IF(AND('Watershed plans'!C194=1,'Watershed plans'!T194&lt;&gt;1),'Watershed plans'!Q194,NA())</f>
        <v/>
      </c>
      <c r="C213" s="21">
        <f>IFERROR(INDEX('Watershed plans'!$P$12:$P$267,MATCH(183,$K$31:$K$286,0)),NA())</f>
        <v/>
      </c>
      <c r="D213" s="25">
        <f>IFERROR(INDEX('Watershed plans'!$Q$12:$Q$267,MATCH(183,$K$31:$K$286,0)),NA())</f>
        <v/>
      </c>
      <c r="E213" s="21">
        <f>IFERROR(INDEX('Watershed plans'!$P$12:$P$267,MATCH(183,'Watershed plans'!$Y$12:$Y$267,0)),NA())</f>
        <v/>
      </c>
      <c r="F213" s="25">
        <f>IFERROR(INDEX('Watershed plans'!$Q$12:$Q$267,MATCH(183,'Watershed plans'!$Y$12:$Y$267,0)),NA())</f>
        <v/>
      </c>
      <c r="K213" s="10">
        <f>IF('Watershed plans'!T194=1,1+SUMPRODUCT('Watershed plans'!$T$12:$T$267*(('Watershed plans'!$M$12:$M$267&lt;'Watershed plans'!M194)+('Watershed plans'!$M$12:$M$267='Watershed plans'!M194)*('Watershed plans'!$A$12:$A$267&lt;'Watershed plans'!A194))),0)</f>
        <v/>
      </c>
    </row>
    <row r="214">
      <c r="A214" s="21">
        <f>IF(AND('Watershed plans'!C195=1,'Watershed plans'!T195&lt;&gt;1),'Watershed plans'!P195,NA())</f>
        <v/>
      </c>
      <c r="B214" s="25">
        <f>IF(AND('Watershed plans'!C195=1,'Watershed plans'!T195&lt;&gt;1),'Watershed plans'!Q195,NA())</f>
        <v/>
      </c>
      <c r="C214" s="21">
        <f>IFERROR(INDEX('Watershed plans'!$P$12:$P$267,MATCH(184,$K$31:$K$286,0)),NA())</f>
        <v/>
      </c>
      <c r="D214" s="25">
        <f>IFERROR(INDEX('Watershed plans'!$Q$12:$Q$267,MATCH(184,$K$31:$K$286,0)),NA())</f>
        <v/>
      </c>
      <c r="E214" s="21">
        <f>IFERROR(INDEX('Watershed plans'!$P$12:$P$267,MATCH(184,'Watershed plans'!$Y$12:$Y$267,0)),NA())</f>
        <v/>
      </c>
      <c r="F214" s="25">
        <f>IFERROR(INDEX('Watershed plans'!$Q$12:$Q$267,MATCH(184,'Watershed plans'!$Y$12:$Y$267,0)),NA())</f>
        <v/>
      </c>
      <c r="K214" s="10">
        <f>IF('Watershed plans'!T195=1,1+SUMPRODUCT('Watershed plans'!$T$12:$T$267*(('Watershed plans'!$M$12:$M$267&lt;'Watershed plans'!M195)+('Watershed plans'!$M$12:$M$267='Watershed plans'!M195)*('Watershed plans'!$A$12:$A$267&lt;'Watershed plans'!A195))),0)</f>
        <v/>
      </c>
    </row>
    <row r="215">
      <c r="A215" s="21">
        <f>IF(AND('Watershed plans'!C196=1,'Watershed plans'!T196&lt;&gt;1),'Watershed plans'!P196,NA())</f>
        <v/>
      </c>
      <c r="B215" s="25">
        <f>IF(AND('Watershed plans'!C196=1,'Watershed plans'!T196&lt;&gt;1),'Watershed plans'!Q196,NA())</f>
        <v/>
      </c>
      <c r="C215" s="21">
        <f>IFERROR(INDEX('Watershed plans'!$P$12:$P$267,MATCH(185,$K$31:$K$286,0)),NA())</f>
        <v/>
      </c>
      <c r="D215" s="25">
        <f>IFERROR(INDEX('Watershed plans'!$Q$12:$Q$267,MATCH(185,$K$31:$K$286,0)),NA())</f>
        <v/>
      </c>
      <c r="E215" s="21">
        <f>IFERROR(INDEX('Watershed plans'!$P$12:$P$267,MATCH(185,'Watershed plans'!$Y$12:$Y$267,0)),NA())</f>
        <v/>
      </c>
      <c r="F215" s="25">
        <f>IFERROR(INDEX('Watershed plans'!$Q$12:$Q$267,MATCH(185,'Watershed plans'!$Y$12:$Y$267,0)),NA())</f>
        <v/>
      </c>
      <c r="K215" s="10">
        <f>IF('Watershed plans'!T196=1,1+SUMPRODUCT('Watershed plans'!$T$12:$T$267*(('Watershed plans'!$M$12:$M$267&lt;'Watershed plans'!M196)+('Watershed plans'!$M$12:$M$267='Watershed plans'!M196)*('Watershed plans'!$A$12:$A$267&lt;'Watershed plans'!A196))),0)</f>
        <v/>
      </c>
    </row>
    <row r="216">
      <c r="A216" s="21">
        <f>IF(AND('Watershed plans'!C197=1,'Watershed plans'!T197&lt;&gt;1),'Watershed plans'!P197,NA())</f>
        <v/>
      </c>
      <c r="B216" s="25">
        <f>IF(AND('Watershed plans'!C197=1,'Watershed plans'!T197&lt;&gt;1),'Watershed plans'!Q197,NA())</f>
        <v/>
      </c>
      <c r="C216" s="21">
        <f>IFERROR(INDEX('Watershed plans'!$P$12:$P$267,MATCH(186,$K$31:$K$286,0)),NA())</f>
        <v/>
      </c>
      <c r="D216" s="25">
        <f>IFERROR(INDEX('Watershed plans'!$Q$12:$Q$267,MATCH(186,$K$31:$K$286,0)),NA())</f>
        <v/>
      </c>
      <c r="E216" s="21">
        <f>IFERROR(INDEX('Watershed plans'!$P$12:$P$267,MATCH(186,'Watershed plans'!$Y$12:$Y$267,0)),NA())</f>
        <v/>
      </c>
      <c r="F216" s="25">
        <f>IFERROR(INDEX('Watershed plans'!$Q$12:$Q$267,MATCH(186,'Watershed plans'!$Y$12:$Y$267,0)),NA())</f>
        <v/>
      </c>
      <c r="K216" s="10">
        <f>IF('Watershed plans'!T197=1,1+SUMPRODUCT('Watershed plans'!$T$12:$T$267*(('Watershed plans'!$M$12:$M$267&lt;'Watershed plans'!M197)+('Watershed plans'!$M$12:$M$267='Watershed plans'!M197)*('Watershed plans'!$A$12:$A$267&lt;'Watershed plans'!A197))),0)</f>
        <v/>
      </c>
    </row>
    <row r="217">
      <c r="A217" s="21">
        <f>IF(AND('Watershed plans'!C198=1,'Watershed plans'!T198&lt;&gt;1),'Watershed plans'!P198,NA())</f>
        <v/>
      </c>
      <c r="B217" s="25">
        <f>IF(AND('Watershed plans'!C198=1,'Watershed plans'!T198&lt;&gt;1),'Watershed plans'!Q198,NA())</f>
        <v/>
      </c>
      <c r="C217" s="21">
        <f>IFERROR(INDEX('Watershed plans'!$P$12:$P$267,MATCH(187,$K$31:$K$286,0)),NA())</f>
        <v/>
      </c>
      <c r="D217" s="25">
        <f>IFERROR(INDEX('Watershed plans'!$Q$12:$Q$267,MATCH(187,$K$31:$K$286,0)),NA())</f>
        <v/>
      </c>
      <c r="E217" s="21">
        <f>IFERROR(INDEX('Watershed plans'!$P$12:$P$267,MATCH(187,'Watershed plans'!$Y$12:$Y$267,0)),NA())</f>
        <v/>
      </c>
      <c r="F217" s="25">
        <f>IFERROR(INDEX('Watershed plans'!$Q$12:$Q$267,MATCH(187,'Watershed plans'!$Y$12:$Y$267,0)),NA())</f>
        <v/>
      </c>
      <c r="K217" s="10">
        <f>IF('Watershed plans'!T198=1,1+SUMPRODUCT('Watershed plans'!$T$12:$T$267*(('Watershed plans'!$M$12:$M$267&lt;'Watershed plans'!M198)+('Watershed plans'!$M$12:$M$267='Watershed plans'!M198)*('Watershed plans'!$A$12:$A$267&lt;'Watershed plans'!A198))),0)</f>
        <v/>
      </c>
    </row>
    <row r="218">
      <c r="A218" s="21">
        <f>IF(AND('Watershed plans'!C199=1,'Watershed plans'!T199&lt;&gt;1),'Watershed plans'!P199,NA())</f>
        <v/>
      </c>
      <c r="B218" s="25">
        <f>IF(AND('Watershed plans'!C199=1,'Watershed plans'!T199&lt;&gt;1),'Watershed plans'!Q199,NA())</f>
        <v/>
      </c>
      <c r="C218" s="21">
        <f>IFERROR(INDEX('Watershed plans'!$P$12:$P$267,MATCH(188,$K$31:$K$286,0)),NA())</f>
        <v/>
      </c>
      <c r="D218" s="25">
        <f>IFERROR(INDEX('Watershed plans'!$Q$12:$Q$267,MATCH(188,$K$31:$K$286,0)),NA())</f>
        <v/>
      </c>
      <c r="E218" s="21">
        <f>IFERROR(INDEX('Watershed plans'!$P$12:$P$267,MATCH(188,'Watershed plans'!$Y$12:$Y$267,0)),NA())</f>
        <v/>
      </c>
      <c r="F218" s="25">
        <f>IFERROR(INDEX('Watershed plans'!$Q$12:$Q$267,MATCH(188,'Watershed plans'!$Y$12:$Y$267,0)),NA())</f>
        <v/>
      </c>
      <c r="K218" s="10">
        <f>IF('Watershed plans'!T199=1,1+SUMPRODUCT('Watershed plans'!$T$12:$T$267*(('Watershed plans'!$M$12:$M$267&lt;'Watershed plans'!M199)+('Watershed plans'!$M$12:$M$267='Watershed plans'!M199)*('Watershed plans'!$A$12:$A$267&lt;'Watershed plans'!A199))),0)</f>
        <v/>
      </c>
    </row>
    <row r="219">
      <c r="A219" s="21">
        <f>IF(AND('Watershed plans'!C200=1,'Watershed plans'!T200&lt;&gt;1),'Watershed plans'!P200,NA())</f>
        <v/>
      </c>
      <c r="B219" s="25">
        <f>IF(AND('Watershed plans'!C200=1,'Watershed plans'!T200&lt;&gt;1),'Watershed plans'!Q200,NA())</f>
        <v/>
      </c>
      <c r="C219" s="21">
        <f>IFERROR(INDEX('Watershed plans'!$P$12:$P$267,MATCH(189,$K$31:$K$286,0)),NA())</f>
        <v/>
      </c>
      <c r="D219" s="25">
        <f>IFERROR(INDEX('Watershed plans'!$Q$12:$Q$267,MATCH(189,$K$31:$K$286,0)),NA())</f>
        <v/>
      </c>
      <c r="E219" s="21">
        <f>IFERROR(INDEX('Watershed plans'!$P$12:$P$267,MATCH(189,'Watershed plans'!$Y$12:$Y$267,0)),NA())</f>
        <v/>
      </c>
      <c r="F219" s="25">
        <f>IFERROR(INDEX('Watershed plans'!$Q$12:$Q$267,MATCH(189,'Watershed plans'!$Y$12:$Y$267,0)),NA())</f>
        <v/>
      </c>
      <c r="K219" s="10">
        <f>IF('Watershed plans'!T200=1,1+SUMPRODUCT('Watershed plans'!$T$12:$T$267*(('Watershed plans'!$M$12:$M$267&lt;'Watershed plans'!M200)+('Watershed plans'!$M$12:$M$267='Watershed plans'!M200)*('Watershed plans'!$A$12:$A$267&lt;'Watershed plans'!A200))),0)</f>
        <v/>
      </c>
    </row>
    <row r="220">
      <c r="A220" s="21">
        <f>IF(AND('Watershed plans'!C201=1,'Watershed plans'!T201&lt;&gt;1),'Watershed plans'!P201,NA())</f>
        <v/>
      </c>
      <c r="B220" s="25">
        <f>IF(AND('Watershed plans'!C201=1,'Watershed plans'!T201&lt;&gt;1),'Watershed plans'!Q201,NA())</f>
        <v/>
      </c>
      <c r="C220" s="21">
        <f>IFERROR(INDEX('Watershed plans'!$P$12:$P$267,MATCH(190,$K$31:$K$286,0)),NA())</f>
        <v/>
      </c>
      <c r="D220" s="25">
        <f>IFERROR(INDEX('Watershed plans'!$Q$12:$Q$267,MATCH(190,$K$31:$K$286,0)),NA())</f>
        <v/>
      </c>
      <c r="E220" s="21">
        <f>IFERROR(INDEX('Watershed plans'!$P$12:$P$267,MATCH(190,'Watershed plans'!$Y$12:$Y$267,0)),NA())</f>
        <v/>
      </c>
      <c r="F220" s="25">
        <f>IFERROR(INDEX('Watershed plans'!$Q$12:$Q$267,MATCH(190,'Watershed plans'!$Y$12:$Y$267,0)),NA())</f>
        <v/>
      </c>
      <c r="K220" s="10">
        <f>IF('Watershed plans'!T201=1,1+SUMPRODUCT('Watershed plans'!$T$12:$T$267*(('Watershed plans'!$M$12:$M$267&lt;'Watershed plans'!M201)+('Watershed plans'!$M$12:$M$267='Watershed plans'!M201)*('Watershed plans'!$A$12:$A$267&lt;'Watershed plans'!A201))),0)</f>
        <v/>
      </c>
    </row>
    <row r="221">
      <c r="A221" s="21">
        <f>IF(AND('Watershed plans'!C202=1,'Watershed plans'!T202&lt;&gt;1),'Watershed plans'!P202,NA())</f>
        <v/>
      </c>
      <c r="B221" s="25">
        <f>IF(AND('Watershed plans'!C202=1,'Watershed plans'!T202&lt;&gt;1),'Watershed plans'!Q202,NA())</f>
        <v/>
      </c>
      <c r="C221" s="21">
        <f>IFERROR(INDEX('Watershed plans'!$P$12:$P$267,MATCH(191,$K$31:$K$286,0)),NA())</f>
        <v/>
      </c>
      <c r="D221" s="25">
        <f>IFERROR(INDEX('Watershed plans'!$Q$12:$Q$267,MATCH(191,$K$31:$K$286,0)),NA())</f>
        <v/>
      </c>
      <c r="E221" s="21">
        <f>IFERROR(INDEX('Watershed plans'!$P$12:$P$267,MATCH(191,'Watershed plans'!$Y$12:$Y$267,0)),NA())</f>
        <v/>
      </c>
      <c r="F221" s="25">
        <f>IFERROR(INDEX('Watershed plans'!$Q$12:$Q$267,MATCH(191,'Watershed plans'!$Y$12:$Y$267,0)),NA())</f>
        <v/>
      </c>
      <c r="K221" s="10">
        <f>IF('Watershed plans'!T202=1,1+SUMPRODUCT('Watershed plans'!$T$12:$T$267*(('Watershed plans'!$M$12:$M$267&lt;'Watershed plans'!M202)+('Watershed plans'!$M$12:$M$267='Watershed plans'!M202)*('Watershed plans'!$A$12:$A$267&lt;'Watershed plans'!A202))),0)</f>
        <v/>
      </c>
    </row>
    <row r="222">
      <c r="A222" s="21">
        <f>IF(AND('Watershed plans'!C203=1,'Watershed plans'!T203&lt;&gt;1),'Watershed plans'!P203,NA())</f>
        <v/>
      </c>
      <c r="B222" s="25">
        <f>IF(AND('Watershed plans'!C203=1,'Watershed plans'!T203&lt;&gt;1),'Watershed plans'!Q203,NA())</f>
        <v/>
      </c>
      <c r="C222" s="21">
        <f>IFERROR(INDEX('Watershed plans'!$P$12:$P$267,MATCH(192,$K$31:$K$286,0)),NA())</f>
        <v/>
      </c>
      <c r="D222" s="25">
        <f>IFERROR(INDEX('Watershed plans'!$Q$12:$Q$267,MATCH(192,$K$31:$K$286,0)),NA())</f>
        <v/>
      </c>
      <c r="E222" s="21">
        <f>IFERROR(INDEX('Watershed plans'!$P$12:$P$267,MATCH(192,'Watershed plans'!$Y$12:$Y$267,0)),NA())</f>
        <v/>
      </c>
      <c r="F222" s="25">
        <f>IFERROR(INDEX('Watershed plans'!$Q$12:$Q$267,MATCH(192,'Watershed plans'!$Y$12:$Y$267,0)),NA())</f>
        <v/>
      </c>
      <c r="K222" s="10">
        <f>IF('Watershed plans'!T203=1,1+SUMPRODUCT('Watershed plans'!$T$12:$T$267*(('Watershed plans'!$M$12:$M$267&lt;'Watershed plans'!M203)+('Watershed plans'!$M$12:$M$267='Watershed plans'!M203)*('Watershed plans'!$A$12:$A$267&lt;'Watershed plans'!A203))),0)</f>
        <v/>
      </c>
    </row>
    <row r="223">
      <c r="A223" s="21">
        <f>IF(AND('Watershed plans'!C204=1,'Watershed plans'!T204&lt;&gt;1),'Watershed plans'!P204,NA())</f>
        <v/>
      </c>
      <c r="B223" s="25">
        <f>IF(AND('Watershed plans'!C204=1,'Watershed plans'!T204&lt;&gt;1),'Watershed plans'!Q204,NA())</f>
        <v/>
      </c>
      <c r="C223" s="21">
        <f>IFERROR(INDEX('Watershed plans'!$P$12:$P$267,MATCH(193,$K$31:$K$286,0)),NA())</f>
        <v/>
      </c>
      <c r="D223" s="25">
        <f>IFERROR(INDEX('Watershed plans'!$Q$12:$Q$267,MATCH(193,$K$31:$K$286,0)),NA())</f>
        <v/>
      </c>
      <c r="E223" s="21">
        <f>IFERROR(INDEX('Watershed plans'!$P$12:$P$267,MATCH(193,'Watershed plans'!$Y$12:$Y$267,0)),NA())</f>
        <v/>
      </c>
      <c r="F223" s="25">
        <f>IFERROR(INDEX('Watershed plans'!$Q$12:$Q$267,MATCH(193,'Watershed plans'!$Y$12:$Y$267,0)),NA())</f>
        <v/>
      </c>
      <c r="K223" s="10">
        <f>IF('Watershed plans'!T204=1,1+SUMPRODUCT('Watershed plans'!$T$12:$T$267*(('Watershed plans'!$M$12:$M$267&lt;'Watershed plans'!M204)+('Watershed plans'!$M$12:$M$267='Watershed plans'!M204)*('Watershed plans'!$A$12:$A$267&lt;'Watershed plans'!A204))),0)</f>
        <v/>
      </c>
    </row>
    <row r="224">
      <c r="A224" s="21">
        <f>IF(AND('Watershed plans'!C205=1,'Watershed plans'!T205&lt;&gt;1),'Watershed plans'!P205,NA())</f>
        <v/>
      </c>
      <c r="B224" s="25">
        <f>IF(AND('Watershed plans'!C205=1,'Watershed plans'!T205&lt;&gt;1),'Watershed plans'!Q205,NA())</f>
        <v/>
      </c>
      <c r="C224" s="21">
        <f>IFERROR(INDEX('Watershed plans'!$P$12:$P$267,MATCH(194,$K$31:$K$286,0)),NA())</f>
        <v/>
      </c>
      <c r="D224" s="25">
        <f>IFERROR(INDEX('Watershed plans'!$Q$12:$Q$267,MATCH(194,$K$31:$K$286,0)),NA())</f>
        <v/>
      </c>
      <c r="E224" s="21">
        <f>IFERROR(INDEX('Watershed plans'!$P$12:$P$267,MATCH(194,'Watershed plans'!$Y$12:$Y$267,0)),NA())</f>
        <v/>
      </c>
      <c r="F224" s="25">
        <f>IFERROR(INDEX('Watershed plans'!$Q$12:$Q$267,MATCH(194,'Watershed plans'!$Y$12:$Y$267,0)),NA())</f>
        <v/>
      </c>
      <c r="K224" s="10">
        <f>IF('Watershed plans'!T205=1,1+SUMPRODUCT('Watershed plans'!$T$12:$T$267*(('Watershed plans'!$M$12:$M$267&lt;'Watershed plans'!M205)+('Watershed plans'!$M$12:$M$267='Watershed plans'!M205)*('Watershed plans'!$A$12:$A$267&lt;'Watershed plans'!A205))),0)</f>
        <v/>
      </c>
    </row>
    <row r="225">
      <c r="A225" s="21">
        <f>IF(AND('Watershed plans'!C206=1,'Watershed plans'!T206&lt;&gt;1),'Watershed plans'!P206,NA())</f>
        <v/>
      </c>
      <c r="B225" s="25">
        <f>IF(AND('Watershed plans'!C206=1,'Watershed plans'!T206&lt;&gt;1),'Watershed plans'!Q206,NA())</f>
        <v/>
      </c>
      <c r="C225" s="21">
        <f>IFERROR(INDEX('Watershed plans'!$P$12:$P$267,MATCH(195,$K$31:$K$286,0)),NA())</f>
        <v/>
      </c>
      <c r="D225" s="25">
        <f>IFERROR(INDEX('Watershed plans'!$Q$12:$Q$267,MATCH(195,$K$31:$K$286,0)),NA())</f>
        <v/>
      </c>
      <c r="E225" s="21">
        <f>IFERROR(INDEX('Watershed plans'!$P$12:$P$267,MATCH(195,'Watershed plans'!$Y$12:$Y$267,0)),NA())</f>
        <v/>
      </c>
      <c r="F225" s="25">
        <f>IFERROR(INDEX('Watershed plans'!$Q$12:$Q$267,MATCH(195,'Watershed plans'!$Y$12:$Y$267,0)),NA())</f>
        <v/>
      </c>
      <c r="K225" s="10">
        <f>IF('Watershed plans'!T206=1,1+SUMPRODUCT('Watershed plans'!$T$12:$T$267*(('Watershed plans'!$M$12:$M$267&lt;'Watershed plans'!M206)+('Watershed plans'!$M$12:$M$267='Watershed plans'!M206)*('Watershed plans'!$A$12:$A$267&lt;'Watershed plans'!A206))),0)</f>
        <v/>
      </c>
    </row>
    <row r="226">
      <c r="A226" s="21">
        <f>IF(AND('Watershed plans'!C207=1,'Watershed plans'!T207&lt;&gt;1),'Watershed plans'!P207,NA())</f>
        <v/>
      </c>
      <c r="B226" s="25">
        <f>IF(AND('Watershed plans'!C207=1,'Watershed plans'!T207&lt;&gt;1),'Watershed plans'!Q207,NA())</f>
        <v/>
      </c>
      <c r="C226" s="21">
        <f>IFERROR(INDEX('Watershed plans'!$P$12:$P$267,MATCH(196,$K$31:$K$286,0)),NA())</f>
        <v/>
      </c>
      <c r="D226" s="25">
        <f>IFERROR(INDEX('Watershed plans'!$Q$12:$Q$267,MATCH(196,$K$31:$K$286,0)),NA())</f>
        <v/>
      </c>
      <c r="E226" s="21">
        <f>IFERROR(INDEX('Watershed plans'!$P$12:$P$267,MATCH(196,'Watershed plans'!$Y$12:$Y$267,0)),NA())</f>
        <v/>
      </c>
      <c r="F226" s="25">
        <f>IFERROR(INDEX('Watershed plans'!$Q$12:$Q$267,MATCH(196,'Watershed plans'!$Y$12:$Y$267,0)),NA())</f>
        <v/>
      </c>
      <c r="K226" s="10">
        <f>IF('Watershed plans'!T207=1,1+SUMPRODUCT('Watershed plans'!$T$12:$T$267*(('Watershed plans'!$M$12:$M$267&lt;'Watershed plans'!M207)+('Watershed plans'!$M$12:$M$267='Watershed plans'!M207)*('Watershed plans'!$A$12:$A$267&lt;'Watershed plans'!A207))),0)</f>
        <v/>
      </c>
    </row>
    <row r="227">
      <c r="A227" s="21">
        <f>IF(AND('Watershed plans'!C208=1,'Watershed plans'!T208&lt;&gt;1),'Watershed plans'!P208,NA())</f>
        <v/>
      </c>
      <c r="B227" s="25">
        <f>IF(AND('Watershed plans'!C208=1,'Watershed plans'!T208&lt;&gt;1),'Watershed plans'!Q208,NA())</f>
        <v/>
      </c>
      <c r="C227" s="21">
        <f>IFERROR(INDEX('Watershed plans'!$P$12:$P$267,MATCH(197,$K$31:$K$286,0)),NA())</f>
        <v/>
      </c>
      <c r="D227" s="25">
        <f>IFERROR(INDEX('Watershed plans'!$Q$12:$Q$267,MATCH(197,$K$31:$K$286,0)),NA())</f>
        <v/>
      </c>
      <c r="E227" s="21">
        <f>IFERROR(INDEX('Watershed plans'!$P$12:$P$267,MATCH(197,'Watershed plans'!$Y$12:$Y$267,0)),NA())</f>
        <v/>
      </c>
      <c r="F227" s="25">
        <f>IFERROR(INDEX('Watershed plans'!$Q$12:$Q$267,MATCH(197,'Watershed plans'!$Y$12:$Y$267,0)),NA())</f>
        <v/>
      </c>
      <c r="K227" s="10">
        <f>IF('Watershed plans'!T208=1,1+SUMPRODUCT('Watershed plans'!$T$12:$T$267*(('Watershed plans'!$M$12:$M$267&lt;'Watershed plans'!M208)+('Watershed plans'!$M$12:$M$267='Watershed plans'!M208)*('Watershed plans'!$A$12:$A$267&lt;'Watershed plans'!A208))),0)</f>
        <v/>
      </c>
    </row>
    <row r="228">
      <c r="A228" s="21">
        <f>IF(AND('Watershed plans'!C209=1,'Watershed plans'!T209&lt;&gt;1),'Watershed plans'!P209,NA())</f>
        <v/>
      </c>
      <c r="B228" s="25">
        <f>IF(AND('Watershed plans'!C209=1,'Watershed plans'!T209&lt;&gt;1),'Watershed plans'!Q209,NA())</f>
        <v/>
      </c>
      <c r="C228" s="21">
        <f>IFERROR(INDEX('Watershed plans'!$P$12:$P$267,MATCH(198,$K$31:$K$286,0)),NA())</f>
        <v/>
      </c>
      <c r="D228" s="25">
        <f>IFERROR(INDEX('Watershed plans'!$Q$12:$Q$267,MATCH(198,$K$31:$K$286,0)),NA())</f>
        <v/>
      </c>
      <c r="E228" s="21">
        <f>IFERROR(INDEX('Watershed plans'!$P$12:$P$267,MATCH(198,'Watershed plans'!$Y$12:$Y$267,0)),NA())</f>
        <v/>
      </c>
      <c r="F228" s="25">
        <f>IFERROR(INDEX('Watershed plans'!$Q$12:$Q$267,MATCH(198,'Watershed plans'!$Y$12:$Y$267,0)),NA())</f>
        <v/>
      </c>
      <c r="K228" s="10">
        <f>IF('Watershed plans'!T209=1,1+SUMPRODUCT('Watershed plans'!$T$12:$T$267*(('Watershed plans'!$M$12:$M$267&lt;'Watershed plans'!M209)+('Watershed plans'!$M$12:$M$267='Watershed plans'!M209)*('Watershed plans'!$A$12:$A$267&lt;'Watershed plans'!A209))),0)</f>
        <v/>
      </c>
    </row>
    <row r="229">
      <c r="A229" s="21">
        <f>IF(AND('Watershed plans'!C210=1,'Watershed plans'!T210&lt;&gt;1),'Watershed plans'!P210,NA())</f>
        <v/>
      </c>
      <c r="B229" s="25">
        <f>IF(AND('Watershed plans'!C210=1,'Watershed plans'!T210&lt;&gt;1),'Watershed plans'!Q210,NA())</f>
        <v/>
      </c>
      <c r="C229" s="21">
        <f>IFERROR(INDEX('Watershed plans'!$P$12:$P$267,MATCH(199,$K$31:$K$286,0)),NA())</f>
        <v/>
      </c>
      <c r="D229" s="25">
        <f>IFERROR(INDEX('Watershed plans'!$Q$12:$Q$267,MATCH(199,$K$31:$K$286,0)),NA())</f>
        <v/>
      </c>
      <c r="E229" s="21">
        <f>IFERROR(INDEX('Watershed plans'!$P$12:$P$267,MATCH(199,'Watershed plans'!$Y$12:$Y$267,0)),NA())</f>
        <v/>
      </c>
      <c r="F229" s="25">
        <f>IFERROR(INDEX('Watershed plans'!$Q$12:$Q$267,MATCH(199,'Watershed plans'!$Y$12:$Y$267,0)),NA())</f>
        <v/>
      </c>
      <c r="K229" s="10">
        <f>IF('Watershed plans'!T210=1,1+SUMPRODUCT('Watershed plans'!$T$12:$T$267*(('Watershed plans'!$M$12:$M$267&lt;'Watershed plans'!M210)+('Watershed plans'!$M$12:$M$267='Watershed plans'!M210)*('Watershed plans'!$A$12:$A$267&lt;'Watershed plans'!A210))),0)</f>
        <v/>
      </c>
    </row>
    <row r="230">
      <c r="A230" s="21">
        <f>IF(AND('Watershed plans'!C211=1,'Watershed plans'!T211&lt;&gt;1),'Watershed plans'!P211,NA())</f>
        <v/>
      </c>
      <c r="B230" s="25">
        <f>IF(AND('Watershed plans'!C211=1,'Watershed plans'!T211&lt;&gt;1),'Watershed plans'!Q211,NA())</f>
        <v/>
      </c>
      <c r="C230" s="21">
        <f>IFERROR(INDEX('Watershed plans'!$P$12:$P$267,MATCH(200,$K$31:$K$286,0)),NA())</f>
        <v/>
      </c>
      <c r="D230" s="25">
        <f>IFERROR(INDEX('Watershed plans'!$Q$12:$Q$267,MATCH(200,$K$31:$K$286,0)),NA())</f>
        <v/>
      </c>
      <c r="E230" s="21">
        <f>IFERROR(INDEX('Watershed plans'!$P$12:$P$267,MATCH(200,'Watershed plans'!$Y$12:$Y$267,0)),NA())</f>
        <v/>
      </c>
      <c r="F230" s="25">
        <f>IFERROR(INDEX('Watershed plans'!$Q$12:$Q$267,MATCH(200,'Watershed plans'!$Y$12:$Y$267,0)),NA())</f>
        <v/>
      </c>
      <c r="K230" s="10">
        <f>IF('Watershed plans'!T211=1,1+SUMPRODUCT('Watershed plans'!$T$12:$T$267*(('Watershed plans'!$M$12:$M$267&lt;'Watershed plans'!M211)+('Watershed plans'!$M$12:$M$267='Watershed plans'!M211)*('Watershed plans'!$A$12:$A$267&lt;'Watershed plans'!A211))),0)</f>
        <v/>
      </c>
    </row>
    <row r="231">
      <c r="A231" s="21">
        <f>IF(AND('Watershed plans'!C212=1,'Watershed plans'!T212&lt;&gt;1),'Watershed plans'!P212,NA())</f>
        <v/>
      </c>
      <c r="B231" s="25">
        <f>IF(AND('Watershed plans'!C212=1,'Watershed plans'!T212&lt;&gt;1),'Watershed plans'!Q212,NA())</f>
        <v/>
      </c>
      <c r="C231" s="21">
        <f>IFERROR(INDEX('Watershed plans'!$P$12:$P$267,MATCH(201,$K$31:$K$286,0)),NA())</f>
        <v/>
      </c>
      <c r="D231" s="25">
        <f>IFERROR(INDEX('Watershed plans'!$Q$12:$Q$267,MATCH(201,$K$31:$K$286,0)),NA())</f>
        <v/>
      </c>
      <c r="E231" s="21">
        <f>IFERROR(INDEX('Watershed plans'!$P$12:$P$267,MATCH(201,'Watershed plans'!$Y$12:$Y$267,0)),NA())</f>
        <v/>
      </c>
      <c r="F231" s="25">
        <f>IFERROR(INDEX('Watershed plans'!$Q$12:$Q$267,MATCH(201,'Watershed plans'!$Y$12:$Y$267,0)),NA())</f>
        <v/>
      </c>
      <c r="K231" s="10">
        <f>IF('Watershed plans'!T212=1,1+SUMPRODUCT('Watershed plans'!$T$12:$T$267*(('Watershed plans'!$M$12:$M$267&lt;'Watershed plans'!M212)+('Watershed plans'!$M$12:$M$267='Watershed plans'!M212)*('Watershed plans'!$A$12:$A$267&lt;'Watershed plans'!A212))),0)</f>
        <v/>
      </c>
    </row>
    <row r="232">
      <c r="A232" s="21">
        <f>IF(AND('Watershed plans'!C213=1,'Watershed plans'!T213&lt;&gt;1),'Watershed plans'!P213,NA())</f>
        <v/>
      </c>
      <c r="B232" s="25">
        <f>IF(AND('Watershed plans'!C213=1,'Watershed plans'!T213&lt;&gt;1),'Watershed plans'!Q213,NA())</f>
        <v/>
      </c>
      <c r="C232" s="21">
        <f>IFERROR(INDEX('Watershed plans'!$P$12:$P$267,MATCH(202,$K$31:$K$286,0)),NA())</f>
        <v/>
      </c>
      <c r="D232" s="25">
        <f>IFERROR(INDEX('Watershed plans'!$Q$12:$Q$267,MATCH(202,$K$31:$K$286,0)),NA())</f>
        <v/>
      </c>
      <c r="E232" s="21">
        <f>IFERROR(INDEX('Watershed plans'!$P$12:$P$267,MATCH(202,'Watershed plans'!$Y$12:$Y$267,0)),NA())</f>
        <v/>
      </c>
      <c r="F232" s="25">
        <f>IFERROR(INDEX('Watershed plans'!$Q$12:$Q$267,MATCH(202,'Watershed plans'!$Y$12:$Y$267,0)),NA())</f>
        <v/>
      </c>
      <c r="K232" s="10">
        <f>IF('Watershed plans'!T213=1,1+SUMPRODUCT('Watershed plans'!$T$12:$T$267*(('Watershed plans'!$M$12:$M$267&lt;'Watershed plans'!M213)+('Watershed plans'!$M$12:$M$267='Watershed plans'!M213)*('Watershed plans'!$A$12:$A$267&lt;'Watershed plans'!A213))),0)</f>
        <v/>
      </c>
    </row>
    <row r="233">
      <c r="A233" s="21">
        <f>IF(AND('Watershed plans'!C214=1,'Watershed plans'!T214&lt;&gt;1),'Watershed plans'!P214,NA())</f>
        <v/>
      </c>
      <c r="B233" s="25">
        <f>IF(AND('Watershed plans'!C214=1,'Watershed plans'!T214&lt;&gt;1),'Watershed plans'!Q214,NA())</f>
        <v/>
      </c>
      <c r="C233" s="21">
        <f>IFERROR(INDEX('Watershed plans'!$P$12:$P$267,MATCH(203,$K$31:$K$286,0)),NA())</f>
        <v/>
      </c>
      <c r="D233" s="25">
        <f>IFERROR(INDEX('Watershed plans'!$Q$12:$Q$267,MATCH(203,$K$31:$K$286,0)),NA())</f>
        <v/>
      </c>
      <c r="E233" s="21">
        <f>IFERROR(INDEX('Watershed plans'!$P$12:$P$267,MATCH(203,'Watershed plans'!$Y$12:$Y$267,0)),NA())</f>
        <v/>
      </c>
      <c r="F233" s="25">
        <f>IFERROR(INDEX('Watershed plans'!$Q$12:$Q$267,MATCH(203,'Watershed plans'!$Y$12:$Y$267,0)),NA())</f>
        <v/>
      </c>
      <c r="K233" s="10">
        <f>IF('Watershed plans'!T214=1,1+SUMPRODUCT('Watershed plans'!$T$12:$T$267*(('Watershed plans'!$M$12:$M$267&lt;'Watershed plans'!M214)+('Watershed plans'!$M$12:$M$267='Watershed plans'!M214)*('Watershed plans'!$A$12:$A$267&lt;'Watershed plans'!A214))),0)</f>
        <v/>
      </c>
    </row>
    <row r="234">
      <c r="A234" s="21">
        <f>IF(AND('Watershed plans'!C215=1,'Watershed plans'!T215&lt;&gt;1),'Watershed plans'!P215,NA())</f>
        <v/>
      </c>
      <c r="B234" s="25">
        <f>IF(AND('Watershed plans'!C215=1,'Watershed plans'!T215&lt;&gt;1),'Watershed plans'!Q215,NA())</f>
        <v/>
      </c>
      <c r="C234" s="21">
        <f>IFERROR(INDEX('Watershed plans'!$P$12:$P$267,MATCH(204,$K$31:$K$286,0)),NA())</f>
        <v/>
      </c>
      <c r="D234" s="25">
        <f>IFERROR(INDEX('Watershed plans'!$Q$12:$Q$267,MATCH(204,$K$31:$K$286,0)),NA())</f>
        <v/>
      </c>
      <c r="E234" s="21">
        <f>IFERROR(INDEX('Watershed plans'!$P$12:$P$267,MATCH(204,'Watershed plans'!$Y$12:$Y$267,0)),NA())</f>
        <v/>
      </c>
      <c r="F234" s="25">
        <f>IFERROR(INDEX('Watershed plans'!$Q$12:$Q$267,MATCH(204,'Watershed plans'!$Y$12:$Y$267,0)),NA())</f>
        <v/>
      </c>
      <c r="K234" s="10">
        <f>IF('Watershed plans'!T215=1,1+SUMPRODUCT('Watershed plans'!$T$12:$T$267*(('Watershed plans'!$M$12:$M$267&lt;'Watershed plans'!M215)+('Watershed plans'!$M$12:$M$267='Watershed plans'!M215)*('Watershed plans'!$A$12:$A$267&lt;'Watershed plans'!A215))),0)</f>
        <v/>
      </c>
    </row>
    <row r="235">
      <c r="A235" s="21">
        <f>IF(AND('Watershed plans'!C216=1,'Watershed plans'!T216&lt;&gt;1),'Watershed plans'!P216,NA())</f>
        <v/>
      </c>
      <c r="B235" s="25">
        <f>IF(AND('Watershed plans'!C216=1,'Watershed plans'!T216&lt;&gt;1),'Watershed plans'!Q216,NA())</f>
        <v/>
      </c>
      <c r="C235" s="21">
        <f>IFERROR(INDEX('Watershed plans'!$P$12:$P$267,MATCH(205,$K$31:$K$286,0)),NA())</f>
        <v/>
      </c>
      <c r="D235" s="25">
        <f>IFERROR(INDEX('Watershed plans'!$Q$12:$Q$267,MATCH(205,$K$31:$K$286,0)),NA())</f>
        <v/>
      </c>
      <c r="E235" s="21">
        <f>IFERROR(INDEX('Watershed plans'!$P$12:$P$267,MATCH(205,'Watershed plans'!$Y$12:$Y$267,0)),NA())</f>
        <v/>
      </c>
      <c r="F235" s="25">
        <f>IFERROR(INDEX('Watershed plans'!$Q$12:$Q$267,MATCH(205,'Watershed plans'!$Y$12:$Y$267,0)),NA())</f>
        <v/>
      </c>
      <c r="K235" s="10">
        <f>IF('Watershed plans'!T216=1,1+SUMPRODUCT('Watershed plans'!$T$12:$T$267*(('Watershed plans'!$M$12:$M$267&lt;'Watershed plans'!M216)+('Watershed plans'!$M$12:$M$267='Watershed plans'!M216)*('Watershed plans'!$A$12:$A$267&lt;'Watershed plans'!A216))),0)</f>
        <v/>
      </c>
    </row>
    <row r="236">
      <c r="A236" s="21">
        <f>IF(AND('Watershed plans'!C217=1,'Watershed plans'!T217&lt;&gt;1),'Watershed plans'!P217,NA())</f>
        <v/>
      </c>
      <c r="B236" s="25">
        <f>IF(AND('Watershed plans'!C217=1,'Watershed plans'!T217&lt;&gt;1),'Watershed plans'!Q217,NA())</f>
        <v/>
      </c>
      <c r="C236" s="21">
        <f>IFERROR(INDEX('Watershed plans'!$P$12:$P$267,MATCH(206,$K$31:$K$286,0)),NA())</f>
        <v/>
      </c>
      <c r="D236" s="25">
        <f>IFERROR(INDEX('Watershed plans'!$Q$12:$Q$267,MATCH(206,$K$31:$K$286,0)),NA())</f>
        <v/>
      </c>
      <c r="E236" s="21">
        <f>IFERROR(INDEX('Watershed plans'!$P$12:$P$267,MATCH(206,'Watershed plans'!$Y$12:$Y$267,0)),NA())</f>
        <v/>
      </c>
      <c r="F236" s="25">
        <f>IFERROR(INDEX('Watershed plans'!$Q$12:$Q$267,MATCH(206,'Watershed plans'!$Y$12:$Y$267,0)),NA())</f>
        <v/>
      </c>
      <c r="K236" s="10">
        <f>IF('Watershed plans'!T217=1,1+SUMPRODUCT('Watershed plans'!$T$12:$T$267*(('Watershed plans'!$M$12:$M$267&lt;'Watershed plans'!M217)+('Watershed plans'!$M$12:$M$267='Watershed plans'!M217)*('Watershed plans'!$A$12:$A$267&lt;'Watershed plans'!A217))),0)</f>
        <v/>
      </c>
    </row>
    <row r="237">
      <c r="A237" s="21">
        <f>IF(AND('Watershed plans'!C218=1,'Watershed plans'!T218&lt;&gt;1),'Watershed plans'!P218,NA())</f>
        <v/>
      </c>
      <c r="B237" s="25">
        <f>IF(AND('Watershed plans'!C218=1,'Watershed plans'!T218&lt;&gt;1),'Watershed plans'!Q218,NA())</f>
        <v/>
      </c>
      <c r="C237" s="21">
        <f>IFERROR(INDEX('Watershed plans'!$P$12:$P$267,MATCH(207,$K$31:$K$286,0)),NA())</f>
        <v/>
      </c>
      <c r="D237" s="25">
        <f>IFERROR(INDEX('Watershed plans'!$Q$12:$Q$267,MATCH(207,$K$31:$K$286,0)),NA())</f>
        <v/>
      </c>
      <c r="E237" s="21">
        <f>IFERROR(INDEX('Watershed plans'!$P$12:$P$267,MATCH(207,'Watershed plans'!$Y$12:$Y$267,0)),NA())</f>
        <v/>
      </c>
      <c r="F237" s="25">
        <f>IFERROR(INDEX('Watershed plans'!$Q$12:$Q$267,MATCH(207,'Watershed plans'!$Y$12:$Y$267,0)),NA())</f>
        <v/>
      </c>
      <c r="K237" s="10">
        <f>IF('Watershed plans'!T218=1,1+SUMPRODUCT('Watershed plans'!$T$12:$T$267*(('Watershed plans'!$M$12:$M$267&lt;'Watershed plans'!M218)+('Watershed plans'!$M$12:$M$267='Watershed plans'!M218)*('Watershed plans'!$A$12:$A$267&lt;'Watershed plans'!A218))),0)</f>
        <v/>
      </c>
    </row>
    <row r="238">
      <c r="A238" s="21">
        <f>IF(AND('Watershed plans'!C219=1,'Watershed plans'!T219&lt;&gt;1),'Watershed plans'!P219,NA())</f>
        <v/>
      </c>
      <c r="B238" s="25">
        <f>IF(AND('Watershed plans'!C219=1,'Watershed plans'!T219&lt;&gt;1),'Watershed plans'!Q219,NA())</f>
        <v/>
      </c>
      <c r="C238" s="21">
        <f>IFERROR(INDEX('Watershed plans'!$P$12:$P$267,MATCH(208,$K$31:$K$286,0)),NA())</f>
        <v/>
      </c>
      <c r="D238" s="25">
        <f>IFERROR(INDEX('Watershed plans'!$Q$12:$Q$267,MATCH(208,$K$31:$K$286,0)),NA())</f>
        <v/>
      </c>
      <c r="E238" s="21">
        <f>IFERROR(INDEX('Watershed plans'!$P$12:$P$267,MATCH(208,'Watershed plans'!$Y$12:$Y$267,0)),NA())</f>
        <v/>
      </c>
      <c r="F238" s="25">
        <f>IFERROR(INDEX('Watershed plans'!$Q$12:$Q$267,MATCH(208,'Watershed plans'!$Y$12:$Y$267,0)),NA())</f>
        <v/>
      </c>
      <c r="K238" s="10">
        <f>IF('Watershed plans'!T219=1,1+SUMPRODUCT('Watershed plans'!$T$12:$T$267*(('Watershed plans'!$M$12:$M$267&lt;'Watershed plans'!M219)+('Watershed plans'!$M$12:$M$267='Watershed plans'!M219)*('Watershed plans'!$A$12:$A$267&lt;'Watershed plans'!A219))),0)</f>
        <v/>
      </c>
    </row>
    <row r="239">
      <c r="A239" s="21">
        <f>IF(AND('Watershed plans'!C220=1,'Watershed plans'!T220&lt;&gt;1),'Watershed plans'!P220,NA())</f>
        <v/>
      </c>
      <c r="B239" s="25">
        <f>IF(AND('Watershed plans'!C220=1,'Watershed plans'!T220&lt;&gt;1),'Watershed plans'!Q220,NA())</f>
        <v/>
      </c>
      <c r="C239" s="21">
        <f>IFERROR(INDEX('Watershed plans'!$P$12:$P$267,MATCH(209,$K$31:$K$286,0)),NA())</f>
        <v/>
      </c>
      <c r="D239" s="25">
        <f>IFERROR(INDEX('Watershed plans'!$Q$12:$Q$267,MATCH(209,$K$31:$K$286,0)),NA())</f>
        <v/>
      </c>
      <c r="E239" s="21">
        <f>IFERROR(INDEX('Watershed plans'!$P$12:$P$267,MATCH(209,'Watershed plans'!$Y$12:$Y$267,0)),NA())</f>
        <v/>
      </c>
      <c r="F239" s="25">
        <f>IFERROR(INDEX('Watershed plans'!$Q$12:$Q$267,MATCH(209,'Watershed plans'!$Y$12:$Y$267,0)),NA())</f>
        <v/>
      </c>
      <c r="K239" s="10">
        <f>IF('Watershed plans'!T220=1,1+SUMPRODUCT('Watershed plans'!$T$12:$T$267*(('Watershed plans'!$M$12:$M$267&lt;'Watershed plans'!M220)+('Watershed plans'!$M$12:$M$267='Watershed plans'!M220)*('Watershed plans'!$A$12:$A$267&lt;'Watershed plans'!A220))),0)</f>
        <v/>
      </c>
    </row>
    <row r="240">
      <c r="A240" s="21">
        <f>IF(AND('Watershed plans'!C221=1,'Watershed plans'!T221&lt;&gt;1),'Watershed plans'!P221,NA())</f>
        <v/>
      </c>
      <c r="B240" s="25">
        <f>IF(AND('Watershed plans'!C221=1,'Watershed plans'!T221&lt;&gt;1),'Watershed plans'!Q221,NA())</f>
        <v/>
      </c>
      <c r="C240" s="21">
        <f>IFERROR(INDEX('Watershed plans'!$P$12:$P$267,MATCH(210,$K$31:$K$286,0)),NA())</f>
        <v/>
      </c>
      <c r="D240" s="25">
        <f>IFERROR(INDEX('Watershed plans'!$Q$12:$Q$267,MATCH(210,$K$31:$K$286,0)),NA())</f>
        <v/>
      </c>
      <c r="E240" s="21">
        <f>IFERROR(INDEX('Watershed plans'!$P$12:$P$267,MATCH(210,'Watershed plans'!$Y$12:$Y$267,0)),NA())</f>
        <v/>
      </c>
      <c r="F240" s="25">
        <f>IFERROR(INDEX('Watershed plans'!$Q$12:$Q$267,MATCH(210,'Watershed plans'!$Y$12:$Y$267,0)),NA())</f>
        <v/>
      </c>
      <c r="K240" s="10">
        <f>IF('Watershed plans'!T221=1,1+SUMPRODUCT('Watershed plans'!$T$12:$T$267*(('Watershed plans'!$M$12:$M$267&lt;'Watershed plans'!M221)+('Watershed plans'!$M$12:$M$267='Watershed plans'!M221)*('Watershed plans'!$A$12:$A$267&lt;'Watershed plans'!A221))),0)</f>
        <v/>
      </c>
    </row>
    <row r="241">
      <c r="A241" s="21">
        <f>IF(AND('Watershed plans'!C222=1,'Watershed plans'!T222&lt;&gt;1),'Watershed plans'!P222,NA())</f>
        <v/>
      </c>
      <c r="B241" s="25">
        <f>IF(AND('Watershed plans'!C222=1,'Watershed plans'!T222&lt;&gt;1),'Watershed plans'!Q222,NA())</f>
        <v/>
      </c>
      <c r="C241" s="21">
        <f>IFERROR(INDEX('Watershed plans'!$P$12:$P$267,MATCH(211,$K$31:$K$286,0)),NA())</f>
        <v/>
      </c>
      <c r="D241" s="25">
        <f>IFERROR(INDEX('Watershed plans'!$Q$12:$Q$267,MATCH(211,$K$31:$K$286,0)),NA())</f>
        <v/>
      </c>
      <c r="E241" s="21">
        <f>IFERROR(INDEX('Watershed plans'!$P$12:$P$267,MATCH(211,'Watershed plans'!$Y$12:$Y$267,0)),NA())</f>
        <v/>
      </c>
      <c r="F241" s="25">
        <f>IFERROR(INDEX('Watershed plans'!$Q$12:$Q$267,MATCH(211,'Watershed plans'!$Y$12:$Y$267,0)),NA())</f>
        <v/>
      </c>
      <c r="K241" s="10">
        <f>IF('Watershed plans'!T222=1,1+SUMPRODUCT('Watershed plans'!$T$12:$T$267*(('Watershed plans'!$M$12:$M$267&lt;'Watershed plans'!M222)+('Watershed plans'!$M$12:$M$267='Watershed plans'!M222)*('Watershed plans'!$A$12:$A$267&lt;'Watershed plans'!A222))),0)</f>
        <v/>
      </c>
    </row>
    <row r="242">
      <c r="A242" s="21">
        <f>IF(AND('Watershed plans'!C223=1,'Watershed plans'!T223&lt;&gt;1),'Watershed plans'!P223,NA())</f>
        <v/>
      </c>
      <c r="B242" s="25">
        <f>IF(AND('Watershed plans'!C223=1,'Watershed plans'!T223&lt;&gt;1),'Watershed plans'!Q223,NA())</f>
        <v/>
      </c>
      <c r="C242" s="21">
        <f>IFERROR(INDEX('Watershed plans'!$P$12:$P$267,MATCH(212,$K$31:$K$286,0)),NA())</f>
        <v/>
      </c>
      <c r="D242" s="25">
        <f>IFERROR(INDEX('Watershed plans'!$Q$12:$Q$267,MATCH(212,$K$31:$K$286,0)),NA())</f>
        <v/>
      </c>
      <c r="E242" s="21">
        <f>IFERROR(INDEX('Watershed plans'!$P$12:$P$267,MATCH(212,'Watershed plans'!$Y$12:$Y$267,0)),NA())</f>
        <v/>
      </c>
      <c r="F242" s="25">
        <f>IFERROR(INDEX('Watershed plans'!$Q$12:$Q$267,MATCH(212,'Watershed plans'!$Y$12:$Y$267,0)),NA())</f>
        <v/>
      </c>
      <c r="K242" s="10">
        <f>IF('Watershed plans'!T223=1,1+SUMPRODUCT('Watershed plans'!$T$12:$T$267*(('Watershed plans'!$M$12:$M$267&lt;'Watershed plans'!M223)+('Watershed plans'!$M$12:$M$267='Watershed plans'!M223)*('Watershed plans'!$A$12:$A$267&lt;'Watershed plans'!A223))),0)</f>
        <v/>
      </c>
    </row>
    <row r="243">
      <c r="A243" s="21">
        <f>IF(AND('Watershed plans'!C224=1,'Watershed plans'!T224&lt;&gt;1),'Watershed plans'!P224,NA())</f>
        <v/>
      </c>
      <c r="B243" s="25">
        <f>IF(AND('Watershed plans'!C224=1,'Watershed plans'!T224&lt;&gt;1),'Watershed plans'!Q224,NA())</f>
        <v/>
      </c>
      <c r="C243" s="21">
        <f>IFERROR(INDEX('Watershed plans'!$P$12:$P$267,MATCH(213,$K$31:$K$286,0)),NA())</f>
        <v/>
      </c>
      <c r="D243" s="25">
        <f>IFERROR(INDEX('Watershed plans'!$Q$12:$Q$267,MATCH(213,$K$31:$K$286,0)),NA())</f>
        <v/>
      </c>
      <c r="E243" s="21">
        <f>IFERROR(INDEX('Watershed plans'!$P$12:$P$267,MATCH(213,'Watershed plans'!$Y$12:$Y$267,0)),NA())</f>
        <v/>
      </c>
      <c r="F243" s="25">
        <f>IFERROR(INDEX('Watershed plans'!$Q$12:$Q$267,MATCH(213,'Watershed plans'!$Y$12:$Y$267,0)),NA())</f>
        <v/>
      </c>
      <c r="K243" s="10">
        <f>IF('Watershed plans'!T224=1,1+SUMPRODUCT('Watershed plans'!$T$12:$T$267*(('Watershed plans'!$M$12:$M$267&lt;'Watershed plans'!M224)+('Watershed plans'!$M$12:$M$267='Watershed plans'!M224)*('Watershed plans'!$A$12:$A$267&lt;'Watershed plans'!A224))),0)</f>
        <v/>
      </c>
    </row>
    <row r="244">
      <c r="A244" s="21">
        <f>IF(AND('Watershed plans'!C225=1,'Watershed plans'!T225&lt;&gt;1),'Watershed plans'!P225,NA())</f>
        <v/>
      </c>
      <c r="B244" s="25">
        <f>IF(AND('Watershed plans'!C225=1,'Watershed plans'!T225&lt;&gt;1),'Watershed plans'!Q225,NA())</f>
        <v/>
      </c>
      <c r="C244" s="21">
        <f>IFERROR(INDEX('Watershed plans'!$P$12:$P$267,MATCH(214,$K$31:$K$286,0)),NA())</f>
        <v/>
      </c>
      <c r="D244" s="25">
        <f>IFERROR(INDEX('Watershed plans'!$Q$12:$Q$267,MATCH(214,$K$31:$K$286,0)),NA())</f>
        <v/>
      </c>
      <c r="E244" s="21">
        <f>IFERROR(INDEX('Watershed plans'!$P$12:$P$267,MATCH(214,'Watershed plans'!$Y$12:$Y$267,0)),NA())</f>
        <v/>
      </c>
      <c r="F244" s="25">
        <f>IFERROR(INDEX('Watershed plans'!$Q$12:$Q$267,MATCH(214,'Watershed plans'!$Y$12:$Y$267,0)),NA())</f>
        <v/>
      </c>
      <c r="K244" s="10">
        <f>IF('Watershed plans'!T225=1,1+SUMPRODUCT('Watershed plans'!$T$12:$T$267*(('Watershed plans'!$M$12:$M$267&lt;'Watershed plans'!M225)+('Watershed plans'!$M$12:$M$267='Watershed plans'!M225)*('Watershed plans'!$A$12:$A$267&lt;'Watershed plans'!A225))),0)</f>
        <v/>
      </c>
    </row>
    <row r="245">
      <c r="A245" s="21">
        <f>IF(AND('Watershed plans'!C226=1,'Watershed plans'!T226&lt;&gt;1),'Watershed plans'!P226,NA())</f>
        <v/>
      </c>
      <c r="B245" s="25">
        <f>IF(AND('Watershed plans'!C226=1,'Watershed plans'!T226&lt;&gt;1),'Watershed plans'!Q226,NA())</f>
        <v/>
      </c>
      <c r="C245" s="21">
        <f>IFERROR(INDEX('Watershed plans'!$P$12:$P$267,MATCH(215,$K$31:$K$286,0)),NA())</f>
        <v/>
      </c>
      <c r="D245" s="25">
        <f>IFERROR(INDEX('Watershed plans'!$Q$12:$Q$267,MATCH(215,$K$31:$K$286,0)),NA())</f>
        <v/>
      </c>
      <c r="E245" s="21">
        <f>IFERROR(INDEX('Watershed plans'!$P$12:$P$267,MATCH(215,'Watershed plans'!$Y$12:$Y$267,0)),NA())</f>
        <v/>
      </c>
      <c r="F245" s="25">
        <f>IFERROR(INDEX('Watershed plans'!$Q$12:$Q$267,MATCH(215,'Watershed plans'!$Y$12:$Y$267,0)),NA())</f>
        <v/>
      </c>
      <c r="K245" s="10">
        <f>IF('Watershed plans'!T226=1,1+SUMPRODUCT('Watershed plans'!$T$12:$T$267*(('Watershed plans'!$M$12:$M$267&lt;'Watershed plans'!M226)+('Watershed plans'!$M$12:$M$267='Watershed plans'!M226)*('Watershed plans'!$A$12:$A$267&lt;'Watershed plans'!A226))),0)</f>
        <v/>
      </c>
    </row>
    <row r="246">
      <c r="A246" s="21">
        <f>IF(AND('Watershed plans'!C227=1,'Watershed plans'!T227&lt;&gt;1),'Watershed plans'!P227,NA())</f>
        <v/>
      </c>
      <c r="B246" s="25">
        <f>IF(AND('Watershed plans'!C227=1,'Watershed plans'!T227&lt;&gt;1),'Watershed plans'!Q227,NA())</f>
        <v/>
      </c>
      <c r="C246" s="21">
        <f>IFERROR(INDEX('Watershed plans'!$P$12:$P$267,MATCH(216,$K$31:$K$286,0)),NA())</f>
        <v/>
      </c>
      <c r="D246" s="25">
        <f>IFERROR(INDEX('Watershed plans'!$Q$12:$Q$267,MATCH(216,$K$31:$K$286,0)),NA())</f>
        <v/>
      </c>
      <c r="E246" s="21">
        <f>IFERROR(INDEX('Watershed plans'!$P$12:$P$267,MATCH(216,'Watershed plans'!$Y$12:$Y$267,0)),NA())</f>
        <v/>
      </c>
      <c r="F246" s="25">
        <f>IFERROR(INDEX('Watershed plans'!$Q$12:$Q$267,MATCH(216,'Watershed plans'!$Y$12:$Y$267,0)),NA())</f>
        <v/>
      </c>
      <c r="K246" s="10">
        <f>IF('Watershed plans'!T227=1,1+SUMPRODUCT('Watershed plans'!$T$12:$T$267*(('Watershed plans'!$M$12:$M$267&lt;'Watershed plans'!M227)+('Watershed plans'!$M$12:$M$267='Watershed plans'!M227)*('Watershed plans'!$A$12:$A$267&lt;'Watershed plans'!A227))),0)</f>
        <v/>
      </c>
    </row>
    <row r="247">
      <c r="A247" s="21">
        <f>IF(AND('Watershed plans'!C228=1,'Watershed plans'!T228&lt;&gt;1),'Watershed plans'!P228,NA())</f>
        <v/>
      </c>
      <c r="B247" s="25">
        <f>IF(AND('Watershed plans'!C228=1,'Watershed plans'!T228&lt;&gt;1),'Watershed plans'!Q228,NA())</f>
        <v/>
      </c>
      <c r="C247" s="21">
        <f>IFERROR(INDEX('Watershed plans'!$P$12:$P$267,MATCH(217,$K$31:$K$286,0)),NA())</f>
        <v/>
      </c>
      <c r="D247" s="25">
        <f>IFERROR(INDEX('Watershed plans'!$Q$12:$Q$267,MATCH(217,$K$31:$K$286,0)),NA())</f>
        <v/>
      </c>
      <c r="E247" s="21">
        <f>IFERROR(INDEX('Watershed plans'!$P$12:$P$267,MATCH(217,'Watershed plans'!$Y$12:$Y$267,0)),NA())</f>
        <v/>
      </c>
      <c r="F247" s="25">
        <f>IFERROR(INDEX('Watershed plans'!$Q$12:$Q$267,MATCH(217,'Watershed plans'!$Y$12:$Y$267,0)),NA())</f>
        <v/>
      </c>
      <c r="K247" s="10">
        <f>IF('Watershed plans'!T228=1,1+SUMPRODUCT('Watershed plans'!$T$12:$T$267*(('Watershed plans'!$M$12:$M$267&lt;'Watershed plans'!M228)+('Watershed plans'!$M$12:$M$267='Watershed plans'!M228)*('Watershed plans'!$A$12:$A$267&lt;'Watershed plans'!A228))),0)</f>
        <v/>
      </c>
    </row>
    <row r="248">
      <c r="A248" s="21">
        <f>IF(AND('Watershed plans'!C229=1,'Watershed plans'!T229&lt;&gt;1),'Watershed plans'!P229,NA())</f>
        <v/>
      </c>
      <c r="B248" s="25">
        <f>IF(AND('Watershed plans'!C229=1,'Watershed plans'!T229&lt;&gt;1),'Watershed plans'!Q229,NA())</f>
        <v/>
      </c>
      <c r="C248" s="21">
        <f>IFERROR(INDEX('Watershed plans'!$P$12:$P$267,MATCH(218,$K$31:$K$286,0)),NA())</f>
        <v/>
      </c>
      <c r="D248" s="25">
        <f>IFERROR(INDEX('Watershed plans'!$Q$12:$Q$267,MATCH(218,$K$31:$K$286,0)),NA())</f>
        <v/>
      </c>
      <c r="E248" s="21">
        <f>IFERROR(INDEX('Watershed plans'!$P$12:$P$267,MATCH(218,'Watershed plans'!$Y$12:$Y$267,0)),NA())</f>
        <v/>
      </c>
      <c r="F248" s="25">
        <f>IFERROR(INDEX('Watershed plans'!$Q$12:$Q$267,MATCH(218,'Watershed plans'!$Y$12:$Y$267,0)),NA())</f>
        <v/>
      </c>
      <c r="K248" s="10">
        <f>IF('Watershed plans'!T229=1,1+SUMPRODUCT('Watershed plans'!$T$12:$T$267*(('Watershed plans'!$M$12:$M$267&lt;'Watershed plans'!M229)+('Watershed plans'!$M$12:$M$267='Watershed plans'!M229)*('Watershed plans'!$A$12:$A$267&lt;'Watershed plans'!A229))),0)</f>
        <v/>
      </c>
    </row>
    <row r="249">
      <c r="A249" s="21">
        <f>IF(AND('Watershed plans'!C230=1,'Watershed plans'!T230&lt;&gt;1),'Watershed plans'!P230,NA())</f>
        <v/>
      </c>
      <c r="B249" s="25">
        <f>IF(AND('Watershed plans'!C230=1,'Watershed plans'!T230&lt;&gt;1),'Watershed plans'!Q230,NA())</f>
        <v/>
      </c>
      <c r="C249" s="21">
        <f>IFERROR(INDEX('Watershed plans'!$P$12:$P$267,MATCH(219,$K$31:$K$286,0)),NA())</f>
        <v/>
      </c>
      <c r="D249" s="25">
        <f>IFERROR(INDEX('Watershed plans'!$Q$12:$Q$267,MATCH(219,$K$31:$K$286,0)),NA())</f>
        <v/>
      </c>
      <c r="E249" s="21">
        <f>IFERROR(INDEX('Watershed plans'!$P$12:$P$267,MATCH(219,'Watershed plans'!$Y$12:$Y$267,0)),NA())</f>
        <v/>
      </c>
      <c r="F249" s="25">
        <f>IFERROR(INDEX('Watershed plans'!$Q$12:$Q$267,MATCH(219,'Watershed plans'!$Y$12:$Y$267,0)),NA())</f>
        <v/>
      </c>
      <c r="K249" s="10">
        <f>IF('Watershed plans'!T230=1,1+SUMPRODUCT('Watershed plans'!$T$12:$T$267*(('Watershed plans'!$M$12:$M$267&lt;'Watershed plans'!M230)+('Watershed plans'!$M$12:$M$267='Watershed plans'!M230)*('Watershed plans'!$A$12:$A$267&lt;'Watershed plans'!A230))),0)</f>
        <v/>
      </c>
    </row>
    <row r="250">
      <c r="A250" s="21">
        <f>IF(AND('Watershed plans'!C231=1,'Watershed plans'!T231&lt;&gt;1),'Watershed plans'!P231,NA())</f>
        <v/>
      </c>
      <c r="B250" s="25">
        <f>IF(AND('Watershed plans'!C231=1,'Watershed plans'!T231&lt;&gt;1),'Watershed plans'!Q231,NA())</f>
        <v/>
      </c>
      <c r="C250" s="21">
        <f>IFERROR(INDEX('Watershed plans'!$P$12:$P$267,MATCH(220,$K$31:$K$286,0)),NA())</f>
        <v/>
      </c>
      <c r="D250" s="25">
        <f>IFERROR(INDEX('Watershed plans'!$Q$12:$Q$267,MATCH(220,$K$31:$K$286,0)),NA())</f>
        <v/>
      </c>
      <c r="E250" s="21">
        <f>IFERROR(INDEX('Watershed plans'!$P$12:$P$267,MATCH(220,'Watershed plans'!$Y$12:$Y$267,0)),NA())</f>
        <v/>
      </c>
      <c r="F250" s="25">
        <f>IFERROR(INDEX('Watershed plans'!$Q$12:$Q$267,MATCH(220,'Watershed plans'!$Y$12:$Y$267,0)),NA())</f>
        <v/>
      </c>
      <c r="K250" s="10">
        <f>IF('Watershed plans'!T231=1,1+SUMPRODUCT('Watershed plans'!$T$12:$T$267*(('Watershed plans'!$M$12:$M$267&lt;'Watershed plans'!M231)+('Watershed plans'!$M$12:$M$267='Watershed plans'!M231)*('Watershed plans'!$A$12:$A$267&lt;'Watershed plans'!A231))),0)</f>
        <v/>
      </c>
    </row>
    <row r="251">
      <c r="A251" s="21">
        <f>IF(AND('Watershed plans'!C232=1,'Watershed plans'!T232&lt;&gt;1),'Watershed plans'!P232,NA())</f>
        <v/>
      </c>
      <c r="B251" s="25">
        <f>IF(AND('Watershed plans'!C232=1,'Watershed plans'!T232&lt;&gt;1),'Watershed plans'!Q232,NA())</f>
        <v/>
      </c>
      <c r="C251" s="21">
        <f>IFERROR(INDEX('Watershed plans'!$P$12:$P$267,MATCH(221,$K$31:$K$286,0)),NA())</f>
        <v/>
      </c>
      <c r="D251" s="25">
        <f>IFERROR(INDEX('Watershed plans'!$Q$12:$Q$267,MATCH(221,$K$31:$K$286,0)),NA())</f>
        <v/>
      </c>
      <c r="E251" s="21">
        <f>IFERROR(INDEX('Watershed plans'!$P$12:$P$267,MATCH(221,'Watershed plans'!$Y$12:$Y$267,0)),NA())</f>
        <v/>
      </c>
      <c r="F251" s="25">
        <f>IFERROR(INDEX('Watershed plans'!$Q$12:$Q$267,MATCH(221,'Watershed plans'!$Y$12:$Y$267,0)),NA())</f>
        <v/>
      </c>
      <c r="K251" s="10">
        <f>IF('Watershed plans'!T232=1,1+SUMPRODUCT('Watershed plans'!$T$12:$T$267*(('Watershed plans'!$M$12:$M$267&lt;'Watershed plans'!M232)+('Watershed plans'!$M$12:$M$267='Watershed plans'!M232)*('Watershed plans'!$A$12:$A$267&lt;'Watershed plans'!A232))),0)</f>
        <v/>
      </c>
    </row>
    <row r="252">
      <c r="A252" s="21">
        <f>IF(AND('Watershed plans'!C233=1,'Watershed plans'!T233&lt;&gt;1),'Watershed plans'!P233,NA())</f>
        <v/>
      </c>
      <c r="B252" s="25">
        <f>IF(AND('Watershed plans'!C233=1,'Watershed plans'!T233&lt;&gt;1),'Watershed plans'!Q233,NA())</f>
        <v/>
      </c>
      <c r="C252" s="21">
        <f>IFERROR(INDEX('Watershed plans'!$P$12:$P$267,MATCH(222,$K$31:$K$286,0)),NA())</f>
        <v/>
      </c>
      <c r="D252" s="25">
        <f>IFERROR(INDEX('Watershed plans'!$Q$12:$Q$267,MATCH(222,$K$31:$K$286,0)),NA())</f>
        <v/>
      </c>
      <c r="E252" s="21">
        <f>IFERROR(INDEX('Watershed plans'!$P$12:$P$267,MATCH(222,'Watershed plans'!$Y$12:$Y$267,0)),NA())</f>
        <v/>
      </c>
      <c r="F252" s="25">
        <f>IFERROR(INDEX('Watershed plans'!$Q$12:$Q$267,MATCH(222,'Watershed plans'!$Y$12:$Y$267,0)),NA())</f>
        <v/>
      </c>
      <c r="K252" s="10">
        <f>IF('Watershed plans'!T233=1,1+SUMPRODUCT('Watershed plans'!$T$12:$T$267*(('Watershed plans'!$M$12:$M$267&lt;'Watershed plans'!M233)+('Watershed plans'!$M$12:$M$267='Watershed plans'!M233)*('Watershed plans'!$A$12:$A$267&lt;'Watershed plans'!A233))),0)</f>
        <v/>
      </c>
    </row>
    <row r="253">
      <c r="A253" s="21">
        <f>IF(AND('Watershed plans'!C234=1,'Watershed plans'!T234&lt;&gt;1),'Watershed plans'!P234,NA())</f>
        <v/>
      </c>
      <c r="B253" s="25">
        <f>IF(AND('Watershed plans'!C234=1,'Watershed plans'!T234&lt;&gt;1),'Watershed plans'!Q234,NA())</f>
        <v/>
      </c>
      <c r="C253" s="21">
        <f>IFERROR(INDEX('Watershed plans'!$P$12:$P$267,MATCH(223,$K$31:$K$286,0)),NA())</f>
        <v/>
      </c>
      <c r="D253" s="25">
        <f>IFERROR(INDEX('Watershed plans'!$Q$12:$Q$267,MATCH(223,$K$31:$K$286,0)),NA())</f>
        <v/>
      </c>
      <c r="E253" s="21">
        <f>IFERROR(INDEX('Watershed plans'!$P$12:$P$267,MATCH(223,'Watershed plans'!$Y$12:$Y$267,0)),NA())</f>
        <v/>
      </c>
      <c r="F253" s="25">
        <f>IFERROR(INDEX('Watershed plans'!$Q$12:$Q$267,MATCH(223,'Watershed plans'!$Y$12:$Y$267,0)),NA())</f>
        <v/>
      </c>
      <c r="K253" s="10">
        <f>IF('Watershed plans'!T234=1,1+SUMPRODUCT('Watershed plans'!$T$12:$T$267*(('Watershed plans'!$M$12:$M$267&lt;'Watershed plans'!M234)+('Watershed plans'!$M$12:$M$267='Watershed plans'!M234)*('Watershed plans'!$A$12:$A$267&lt;'Watershed plans'!A234))),0)</f>
        <v/>
      </c>
    </row>
    <row r="254">
      <c r="A254" s="21">
        <f>IF(AND('Watershed plans'!C235=1,'Watershed plans'!T235&lt;&gt;1),'Watershed plans'!P235,NA())</f>
        <v/>
      </c>
      <c r="B254" s="25">
        <f>IF(AND('Watershed plans'!C235=1,'Watershed plans'!T235&lt;&gt;1),'Watershed plans'!Q235,NA())</f>
        <v/>
      </c>
      <c r="C254" s="21">
        <f>IFERROR(INDEX('Watershed plans'!$P$12:$P$267,MATCH(224,$K$31:$K$286,0)),NA())</f>
        <v/>
      </c>
      <c r="D254" s="25">
        <f>IFERROR(INDEX('Watershed plans'!$Q$12:$Q$267,MATCH(224,$K$31:$K$286,0)),NA())</f>
        <v/>
      </c>
      <c r="E254" s="21">
        <f>IFERROR(INDEX('Watershed plans'!$P$12:$P$267,MATCH(224,'Watershed plans'!$Y$12:$Y$267,0)),NA())</f>
        <v/>
      </c>
      <c r="F254" s="25">
        <f>IFERROR(INDEX('Watershed plans'!$Q$12:$Q$267,MATCH(224,'Watershed plans'!$Y$12:$Y$267,0)),NA())</f>
        <v/>
      </c>
      <c r="K254" s="10">
        <f>IF('Watershed plans'!T235=1,1+SUMPRODUCT('Watershed plans'!$T$12:$T$267*(('Watershed plans'!$M$12:$M$267&lt;'Watershed plans'!M235)+('Watershed plans'!$M$12:$M$267='Watershed plans'!M235)*('Watershed plans'!$A$12:$A$267&lt;'Watershed plans'!A235))),0)</f>
        <v/>
      </c>
    </row>
    <row r="255">
      <c r="A255" s="21">
        <f>IF(AND('Watershed plans'!C236=1,'Watershed plans'!T236&lt;&gt;1),'Watershed plans'!P236,NA())</f>
        <v/>
      </c>
      <c r="B255" s="25">
        <f>IF(AND('Watershed plans'!C236=1,'Watershed plans'!T236&lt;&gt;1),'Watershed plans'!Q236,NA())</f>
        <v/>
      </c>
      <c r="C255" s="21">
        <f>IFERROR(INDEX('Watershed plans'!$P$12:$P$267,MATCH(225,$K$31:$K$286,0)),NA())</f>
        <v/>
      </c>
      <c r="D255" s="25">
        <f>IFERROR(INDEX('Watershed plans'!$Q$12:$Q$267,MATCH(225,$K$31:$K$286,0)),NA())</f>
        <v/>
      </c>
      <c r="E255" s="21">
        <f>IFERROR(INDEX('Watershed plans'!$P$12:$P$267,MATCH(225,'Watershed plans'!$Y$12:$Y$267,0)),NA())</f>
        <v/>
      </c>
      <c r="F255" s="25">
        <f>IFERROR(INDEX('Watershed plans'!$Q$12:$Q$267,MATCH(225,'Watershed plans'!$Y$12:$Y$267,0)),NA())</f>
        <v/>
      </c>
      <c r="K255" s="10">
        <f>IF('Watershed plans'!T236=1,1+SUMPRODUCT('Watershed plans'!$T$12:$T$267*(('Watershed plans'!$M$12:$M$267&lt;'Watershed plans'!M236)+('Watershed plans'!$M$12:$M$267='Watershed plans'!M236)*('Watershed plans'!$A$12:$A$267&lt;'Watershed plans'!A236))),0)</f>
        <v/>
      </c>
    </row>
    <row r="256">
      <c r="A256" s="21">
        <f>IF(AND('Watershed plans'!C237=1,'Watershed plans'!T237&lt;&gt;1),'Watershed plans'!P237,NA())</f>
        <v/>
      </c>
      <c r="B256" s="25">
        <f>IF(AND('Watershed plans'!C237=1,'Watershed plans'!T237&lt;&gt;1),'Watershed plans'!Q237,NA())</f>
        <v/>
      </c>
      <c r="C256" s="21">
        <f>IFERROR(INDEX('Watershed plans'!$P$12:$P$267,MATCH(226,$K$31:$K$286,0)),NA())</f>
        <v/>
      </c>
      <c r="D256" s="25">
        <f>IFERROR(INDEX('Watershed plans'!$Q$12:$Q$267,MATCH(226,$K$31:$K$286,0)),NA())</f>
        <v/>
      </c>
      <c r="E256" s="21">
        <f>IFERROR(INDEX('Watershed plans'!$P$12:$P$267,MATCH(226,'Watershed plans'!$Y$12:$Y$267,0)),NA())</f>
        <v/>
      </c>
      <c r="F256" s="25">
        <f>IFERROR(INDEX('Watershed plans'!$Q$12:$Q$267,MATCH(226,'Watershed plans'!$Y$12:$Y$267,0)),NA())</f>
        <v/>
      </c>
      <c r="K256" s="10">
        <f>IF('Watershed plans'!T237=1,1+SUMPRODUCT('Watershed plans'!$T$12:$T$267*(('Watershed plans'!$M$12:$M$267&lt;'Watershed plans'!M237)+('Watershed plans'!$M$12:$M$267='Watershed plans'!M237)*('Watershed plans'!$A$12:$A$267&lt;'Watershed plans'!A237))),0)</f>
        <v/>
      </c>
    </row>
    <row r="257">
      <c r="A257" s="21">
        <f>IF(AND('Watershed plans'!C238=1,'Watershed plans'!T238&lt;&gt;1),'Watershed plans'!P238,NA())</f>
        <v/>
      </c>
      <c r="B257" s="25">
        <f>IF(AND('Watershed plans'!C238=1,'Watershed plans'!T238&lt;&gt;1),'Watershed plans'!Q238,NA())</f>
        <v/>
      </c>
      <c r="C257" s="21">
        <f>IFERROR(INDEX('Watershed plans'!$P$12:$P$267,MATCH(227,$K$31:$K$286,0)),NA())</f>
        <v/>
      </c>
      <c r="D257" s="25">
        <f>IFERROR(INDEX('Watershed plans'!$Q$12:$Q$267,MATCH(227,$K$31:$K$286,0)),NA())</f>
        <v/>
      </c>
      <c r="E257" s="21">
        <f>IFERROR(INDEX('Watershed plans'!$P$12:$P$267,MATCH(227,'Watershed plans'!$Y$12:$Y$267,0)),NA())</f>
        <v/>
      </c>
      <c r="F257" s="25">
        <f>IFERROR(INDEX('Watershed plans'!$Q$12:$Q$267,MATCH(227,'Watershed plans'!$Y$12:$Y$267,0)),NA())</f>
        <v/>
      </c>
      <c r="K257" s="10">
        <f>IF('Watershed plans'!T238=1,1+SUMPRODUCT('Watershed plans'!$T$12:$T$267*(('Watershed plans'!$M$12:$M$267&lt;'Watershed plans'!M238)+('Watershed plans'!$M$12:$M$267='Watershed plans'!M238)*('Watershed plans'!$A$12:$A$267&lt;'Watershed plans'!A238))),0)</f>
        <v/>
      </c>
    </row>
    <row r="258">
      <c r="A258" s="21">
        <f>IF(AND('Watershed plans'!C239=1,'Watershed plans'!T239&lt;&gt;1),'Watershed plans'!P239,NA())</f>
        <v/>
      </c>
      <c r="B258" s="25">
        <f>IF(AND('Watershed plans'!C239=1,'Watershed plans'!T239&lt;&gt;1),'Watershed plans'!Q239,NA())</f>
        <v/>
      </c>
      <c r="C258" s="21">
        <f>IFERROR(INDEX('Watershed plans'!$P$12:$P$267,MATCH(228,$K$31:$K$286,0)),NA())</f>
        <v/>
      </c>
      <c r="D258" s="25">
        <f>IFERROR(INDEX('Watershed plans'!$Q$12:$Q$267,MATCH(228,$K$31:$K$286,0)),NA())</f>
        <v/>
      </c>
      <c r="E258" s="21">
        <f>IFERROR(INDEX('Watershed plans'!$P$12:$P$267,MATCH(228,'Watershed plans'!$Y$12:$Y$267,0)),NA())</f>
        <v/>
      </c>
      <c r="F258" s="25">
        <f>IFERROR(INDEX('Watershed plans'!$Q$12:$Q$267,MATCH(228,'Watershed plans'!$Y$12:$Y$267,0)),NA())</f>
        <v/>
      </c>
      <c r="K258" s="10">
        <f>IF('Watershed plans'!T239=1,1+SUMPRODUCT('Watershed plans'!$T$12:$T$267*(('Watershed plans'!$M$12:$M$267&lt;'Watershed plans'!M239)+('Watershed plans'!$M$12:$M$267='Watershed plans'!M239)*('Watershed plans'!$A$12:$A$267&lt;'Watershed plans'!A239))),0)</f>
        <v/>
      </c>
    </row>
    <row r="259">
      <c r="A259" s="21">
        <f>IF(AND('Watershed plans'!C240=1,'Watershed plans'!T240&lt;&gt;1),'Watershed plans'!P240,NA())</f>
        <v/>
      </c>
      <c r="B259" s="25">
        <f>IF(AND('Watershed plans'!C240=1,'Watershed plans'!T240&lt;&gt;1),'Watershed plans'!Q240,NA())</f>
        <v/>
      </c>
      <c r="C259" s="21">
        <f>IFERROR(INDEX('Watershed plans'!$P$12:$P$267,MATCH(229,$K$31:$K$286,0)),NA())</f>
        <v/>
      </c>
      <c r="D259" s="25">
        <f>IFERROR(INDEX('Watershed plans'!$Q$12:$Q$267,MATCH(229,$K$31:$K$286,0)),NA())</f>
        <v/>
      </c>
      <c r="E259" s="21">
        <f>IFERROR(INDEX('Watershed plans'!$P$12:$P$267,MATCH(229,'Watershed plans'!$Y$12:$Y$267,0)),NA())</f>
        <v/>
      </c>
      <c r="F259" s="25">
        <f>IFERROR(INDEX('Watershed plans'!$Q$12:$Q$267,MATCH(229,'Watershed plans'!$Y$12:$Y$267,0)),NA())</f>
        <v/>
      </c>
      <c r="K259" s="10">
        <f>IF('Watershed plans'!T240=1,1+SUMPRODUCT('Watershed plans'!$T$12:$T$267*(('Watershed plans'!$M$12:$M$267&lt;'Watershed plans'!M240)+('Watershed plans'!$M$12:$M$267='Watershed plans'!M240)*('Watershed plans'!$A$12:$A$267&lt;'Watershed plans'!A240))),0)</f>
        <v/>
      </c>
    </row>
    <row r="260">
      <c r="A260" s="21">
        <f>IF(AND('Watershed plans'!C241=1,'Watershed plans'!T241&lt;&gt;1),'Watershed plans'!P241,NA())</f>
        <v/>
      </c>
      <c r="B260" s="25">
        <f>IF(AND('Watershed plans'!C241=1,'Watershed plans'!T241&lt;&gt;1),'Watershed plans'!Q241,NA())</f>
        <v/>
      </c>
      <c r="C260" s="21">
        <f>IFERROR(INDEX('Watershed plans'!$P$12:$P$267,MATCH(230,$K$31:$K$286,0)),NA())</f>
        <v/>
      </c>
      <c r="D260" s="25">
        <f>IFERROR(INDEX('Watershed plans'!$Q$12:$Q$267,MATCH(230,$K$31:$K$286,0)),NA())</f>
        <v/>
      </c>
      <c r="E260" s="21">
        <f>IFERROR(INDEX('Watershed plans'!$P$12:$P$267,MATCH(230,'Watershed plans'!$Y$12:$Y$267,0)),NA())</f>
        <v/>
      </c>
      <c r="F260" s="25">
        <f>IFERROR(INDEX('Watershed plans'!$Q$12:$Q$267,MATCH(230,'Watershed plans'!$Y$12:$Y$267,0)),NA())</f>
        <v/>
      </c>
      <c r="K260" s="10">
        <f>IF('Watershed plans'!T241=1,1+SUMPRODUCT('Watershed plans'!$T$12:$T$267*(('Watershed plans'!$M$12:$M$267&lt;'Watershed plans'!M241)+('Watershed plans'!$M$12:$M$267='Watershed plans'!M241)*('Watershed plans'!$A$12:$A$267&lt;'Watershed plans'!A241))),0)</f>
        <v/>
      </c>
    </row>
    <row r="261">
      <c r="A261" s="21">
        <f>IF(AND('Watershed plans'!C242=1,'Watershed plans'!T242&lt;&gt;1),'Watershed plans'!P242,NA())</f>
        <v/>
      </c>
      <c r="B261" s="25">
        <f>IF(AND('Watershed plans'!C242=1,'Watershed plans'!T242&lt;&gt;1),'Watershed plans'!Q242,NA())</f>
        <v/>
      </c>
      <c r="C261" s="21">
        <f>IFERROR(INDEX('Watershed plans'!$P$12:$P$267,MATCH(231,$K$31:$K$286,0)),NA())</f>
        <v/>
      </c>
      <c r="D261" s="25">
        <f>IFERROR(INDEX('Watershed plans'!$Q$12:$Q$267,MATCH(231,$K$31:$K$286,0)),NA())</f>
        <v/>
      </c>
      <c r="E261" s="21">
        <f>IFERROR(INDEX('Watershed plans'!$P$12:$P$267,MATCH(231,'Watershed plans'!$Y$12:$Y$267,0)),NA())</f>
        <v/>
      </c>
      <c r="F261" s="25">
        <f>IFERROR(INDEX('Watershed plans'!$Q$12:$Q$267,MATCH(231,'Watershed plans'!$Y$12:$Y$267,0)),NA())</f>
        <v/>
      </c>
      <c r="K261" s="10">
        <f>IF('Watershed plans'!T242=1,1+SUMPRODUCT('Watershed plans'!$T$12:$T$267*(('Watershed plans'!$M$12:$M$267&lt;'Watershed plans'!M242)+('Watershed plans'!$M$12:$M$267='Watershed plans'!M242)*('Watershed plans'!$A$12:$A$267&lt;'Watershed plans'!A242))),0)</f>
        <v/>
      </c>
    </row>
    <row r="262">
      <c r="A262" s="21">
        <f>IF(AND('Watershed plans'!C243=1,'Watershed plans'!T243&lt;&gt;1),'Watershed plans'!P243,NA())</f>
        <v/>
      </c>
      <c r="B262" s="25">
        <f>IF(AND('Watershed plans'!C243=1,'Watershed plans'!T243&lt;&gt;1),'Watershed plans'!Q243,NA())</f>
        <v/>
      </c>
      <c r="C262" s="21">
        <f>IFERROR(INDEX('Watershed plans'!$P$12:$P$267,MATCH(232,$K$31:$K$286,0)),NA())</f>
        <v/>
      </c>
      <c r="D262" s="25">
        <f>IFERROR(INDEX('Watershed plans'!$Q$12:$Q$267,MATCH(232,$K$31:$K$286,0)),NA())</f>
        <v/>
      </c>
      <c r="E262" s="21">
        <f>IFERROR(INDEX('Watershed plans'!$P$12:$P$267,MATCH(232,'Watershed plans'!$Y$12:$Y$267,0)),NA())</f>
        <v/>
      </c>
      <c r="F262" s="25">
        <f>IFERROR(INDEX('Watershed plans'!$Q$12:$Q$267,MATCH(232,'Watershed plans'!$Y$12:$Y$267,0)),NA())</f>
        <v/>
      </c>
      <c r="K262" s="10">
        <f>IF('Watershed plans'!T243=1,1+SUMPRODUCT('Watershed plans'!$T$12:$T$267*(('Watershed plans'!$M$12:$M$267&lt;'Watershed plans'!M243)+('Watershed plans'!$M$12:$M$267='Watershed plans'!M243)*('Watershed plans'!$A$12:$A$267&lt;'Watershed plans'!A243))),0)</f>
        <v/>
      </c>
    </row>
    <row r="263">
      <c r="A263" s="21">
        <f>IF(AND('Watershed plans'!C244=1,'Watershed plans'!T244&lt;&gt;1),'Watershed plans'!P244,NA())</f>
        <v/>
      </c>
      <c r="B263" s="25">
        <f>IF(AND('Watershed plans'!C244=1,'Watershed plans'!T244&lt;&gt;1),'Watershed plans'!Q244,NA())</f>
        <v/>
      </c>
      <c r="C263" s="21">
        <f>IFERROR(INDEX('Watershed plans'!$P$12:$P$267,MATCH(233,$K$31:$K$286,0)),NA())</f>
        <v/>
      </c>
      <c r="D263" s="25">
        <f>IFERROR(INDEX('Watershed plans'!$Q$12:$Q$267,MATCH(233,$K$31:$K$286,0)),NA())</f>
        <v/>
      </c>
      <c r="E263" s="21">
        <f>IFERROR(INDEX('Watershed plans'!$P$12:$P$267,MATCH(233,'Watershed plans'!$Y$12:$Y$267,0)),NA())</f>
        <v/>
      </c>
      <c r="F263" s="25">
        <f>IFERROR(INDEX('Watershed plans'!$Q$12:$Q$267,MATCH(233,'Watershed plans'!$Y$12:$Y$267,0)),NA())</f>
        <v/>
      </c>
      <c r="K263" s="10">
        <f>IF('Watershed plans'!T244=1,1+SUMPRODUCT('Watershed plans'!$T$12:$T$267*(('Watershed plans'!$M$12:$M$267&lt;'Watershed plans'!M244)+('Watershed plans'!$M$12:$M$267='Watershed plans'!M244)*('Watershed plans'!$A$12:$A$267&lt;'Watershed plans'!A244))),0)</f>
        <v/>
      </c>
    </row>
    <row r="264">
      <c r="A264" s="21">
        <f>IF(AND('Watershed plans'!C245=1,'Watershed plans'!T245&lt;&gt;1),'Watershed plans'!P245,NA())</f>
        <v/>
      </c>
      <c r="B264" s="25">
        <f>IF(AND('Watershed plans'!C245=1,'Watershed plans'!T245&lt;&gt;1),'Watershed plans'!Q245,NA())</f>
        <v/>
      </c>
      <c r="C264" s="21">
        <f>IFERROR(INDEX('Watershed plans'!$P$12:$P$267,MATCH(234,$K$31:$K$286,0)),NA())</f>
        <v/>
      </c>
      <c r="D264" s="25">
        <f>IFERROR(INDEX('Watershed plans'!$Q$12:$Q$267,MATCH(234,$K$31:$K$286,0)),NA())</f>
        <v/>
      </c>
      <c r="E264" s="21">
        <f>IFERROR(INDEX('Watershed plans'!$P$12:$P$267,MATCH(234,'Watershed plans'!$Y$12:$Y$267,0)),NA())</f>
        <v/>
      </c>
      <c r="F264" s="25">
        <f>IFERROR(INDEX('Watershed plans'!$Q$12:$Q$267,MATCH(234,'Watershed plans'!$Y$12:$Y$267,0)),NA())</f>
        <v/>
      </c>
      <c r="K264" s="10">
        <f>IF('Watershed plans'!T245=1,1+SUMPRODUCT('Watershed plans'!$T$12:$T$267*(('Watershed plans'!$M$12:$M$267&lt;'Watershed plans'!M245)+('Watershed plans'!$M$12:$M$267='Watershed plans'!M245)*('Watershed plans'!$A$12:$A$267&lt;'Watershed plans'!A245))),0)</f>
        <v/>
      </c>
    </row>
    <row r="265">
      <c r="A265" s="21">
        <f>IF(AND('Watershed plans'!C246=1,'Watershed plans'!T246&lt;&gt;1),'Watershed plans'!P246,NA())</f>
        <v/>
      </c>
      <c r="B265" s="25">
        <f>IF(AND('Watershed plans'!C246=1,'Watershed plans'!T246&lt;&gt;1),'Watershed plans'!Q246,NA())</f>
        <v/>
      </c>
      <c r="C265" s="21">
        <f>IFERROR(INDEX('Watershed plans'!$P$12:$P$267,MATCH(235,$K$31:$K$286,0)),NA())</f>
        <v/>
      </c>
      <c r="D265" s="25">
        <f>IFERROR(INDEX('Watershed plans'!$Q$12:$Q$267,MATCH(235,$K$31:$K$286,0)),NA())</f>
        <v/>
      </c>
      <c r="E265" s="21">
        <f>IFERROR(INDEX('Watershed plans'!$P$12:$P$267,MATCH(235,'Watershed plans'!$Y$12:$Y$267,0)),NA())</f>
        <v/>
      </c>
      <c r="F265" s="25">
        <f>IFERROR(INDEX('Watershed plans'!$Q$12:$Q$267,MATCH(235,'Watershed plans'!$Y$12:$Y$267,0)),NA())</f>
        <v/>
      </c>
      <c r="K265" s="10">
        <f>IF('Watershed plans'!T246=1,1+SUMPRODUCT('Watershed plans'!$T$12:$T$267*(('Watershed plans'!$M$12:$M$267&lt;'Watershed plans'!M246)+('Watershed plans'!$M$12:$M$267='Watershed plans'!M246)*('Watershed plans'!$A$12:$A$267&lt;'Watershed plans'!A246))),0)</f>
        <v/>
      </c>
    </row>
    <row r="266">
      <c r="A266" s="21">
        <f>IF(AND('Watershed plans'!C247=1,'Watershed plans'!T247&lt;&gt;1),'Watershed plans'!P247,NA())</f>
        <v/>
      </c>
      <c r="B266" s="25">
        <f>IF(AND('Watershed plans'!C247=1,'Watershed plans'!T247&lt;&gt;1),'Watershed plans'!Q247,NA())</f>
        <v/>
      </c>
      <c r="C266" s="21">
        <f>IFERROR(INDEX('Watershed plans'!$P$12:$P$267,MATCH(236,$K$31:$K$286,0)),NA())</f>
        <v/>
      </c>
      <c r="D266" s="25">
        <f>IFERROR(INDEX('Watershed plans'!$Q$12:$Q$267,MATCH(236,$K$31:$K$286,0)),NA())</f>
        <v/>
      </c>
      <c r="E266" s="21">
        <f>IFERROR(INDEX('Watershed plans'!$P$12:$P$267,MATCH(236,'Watershed plans'!$Y$12:$Y$267,0)),NA())</f>
        <v/>
      </c>
      <c r="F266" s="25">
        <f>IFERROR(INDEX('Watershed plans'!$Q$12:$Q$267,MATCH(236,'Watershed plans'!$Y$12:$Y$267,0)),NA())</f>
        <v/>
      </c>
      <c r="K266" s="10">
        <f>IF('Watershed plans'!T247=1,1+SUMPRODUCT('Watershed plans'!$T$12:$T$267*(('Watershed plans'!$M$12:$M$267&lt;'Watershed plans'!M247)+('Watershed plans'!$M$12:$M$267='Watershed plans'!M247)*('Watershed plans'!$A$12:$A$267&lt;'Watershed plans'!A247))),0)</f>
        <v/>
      </c>
    </row>
    <row r="267">
      <c r="A267" s="21">
        <f>IF(AND('Watershed plans'!C248=1,'Watershed plans'!T248&lt;&gt;1),'Watershed plans'!P248,NA())</f>
        <v/>
      </c>
      <c r="B267" s="25">
        <f>IF(AND('Watershed plans'!C248=1,'Watershed plans'!T248&lt;&gt;1),'Watershed plans'!Q248,NA())</f>
        <v/>
      </c>
      <c r="C267" s="21">
        <f>IFERROR(INDEX('Watershed plans'!$P$12:$P$267,MATCH(237,$K$31:$K$286,0)),NA())</f>
        <v/>
      </c>
      <c r="D267" s="25">
        <f>IFERROR(INDEX('Watershed plans'!$Q$12:$Q$267,MATCH(237,$K$31:$K$286,0)),NA())</f>
        <v/>
      </c>
      <c r="E267" s="21">
        <f>IFERROR(INDEX('Watershed plans'!$P$12:$P$267,MATCH(237,'Watershed plans'!$Y$12:$Y$267,0)),NA())</f>
        <v/>
      </c>
      <c r="F267" s="25">
        <f>IFERROR(INDEX('Watershed plans'!$Q$12:$Q$267,MATCH(237,'Watershed plans'!$Y$12:$Y$267,0)),NA())</f>
        <v/>
      </c>
      <c r="K267" s="10">
        <f>IF('Watershed plans'!T248=1,1+SUMPRODUCT('Watershed plans'!$T$12:$T$267*(('Watershed plans'!$M$12:$M$267&lt;'Watershed plans'!M248)+('Watershed plans'!$M$12:$M$267='Watershed plans'!M248)*('Watershed plans'!$A$12:$A$267&lt;'Watershed plans'!A248))),0)</f>
        <v/>
      </c>
    </row>
    <row r="268">
      <c r="A268" s="21">
        <f>IF(AND('Watershed plans'!C249=1,'Watershed plans'!T249&lt;&gt;1),'Watershed plans'!P249,NA())</f>
        <v/>
      </c>
      <c r="B268" s="25">
        <f>IF(AND('Watershed plans'!C249=1,'Watershed plans'!T249&lt;&gt;1),'Watershed plans'!Q249,NA())</f>
        <v/>
      </c>
      <c r="C268" s="21">
        <f>IFERROR(INDEX('Watershed plans'!$P$12:$P$267,MATCH(238,$K$31:$K$286,0)),NA())</f>
        <v/>
      </c>
      <c r="D268" s="25">
        <f>IFERROR(INDEX('Watershed plans'!$Q$12:$Q$267,MATCH(238,$K$31:$K$286,0)),NA())</f>
        <v/>
      </c>
      <c r="E268" s="21">
        <f>IFERROR(INDEX('Watershed plans'!$P$12:$P$267,MATCH(238,'Watershed plans'!$Y$12:$Y$267,0)),NA())</f>
        <v/>
      </c>
      <c r="F268" s="25">
        <f>IFERROR(INDEX('Watershed plans'!$Q$12:$Q$267,MATCH(238,'Watershed plans'!$Y$12:$Y$267,0)),NA())</f>
        <v/>
      </c>
      <c r="K268" s="10">
        <f>IF('Watershed plans'!T249=1,1+SUMPRODUCT('Watershed plans'!$T$12:$T$267*(('Watershed plans'!$M$12:$M$267&lt;'Watershed plans'!M249)+('Watershed plans'!$M$12:$M$267='Watershed plans'!M249)*('Watershed plans'!$A$12:$A$267&lt;'Watershed plans'!A249))),0)</f>
        <v/>
      </c>
    </row>
    <row r="269">
      <c r="A269" s="21">
        <f>IF(AND('Watershed plans'!C250=1,'Watershed plans'!T250&lt;&gt;1),'Watershed plans'!P250,NA())</f>
        <v/>
      </c>
      <c r="B269" s="25">
        <f>IF(AND('Watershed plans'!C250=1,'Watershed plans'!T250&lt;&gt;1),'Watershed plans'!Q250,NA())</f>
        <v/>
      </c>
      <c r="C269" s="21">
        <f>IFERROR(INDEX('Watershed plans'!$P$12:$P$267,MATCH(239,$K$31:$K$286,0)),NA())</f>
        <v/>
      </c>
      <c r="D269" s="25">
        <f>IFERROR(INDEX('Watershed plans'!$Q$12:$Q$267,MATCH(239,$K$31:$K$286,0)),NA())</f>
        <v/>
      </c>
      <c r="E269" s="21">
        <f>IFERROR(INDEX('Watershed plans'!$P$12:$P$267,MATCH(239,'Watershed plans'!$Y$12:$Y$267,0)),NA())</f>
        <v/>
      </c>
      <c r="F269" s="25">
        <f>IFERROR(INDEX('Watershed plans'!$Q$12:$Q$267,MATCH(239,'Watershed plans'!$Y$12:$Y$267,0)),NA())</f>
        <v/>
      </c>
      <c r="K269" s="10">
        <f>IF('Watershed plans'!T250=1,1+SUMPRODUCT('Watershed plans'!$T$12:$T$267*(('Watershed plans'!$M$12:$M$267&lt;'Watershed plans'!M250)+('Watershed plans'!$M$12:$M$267='Watershed plans'!M250)*('Watershed plans'!$A$12:$A$267&lt;'Watershed plans'!A250))),0)</f>
        <v/>
      </c>
    </row>
    <row r="270">
      <c r="A270" s="21">
        <f>IF(AND('Watershed plans'!C251=1,'Watershed plans'!T251&lt;&gt;1),'Watershed plans'!P251,NA())</f>
        <v/>
      </c>
      <c r="B270" s="25">
        <f>IF(AND('Watershed plans'!C251=1,'Watershed plans'!T251&lt;&gt;1),'Watershed plans'!Q251,NA())</f>
        <v/>
      </c>
      <c r="C270" s="21">
        <f>IFERROR(INDEX('Watershed plans'!$P$12:$P$267,MATCH(240,$K$31:$K$286,0)),NA())</f>
        <v/>
      </c>
      <c r="D270" s="25">
        <f>IFERROR(INDEX('Watershed plans'!$Q$12:$Q$267,MATCH(240,$K$31:$K$286,0)),NA())</f>
        <v/>
      </c>
      <c r="E270" s="21">
        <f>IFERROR(INDEX('Watershed plans'!$P$12:$P$267,MATCH(240,'Watershed plans'!$Y$12:$Y$267,0)),NA())</f>
        <v/>
      </c>
      <c r="F270" s="25">
        <f>IFERROR(INDEX('Watershed plans'!$Q$12:$Q$267,MATCH(240,'Watershed plans'!$Y$12:$Y$267,0)),NA())</f>
        <v/>
      </c>
      <c r="K270" s="10">
        <f>IF('Watershed plans'!T251=1,1+SUMPRODUCT('Watershed plans'!$T$12:$T$267*(('Watershed plans'!$M$12:$M$267&lt;'Watershed plans'!M251)+('Watershed plans'!$M$12:$M$267='Watershed plans'!M251)*('Watershed plans'!$A$12:$A$267&lt;'Watershed plans'!A251))),0)</f>
        <v/>
      </c>
    </row>
    <row r="271">
      <c r="A271" s="21">
        <f>IF(AND('Watershed plans'!C252=1,'Watershed plans'!T252&lt;&gt;1),'Watershed plans'!P252,NA())</f>
        <v/>
      </c>
      <c r="B271" s="25">
        <f>IF(AND('Watershed plans'!C252=1,'Watershed plans'!T252&lt;&gt;1),'Watershed plans'!Q252,NA())</f>
        <v/>
      </c>
      <c r="C271" s="21">
        <f>IFERROR(INDEX('Watershed plans'!$P$12:$P$267,MATCH(241,$K$31:$K$286,0)),NA())</f>
        <v/>
      </c>
      <c r="D271" s="25">
        <f>IFERROR(INDEX('Watershed plans'!$Q$12:$Q$267,MATCH(241,$K$31:$K$286,0)),NA())</f>
        <v/>
      </c>
      <c r="E271" s="21">
        <f>IFERROR(INDEX('Watershed plans'!$P$12:$P$267,MATCH(241,'Watershed plans'!$Y$12:$Y$267,0)),NA())</f>
        <v/>
      </c>
      <c r="F271" s="25">
        <f>IFERROR(INDEX('Watershed plans'!$Q$12:$Q$267,MATCH(241,'Watershed plans'!$Y$12:$Y$267,0)),NA())</f>
        <v/>
      </c>
      <c r="K271" s="10">
        <f>IF('Watershed plans'!T252=1,1+SUMPRODUCT('Watershed plans'!$T$12:$T$267*(('Watershed plans'!$M$12:$M$267&lt;'Watershed plans'!M252)+('Watershed plans'!$M$12:$M$267='Watershed plans'!M252)*('Watershed plans'!$A$12:$A$267&lt;'Watershed plans'!A252))),0)</f>
        <v/>
      </c>
    </row>
    <row r="272">
      <c r="A272" s="21">
        <f>IF(AND('Watershed plans'!C253=1,'Watershed plans'!T253&lt;&gt;1),'Watershed plans'!P253,NA())</f>
        <v/>
      </c>
      <c r="B272" s="25">
        <f>IF(AND('Watershed plans'!C253=1,'Watershed plans'!T253&lt;&gt;1),'Watershed plans'!Q253,NA())</f>
        <v/>
      </c>
      <c r="C272" s="21">
        <f>IFERROR(INDEX('Watershed plans'!$P$12:$P$267,MATCH(242,$K$31:$K$286,0)),NA())</f>
        <v/>
      </c>
      <c r="D272" s="25">
        <f>IFERROR(INDEX('Watershed plans'!$Q$12:$Q$267,MATCH(242,$K$31:$K$286,0)),NA())</f>
        <v/>
      </c>
      <c r="E272" s="21">
        <f>IFERROR(INDEX('Watershed plans'!$P$12:$P$267,MATCH(242,'Watershed plans'!$Y$12:$Y$267,0)),NA())</f>
        <v/>
      </c>
      <c r="F272" s="25">
        <f>IFERROR(INDEX('Watershed plans'!$Q$12:$Q$267,MATCH(242,'Watershed plans'!$Y$12:$Y$267,0)),NA())</f>
        <v/>
      </c>
      <c r="K272" s="10">
        <f>IF('Watershed plans'!T253=1,1+SUMPRODUCT('Watershed plans'!$T$12:$T$267*(('Watershed plans'!$M$12:$M$267&lt;'Watershed plans'!M253)+('Watershed plans'!$M$12:$M$267='Watershed plans'!M253)*('Watershed plans'!$A$12:$A$267&lt;'Watershed plans'!A253))),0)</f>
        <v/>
      </c>
    </row>
    <row r="273">
      <c r="A273" s="21">
        <f>IF(AND('Watershed plans'!C254=1,'Watershed plans'!T254&lt;&gt;1),'Watershed plans'!P254,NA())</f>
        <v/>
      </c>
      <c r="B273" s="25">
        <f>IF(AND('Watershed plans'!C254=1,'Watershed plans'!T254&lt;&gt;1),'Watershed plans'!Q254,NA())</f>
        <v/>
      </c>
      <c r="C273" s="21">
        <f>IFERROR(INDEX('Watershed plans'!$P$12:$P$267,MATCH(243,$K$31:$K$286,0)),NA())</f>
        <v/>
      </c>
      <c r="D273" s="25">
        <f>IFERROR(INDEX('Watershed plans'!$Q$12:$Q$267,MATCH(243,$K$31:$K$286,0)),NA())</f>
        <v/>
      </c>
      <c r="E273" s="21">
        <f>IFERROR(INDEX('Watershed plans'!$P$12:$P$267,MATCH(243,'Watershed plans'!$Y$12:$Y$267,0)),NA())</f>
        <v/>
      </c>
      <c r="F273" s="25">
        <f>IFERROR(INDEX('Watershed plans'!$Q$12:$Q$267,MATCH(243,'Watershed plans'!$Y$12:$Y$267,0)),NA())</f>
        <v/>
      </c>
      <c r="K273" s="10">
        <f>IF('Watershed plans'!T254=1,1+SUMPRODUCT('Watershed plans'!$T$12:$T$267*(('Watershed plans'!$M$12:$M$267&lt;'Watershed plans'!M254)+('Watershed plans'!$M$12:$M$267='Watershed plans'!M254)*('Watershed plans'!$A$12:$A$267&lt;'Watershed plans'!A254))),0)</f>
        <v/>
      </c>
    </row>
    <row r="274">
      <c r="A274" s="21">
        <f>IF(AND('Watershed plans'!C255=1,'Watershed plans'!T255&lt;&gt;1),'Watershed plans'!P255,NA())</f>
        <v/>
      </c>
      <c r="B274" s="25">
        <f>IF(AND('Watershed plans'!C255=1,'Watershed plans'!T255&lt;&gt;1),'Watershed plans'!Q255,NA())</f>
        <v/>
      </c>
      <c r="C274" s="21">
        <f>IFERROR(INDEX('Watershed plans'!$P$12:$P$267,MATCH(244,$K$31:$K$286,0)),NA())</f>
        <v/>
      </c>
      <c r="D274" s="25">
        <f>IFERROR(INDEX('Watershed plans'!$Q$12:$Q$267,MATCH(244,$K$31:$K$286,0)),NA())</f>
        <v/>
      </c>
      <c r="E274" s="21">
        <f>IFERROR(INDEX('Watershed plans'!$P$12:$P$267,MATCH(244,'Watershed plans'!$Y$12:$Y$267,0)),NA())</f>
        <v/>
      </c>
      <c r="F274" s="25">
        <f>IFERROR(INDEX('Watershed plans'!$Q$12:$Q$267,MATCH(244,'Watershed plans'!$Y$12:$Y$267,0)),NA())</f>
        <v/>
      </c>
      <c r="K274" s="10">
        <f>IF('Watershed plans'!T255=1,1+SUMPRODUCT('Watershed plans'!$T$12:$T$267*(('Watershed plans'!$M$12:$M$267&lt;'Watershed plans'!M255)+('Watershed plans'!$M$12:$M$267='Watershed plans'!M255)*('Watershed plans'!$A$12:$A$267&lt;'Watershed plans'!A255))),0)</f>
        <v/>
      </c>
    </row>
    <row r="275">
      <c r="A275" s="21">
        <f>IF(AND('Watershed plans'!C256=1,'Watershed plans'!T256&lt;&gt;1),'Watershed plans'!P256,NA())</f>
        <v/>
      </c>
      <c r="B275" s="25">
        <f>IF(AND('Watershed plans'!C256=1,'Watershed plans'!T256&lt;&gt;1),'Watershed plans'!Q256,NA())</f>
        <v/>
      </c>
      <c r="C275" s="21">
        <f>IFERROR(INDEX('Watershed plans'!$P$12:$P$267,MATCH(245,$K$31:$K$286,0)),NA())</f>
        <v/>
      </c>
      <c r="D275" s="25">
        <f>IFERROR(INDEX('Watershed plans'!$Q$12:$Q$267,MATCH(245,$K$31:$K$286,0)),NA())</f>
        <v/>
      </c>
      <c r="E275" s="21">
        <f>IFERROR(INDEX('Watershed plans'!$P$12:$P$267,MATCH(245,'Watershed plans'!$Y$12:$Y$267,0)),NA())</f>
        <v/>
      </c>
      <c r="F275" s="25">
        <f>IFERROR(INDEX('Watershed plans'!$Q$12:$Q$267,MATCH(245,'Watershed plans'!$Y$12:$Y$267,0)),NA())</f>
        <v/>
      </c>
      <c r="K275" s="10">
        <f>IF('Watershed plans'!T256=1,1+SUMPRODUCT('Watershed plans'!$T$12:$T$267*(('Watershed plans'!$M$12:$M$267&lt;'Watershed plans'!M256)+('Watershed plans'!$M$12:$M$267='Watershed plans'!M256)*('Watershed plans'!$A$12:$A$267&lt;'Watershed plans'!A256))),0)</f>
        <v/>
      </c>
    </row>
    <row r="276">
      <c r="A276" s="21">
        <f>IF(AND('Watershed plans'!C257=1,'Watershed plans'!T257&lt;&gt;1),'Watershed plans'!P257,NA())</f>
        <v/>
      </c>
      <c r="B276" s="25">
        <f>IF(AND('Watershed plans'!C257=1,'Watershed plans'!T257&lt;&gt;1),'Watershed plans'!Q257,NA())</f>
        <v/>
      </c>
      <c r="C276" s="21">
        <f>IFERROR(INDEX('Watershed plans'!$P$12:$P$267,MATCH(246,$K$31:$K$286,0)),NA())</f>
        <v/>
      </c>
      <c r="D276" s="25">
        <f>IFERROR(INDEX('Watershed plans'!$Q$12:$Q$267,MATCH(246,$K$31:$K$286,0)),NA())</f>
        <v/>
      </c>
      <c r="E276" s="21">
        <f>IFERROR(INDEX('Watershed plans'!$P$12:$P$267,MATCH(246,'Watershed plans'!$Y$12:$Y$267,0)),NA())</f>
        <v/>
      </c>
      <c r="F276" s="25">
        <f>IFERROR(INDEX('Watershed plans'!$Q$12:$Q$267,MATCH(246,'Watershed plans'!$Y$12:$Y$267,0)),NA())</f>
        <v/>
      </c>
      <c r="K276" s="10">
        <f>IF('Watershed plans'!T257=1,1+SUMPRODUCT('Watershed plans'!$T$12:$T$267*(('Watershed plans'!$M$12:$M$267&lt;'Watershed plans'!M257)+('Watershed plans'!$M$12:$M$267='Watershed plans'!M257)*('Watershed plans'!$A$12:$A$267&lt;'Watershed plans'!A257))),0)</f>
        <v/>
      </c>
    </row>
    <row r="277">
      <c r="A277" s="21">
        <f>IF(AND('Watershed plans'!C258=1,'Watershed plans'!T258&lt;&gt;1),'Watershed plans'!P258,NA())</f>
        <v/>
      </c>
      <c r="B277" s="25">
        <f>IF(AND('Watershed plans'!C258=1,'Watershed plans'!T258&lt;&gt;1),'Watershed plans'!Q258,NA())</f>
        <v/>
      </c>
      <c r="C277" s="21">
        <f>IFERROR(INDEX('Watershed plans'!$P$12:$P$267,MATCH(247,$K$31:$K$286,0)),NA())</f>
        <v/>
      </c>
      <c r="D277" s="25">
        <f>IFERROR(INDEX('Watershed plans'!$Q$12:$Q$267,MATCH(247,$K$31:$K$286,0)),NA())</f>
        <v/>
      </c>
      <c r="E277" s="21">
        <f>IFERROR(INDEX('Watershed plans'!$P$12:$P$267,MATCH(247,'Watershed plans'!$Y$12:$Y$267,0)),NA())</f>
        <v/>
      </c>
      <c r="F277" s="25">
        <f>IFERROR(INDEX('Watershed plans'!$Q$12:$Q$267,MATCH(247,'Watershed plans'!$Y$12:$Y$267,0)),NA())</f>
        <v/>
      </c>
      <c r="K277" s="10">
        <f>IF('Watershed plans'!T258=1,1+SUMPRODUCT('Watershed plans'!$T$12:$T$267*(('Watershed plans'!$M$12:$M$267&lt;'Watershed plans'!M258)+('Watershed plans'!$M$12:$M$267='Watershed plans'!M258)*('Watershed plans'!$A$12:$A$267&lt;'Watershed plans'!A258))),0)</f>
        <v/>
      </c>
    </row>
    <row r="278">
      <c r="A278" s="21">
        <f>IF(AND('Watershed plans'!C259=1,'Watershed plans'!T259&lt;&gt;1),'Watershed plans'!P259,NA())</f>
        <v/>
      </c>
      <c r="B278" s="25">
        <f>IF(AND('Watershed plans'!C259=1,'Watershed plans'!T259&lt;&gt;1),'Watershed plans'!Q259,NA())</f>
        <v/>
      </c>
      <c r="C278" s="21">
        <f>IFERROR(INDEX('Watershed plans'!$P$12:$P$267,MATCH(248,$K$31:$K$286,0)),NA())</f>
        <v/>
      </c>
      <c r="D278" s="25">
        <f>IFERROR(INDEX('Watershed plans'!$Q$12:$Q$267,MATCH(248,$K$31:$K$286,0)),NA())</f>
        <v/>
      </c>
      <c r="E278" s="21">
        <f>IFERROR(INDEX('Watershed plans'!$P$12:$P$267,MATCH(248,'Watershed plans'!$Y$12:$Y$267,0)),NA())</f>
        <v/>
      </c>
      <c r="F278" s="25">
        <f>IFERROR(INDEX('Watershed plans'!$Q$12:$Q$267,MATCH(248,'Watershed plans'!$Y$12:$Y$267,0)),NA())</f>
        <v/>
      </c>
      <c r="K278" s="10">
        <f>IF('Watershed plans'!T259=1,1+SUMPRODUCT('Watershed plans'!$T$12:$T$267*(('Watershed plans'!$M$12:$M$267&lt;'Watershed plans'!M259)+('Watershed plans'!$M$12:$M$267='Watershed plans'!M259)*('Watershed plans'!$A$12:$A$267&lt;'Watershed plans'!A259))),0)</f>
        <v/>
      </c>
    </row>
    <row r="279">
      <c r="A279" s="21">
        <f>IF(AND('Watershed plans'!C260=1,'Watershed plans'!T260&lt;&gt;1),'Watershed plans'!P260,NA())</f>
        <v/>
      </c>
      <c r="B279" s="25">
        <f>IF(AND('Watershed plans'!C260=1,'Watershed plans'!T260&lt;&gt;1),'Watershed plans'!Q260,NA())</f>
        <v/>
      </c>
      <c r="C279" s="21">
        <f>IFERROR(INDEX('Watershed plans'!$P$12:$P$267,MATCH(249,$K$31:$K$286,0)),NA())</f>
        <v/>
      </c>
      <c r="D279" s="25">
        <f>IFERROR(INDEX('Watershed plans'!$Q$12:$Q$267,MATCH(249,$K$31:$K$286,0)),NA())</f>
        <v/>
      </c>
      <c r="E279" s="21">
        <f>IFERROR(INDEX('Watershed plans'!$P$12:$P$267,MATCH(249,'Watershed plans'!$Y$12:$Y$267,0)),NA())</f>
        <v/>
      </c>
      <c r="F279" s="25">
        <f>IFERROR(INDEX('Watershed plans'!$Q$12:$Q$267,MATCH(249,'Watershed plans'!$Y$12:$Y$267,0)),NA())</f>
        <v/>
      </c>
      <c r="K279" s="10">
        <f>IF('Watershed plans'!T260=1,1+SUMPRODUCT('Watershed plans'!$T$12:$T$267*(('Watershed plans'!$M$12:$M$267&lt;'Watershed plans'!M260)+('Watershed plans'!$M$12:$M$267='Watershed plans'!M260)*('Watershed plans'!$A$12:$A$267&lt;'Watershed plans'!A260))),0)</f>
        <v/>
      </c>
    </row>
    <row r="280">
      <c r="A280" s="21">
        <f>IF(AND('Watershed plans'!C261=1,'Watershed plans'!T261&lt;&gt;1),'Watershed plans'!P261,NA())</f>
        <v/>
      </c>
      <c r="B280" s="25">
        <f>IF(AND('Watershed plans'!C261=1,'Watershed plans'!T261&lt;&gt;1),'Watershed plans'!Q261,NA())</f>
        <v/>
      </c>
      <c r="C280" s="21">
        <f>IFERROR(INDEX('Watershed plans'!$P$12:$P$267,MATCH(250,$K$31:$K$286,0)),NA())</f>
        <v/>
      </c>
      <c r="D280" s="25">
        <f>IFERROR(INDEX('Watershed plans'!$Q$12:$Q$267,MATCH(250,$K$31:$K$286,0)),NA())</f>
        <v/>
      </c>
      <c r="E280" s="21">
        <f>IFERROR(INDEX('Watershed plans'!$P$12:$P$267,MATCH(250,'Watershed plans'!$Y$12:$Y$267,0)),NA())</f>
        <v/>
      </c>
      <c r="F280" s="25">
        <f>IFERROR(INDEX('Watershed plans'!$Q$12:$Q$267,MATCH(250,'Watershed plans'!$Y$12:$Y$267,0)),NA())</f>
        <v/>
      </c>
      <c r="K280" s="10">
        <f>IF('Watershed plans'!T261=1,1+SUMPRODUCT('Watershed plans'!$T$12:$T$267*(('Watershed plans'!$M$12:$M$267&lt;'Watershed plans'!M261)+('Watershed plans'!$M$12:$M$267='Watershed plans'!M261)*('Watershed plans'!$A$12:$A$267&lt;'Watershed plans'!A261))),0)</f>
        <v/>
      </c>
    </row>
    <row r="281">
      <c r="A281" s="21">
        <f>IF(AND('Watershed plans'!C262=1,'Watershed plans'!T262&lt;&gt;1),'Watershed plans'!P262,NA())</f>
        <v/>
      </c>
      <c r="B281" s="25">
        <f>IF(AND('Watershed plans'!C262=1,'Watershed plans'!T262&lt;&gt;1),'Watershed plans'!Q262,NA())</f>
        <v/>
      </c>
      <c r="C281" s="21">
        <f>IFERROR(INDEX('Watershed plans'!$P$12:$P$267,MATCH(251,$K$31:$K$286,0)),NA())</f>
        <v/>
      </c>
      <c r="D281" s="25">
        <f>IFERROR(INDEX('Watershed plans'!$Q$12:$Q$267,MATCH(251,$K$31:$K$286,0)),NA())</f>
        <v/>
      </c>
      <c r="E281" s="21">
        <f>IFERROR(INDEX('Watershed plans'!$P$12:$P$267,MATCH(251,'Watershed plans'!$Y$12:$Y$267,0)),NA())</f>
        <v/>
      </c>
      <c r="F281" s="25">
        <f>IFERROR(INDEX('Watershed plans'!$Q$12:$Q$267,MATCH(251,'Watershed plans'!$Y$12:$Y$267,0)),NA())</f>
        <v/>
      </c>
      <c r="K281" s="10">
        <f>IF('Watershed plans'!T262=1,1+SUMPRODUCT('Watershed plans'!$T$12:$T$267*(('Watershed plans'!$M$12:$M$267&lt;'Watershed plans'!M262)+('Watershed plans'!$M$12:$M$267='Watershed plans'!M262)*('Watershed plans'!$A$12:$A$267&lt;'Watershed plans'!A262))),0)</f>
        <v/>
      </c>
    </row>
    <row r="282">
      <c r="A282" s="21">
        <f>IF(AND('Watershed plans'!C263=1,'Watershed plans'!T263&lt;&gt;1),'Watershed plans'!P263,NA())</f>
        <v/>
      </c>
      <c r="B282" s="25">
        <f>IF(AND('Watershed plans'!C263=1,'Watershed plans'!T263&lt;&gt;1),'Watershed plans'!Q263,NA())</f>
        <v/>
      </c>
      <c r="C282" s="21">
        <f>IFERROR(INDEX('Watershed plans'!$P$12:$P$267,MATCH(252,$K$31:$K$286,0)),NA())</f>
        <v/>
      </c>
      <c r="D282" s="25">
        <f>IFERROR(INDEX('Watershed plans'!$Q$12:$Q$267,MATCH(252,$K$31:$K$286,0)),NA())</f>
        <v/>
      </c>
      <c r="E282" s="21">
        <f>IFERROR(INDEX('Watershed plans'!$P$12:$P$267,MATCH(252,'Watershed plans'!$Y$12:$Y$267,0)),NA())</f>
        <v/>
      </c>
      <c r="F282" s="25">
        <f>IFERROR(INDEX('Watershed plans'!$Q$12:$Q$267,MATCH(252,'Watershed plans'!$Y$12:$Y$267,0)),NA())</f>
        <v/>
      </c>
      <c r="K282" s="10">
        <f>IF('Watershed plans'!T263=1,1+SUMPRODUCT('Watershed plans'!$T$12:$T$267*(('Watershed plans'!$M$12:$M$267&lt;'Watershed plans'!M263)+('Watershed plans'!$M$12:$M$267='Watershed plans'!M263)*('Watershed plans'!$A$12:$A$267&lt;'Watershed plans'!A263))),0)</f>
        <v/>
      </c>
    </row>
    <row r="283">
      <c r="A283" s="21">
        <f>IF(AND('Watershed plans'!C264=1,'Watershed plans'!T264&lt;&gt;1),'Watershed plans'!P264,NA())</f>
        <v/>
      </c>
      <c r="B283" s="25">
        <f>IF(AND('Watershed plans'!C264=1,'Watershed plans'!T264&lt;&gt;1),'Watershed plans'!Q264,NA())</f>
        <v/>
      </c>
      <c r="C283" s="21">
        <f>IFERROR(INDEX('Watershed plans'!$P$12:$P$267,MATCH(253,$K$31:$K$286,0)),NA())</f>
        <v/>
      </c>
      <c r="D283" s="25">
        <f>IFERROR(INDEX('Watershed plans'!$Q$12:$Q$267,MATCH(253,$K$31:$K$286,0)),NA())</f>
        <v/>
      </c>
      <c r="E283" s="21">
        <f>IFERROR(INDEX('Watershed plans'!$P$12:$P$267,MATCH(253,'Watershed plans'!$Y$12:$Y$267,0)),NA())</f>
        <v/>
      </c>
      <c r="F283" s="25">
        <f>IFERROR(INDEX('Watershed plans'!$Q$12:$Q$267,MATCH(253,'Watershed plans'!$Y$12:$Y$267,0)),NA())</f>
        <v/>
      </c>
      <c r="K283" s="10">
        <f>IF('Watershed plans'!T264=1,1+SUMPRODUCT('Watershed plans'!$T$12:$T$267*(('Watershed plans'!$M$12:$M$267&lt;'Watershed plans'!M264)+('Watershed plans'!$M$12:$M$267='Watershed plans'!M264)*('Watershed plans'!$A$12:$A$267&lt;'Watershed plans'!A264))),0)</f>
        <v/>
      </c>
    </row>
    <row r="284">
      <c r="A284" s="21">
        <f>IF(AND('Watershed plans'!C265=1,'Watershed plans'!T265&lt;&gt;1),'Watershed plans'!P265,NA())</f>
        <v/>
      </c>
      <c r="B284" s="25">
        <f>IF(AND('Watershed plans'!C265=1,'Watershed plans'!T265&lt;&gt;1),'Watershed plans'!Q265,NA())</f>
        <v/>
      </c>
      <c r="C284" s="21">
        <f>IFERROR(INDEX('Watershed plans'!$P$12:$P$267,MATCH(254,$K$31:$K$286,0)),NA())</f>
        <v/>
      </c>
      <c r="D284" s="25">
        <f>IFERROR(INDEX('Watershed plans'!$Q$12:$Q$267,MATCH(254,$K$31:$K$286,0)),NA())</f>
        <v/>
      </c>
      <c r="E284" s="21">
        <f>IFERROR(INDEX('Watershed plans'!$P$12:$P$267,MATCH(254,'Watershed plans'!$Y$12:$Y$267,0)),NA())</f>
        <v/>
      </c>
      <c r="F284" s="25">
        <f>IFERROR(INDEX('Watershed plans'!$Q$12:$Q$267,MATCH(254,'Watershed plans'!$Y$12:$Y$267,0)),NA())</f>
        <v/>
      </c>
      <c r="K284" s="10">
        <f>IF('Watershed plans'!T265=1,1+SUMPRODUCT('Watershed plans'!$T$12:$T$267*(('Watershed plans'!$M$12:$M$267&lt;'Watershed plans'!M265)+('Watershed plans'!$M$12:$M$267='Watershed plans'!M265)*('Watershed plans'!$A$12:$A$267&lt;'Watershed plans'!A265))),0)</f>
        <v/>
      </c>
    </row>
    <row r="285">
      <c r="A285" s="21">
        <f>IF(AND('Watershed plans'!C266=1,'Watershed plans'!T266&lt;&gt;1),'Watershed plans'!P266,NA())</f>
        <v/>
      </c>
      <c r="B285" s="25">
        <f>IF(AND('Watershed plans'!C266=1,'Watershed plans'!T266&lt;&gt;1),'Watershed plans'!Q266,NA())</f>
        <v/>
      </c>
      <c r="C285" s="21">
        <f>IFERROR(INDEX('Watershed plans'!$P$12:$P$267,MATCH(255,$K$31:$K$286,0)),NA())</f>
        <v/>
      </c>
      <c r="D285" s="25">
        <f>IFERROR(INDEX('Watershed plans'!$Q$12:$Q$267,MATCH(255,$K$31:$K$286,0)),NA())</f>
        <v/>
      </c>
      <c r="E285" s="21">
        <f>IFERROR(INDEX('Watershed plans'!$P$12:$P$267,MATCH(255,'Watershed plans'!$Y$12:$Y$267,0)),NA())</f>
        <v/>
      </c>
      <c r="F285" s="25">
        <f>IFERROR(INDEX('Watershed plans'!$Q$12:$Q$267,MATCH(255,'Watershed plans'!$Y$12:$Y$267,0)),NA())</f>
        <v/>
      </c>
      <c r="K285" s="10">
        <f>IF('Watershed plans'!T266=1,1+SUMPRODUCT('Watershed plans'!$T$12:$T$267*(('Watershed plans'!$M$12:$M$267&lt;'Watershed plans'!M266)+('Watershed plans'!$M$12:$M$267='Watershed plans'!M266)*('Watershed plans'!$A$12:$A$267&lt;'Watershed plans'!A266))),0)</f>
        <v/>
      </c>
    </row>
    <row r="286">
      <c r="A286" s="21">
        <f>IF(AND('Watershed plans'!C267=1,'Watershed plans'!T267&lt;&gt;1),'Watershed plans'!P267,NA())</f>
        <v/>
      </c>
      <c r="B286" s="25">
        <f>IF(AND('Watershed plans'!C267=1,'Watershed plans'!T267&lt;&gt;1),'Watershed plans'!Q267,NA())</f>
        <v/>
      </c>
      <c r="C286" s="21">
        <f>IFERROR(INDEX('Watershed plans'!$P$12:$P$267,MATCH(256,$K$31:$K$286,0)),NA())</f>
        <v/>
      </c>
      <c r="D286" s="25">
        <f>IFERROR(INDEX('Watershed plans'!$Q$12:$Q$267,MATCH(256,$K$31:$K$286,0)),NA())</f>
        <v/>
      </c>
      <c r="E286" s="21">
        <f>IFERROR(INDEX('Watershed plans'!$P$12:$P$267,MATCH(256,'Watershed plans'!$Y$12:$Y$267,0)),NA())</f>
        <v/>
      </c>
      <c r="F286" s="25">
        <f>IFERROR(INDEX('Watershed plans'!$Q$12:$Q$267,MATCH(256,'Watershed plans'!$Y$12:$Y$267,0)),NA())</f>
        <v/>
      </c>
      <c r="K286" s="10">
        <f>IF('Watershed plans'!T267=1,1+SUMPRODUCT('Watershed plans'!$T$12:$T$267*(('Watershed plans'!$M$12:$M$267&lt;'Watershed plans'!M267)+('Watershed plans'!$M$12:$M$267='Watershed plans'!M267)*('Watershed plans'!$A$12:$A$267&lt;'Watershed plans'!A267))),0)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4:E14"/>
  <sheetViews>
    <sheetView workbookViewId="0">
      <selection activeCell="A1" sqref="A1"/>
    </sheetView>
  </sheetViews>
  <sheetFormatPr baseColWidth="8" defaultRowHeight="15"/>
  <sheetData>
    <row r="4">
      <c r="B4" t="n">
        <v>0.03</v>
      </c>
    </row>
    <row r="5">
      <c r="B5" t="n">
        <v>50</v>
      </c>
    </row>
    <row r="6">
      <c r="B6" t="n">
        <v>12</v>
      </c>
    </row>
    <row r="7">
      <c r="B7" t="inlineStr">
        <is>
          <t>END</t>
        </is>
      </c>
    </row>
    <row r="8">
      <c r="B8" t="inlineStr">
        <is>
          <t>END_OF_YEAR</t>
        </is>
      </c>
    </row>
    <row r="9">
      <c r="B9" t="n">
        <v>4</v>
      </c>
    </row>
    <row r="10">
      <c r="B10" t="n">
        <v>6</v>
      </c>
    </row>
    <row r="14">
      <c r="B14" t="n">
        <v>0</v>
      </c>
      <c r="C14" t="n">
        <v>2</v>
      </c>
      <c r="D14" t="n">
        <v>10</v>
      </c>
      <c r="E14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F6:M98"/>
  <sheetViews>
    <sheetView workbookViewId="0">
      <selection activeCell="A1" sqref="A1"/>
    </sheetView>
  </sheetViews>
  <sheetFormatPr baseColWidth="8" defaultRowHeight="15"/>
  <sheetData>
    <row r="6">
      <c r="F6" t="n">
        <v>0.07111111111111111</v>
      </c>
      <c r="G6" t="n">
        <v>0.07111111111111111</v>
      </c>
      <c r="H6" t="n">
        <v>0.07111111111111111</v>
      </c>
      <c r="I6" t="n">
        <v>0.07111111111111111</v>
      </c>
      <c r="J6" t="n">
        <v>0</v>
      </c>
      <c r="K6" t="n">
        <v>0</v>
      </c>
      <c r="L6" t="n">
        <v>0</v>
      </c>
      <c r="M6" t="n">
        <v>0</v>
      </c>
    </row>
    <row r="7">
      <c r="F7" t="n">
        <v>0.07111111111111111</v>
      </c>
      <c r="G7" t="n">
        <v>0.7333333333333333</v>
      </c>
      <c r="H7" t="n">
        <v>0.7955555555555556</v>
      </c>
      <c r="I7" t="n">
        <v>0.8355555555555556</v>
      </c>
      <c r="J7" t="n">
        <v>0</v>
      </c>
      <c r="K7" t="n">
        <v>1.080693297</v>
      </c>
      <c r="L7" t="n">
        <v>1.080693297</v>
      </c>
      <c r="M7" t="n">
        <v>1.080693297</v>
      </c>
    </row>
    <row r="8">
      <c r="F8" t="n">
        <v>0.07111111111111111</v>
      </c>
      <c r="G8" t="n">
        <v>0.6666666666666666</v>
      </c>
      <c r="H8" t="n">
        <v>0.7777777777777778</v>
      </c>
      <c r="I8" t="n">
        <v>0.7777777777777778</v>
      </c>
      <c r="J8" t="n">
        <v>0</v>
      </c>
      <c r="K8" t="n">
        <v>0.389049587</v>
      </c>
      <c r="L8" t="n">
        <v>0.389049587</v>
      </c>
      <c r="M8" t="n">
        <v>0.389049587</v>
      </c>
    </row>
    <row r="9">
      <c r="F9" t="n">
        <v>0.07111111111111111</v>
      </c>
      <c r="G9" t="n">
        <v>0.7333333333333333</v>
      </c>
      <c r="H9" t="n">
        <v>0.7955555555555556</v>
      </c>
      <c r="I9" t="n">
        <v>0.8355555555555556</v>
      </c>
      <c r="J9" t="n">
        <v>0</v>
      </c>
      <c r="K9" t="n">
        <v>2.67231405</v>
      </c>
      <c r="L9" t="n">
        <v>2.67231405</v>
      </c>
      <c r="M9" t="n">
        <v>2.67231405</v>
      </c>
    </row>
    <row r="10">
      <c r="F10" t="n">
        <v>0.3022222222222222</v>
      </c>
      <c r="G10" t="n">
        <v>0.3022222222222222</v>
      </c>
      <c r="H10" t="n">
        <v>0.3022222222222222</v>
      </c>
      <c r="I10" t="n">
        <v>0.3022222222222222</v>
      </c>
      <c r="J10" t="n">
        <v>6.633146182</v>
      </c>
      <c r="K10" t="n">
        <v>6.633146182</v>
      </c>
      <c r="L10" t="n">
        <v>6.633146182</v>
      </c>
      <c r="M10" t="n">
        <v>6.633146182</v>
      </c>
    </row>
    <row r="11">
      <c r="F11" t="n">
        <v>0.3022222222222222</v>
      </c>
      <c r="G11" t="n">
        <v>0.8088888888888889</v>
      </c>
      <c r="H11" t="n">
        <v>0.9066666666666666</v>
      </c>
      <c r="I11" t="n">
        <v>0.8800000000000002</v>
      </c>
      <c r="J11" t="n">
        <v>6.633146182</v>
      </c>
      <c r="K11" t="n">
        <v>10.87132341</v>
      </c>
      <c r="L11" t="n">
        <v>10.87132341</v>
      </c>
      <c r="M11" t="n">
        <v>10.87132341</v>
      </c>
    </row>
    <row r="12">
      <c r="F12" t="n">
        <v>0.3022222222222222</v>
      </c>
      <c r="G12" t="n">
        <v>0.7377777777777778</v>
      </c>
      <c r="H12" t="n">
        <v>0.8088888888888889</v>
      </c>
      <c r="I12" t="n">
        <v>0.831111111111111</v>
      </c>
      <c r="J12" t="n">
        <v>6.633146182</v>
      </c>
      <c r="K12" t="n">
        <v>8.240125062000001</v>
      </c>
      <c r="L12" t="n">
        <v>8.240125062000001</v>
      </c>
      <c r="M12" t="n">
        <v>8.240125062000001</v>
      </c>
    </row>
    <row r="13">
      <c r="F13" t="n">
        <v>0.3022222222222222</v>
      </c>
      <c r="G13" t="n">
        <v>0.611111111111111</v>
      </c>
      <c r="H13" t="n">
        <v>0.6911111111111111</v>
      </c>
      <c r="I13" t="n">
        <v>0.6955555555555556</v>
      </c>
      <c r="J13" t="n">
        <v>6.633146182</v>
      </c>
      <c r="K13" t="n">
        <v>6.633146182</v>
      </c>
      <c r="L13" t="n">
        <v>6.633146182</v>
      </c>
      <c r="M13" t="n">
        <v>6.633146182</v>
      </c>
    </row>
    <row r="14">
      <c r="F14" t="n">
        <v>0.7200000000000001</v>
      </c>
      <c r="G14" t="n">
        <v>0.7200000000000001</v>
      </c>
      <c r="H14" t="n">
        <v>0.7200000000000001</v>
      </c>
      <c r="I14" t="n">
        <v>0.7200000000000001</v>
      </c>
      <c r="J14" t="n">
        <v>74.75713854999999</v>
      </c>
      <c r="K14" t="n">
        <v>74.75713854999999</v>
      </c>
      <c r="L14" t="n">
        <v>74.75713854999999</v>
      </c>
      <c r="M14" t="n">
        <v>74.75713854999999</v>
      </c>
    </row>
    <row r="15">
      <c r="F15" t="n">
        <v>0.7200000000000001</v>
      </c>
      <c r="G15" t="n">
        <v>0.8022222222222223</v>
      </c>
      <c r="H15" t="n">
        <v>0.8066666666666666</v>
      </c>
      <c r="I15" t="n">
        <v>0.8066666666666666</v>
      </c>
      <c r="J15" t="n">
        <v>74.75713854999999</v>
      </c>
      <c r="K15" t="n">
        <v>74.96187913999999</v>
      </c>
      <c r="L15" t="n">
        <v>74.96187913999999</v>
      </c>
      <c r="M15" t="n">
        <v>74.96187913999999</v>
      </c>
    </row>
    <row r="16">
      <c r="F16" t="n">
        <v>0.7200000000000001</v>
      </c>
      <c r="G16" t="n">
        <v>0.8022222222222223</v>
      </c>
      <c r="H16" t="n">
        <v>0.8266666666666668</v>
      </c>
      <c r="I16" t="n">
        <v>0.8266666666666668</v>
      </c>
      <c r="J16" t="n">
        <v>74.75713854999999</v>
      </c>
      <c r="K16" t="n">
        <v>74.96187913999999</v>
      </c>
      <c r="L16" t="n">
        <v>74.96187913999999</v>
      </c>
      <c r="M16" t="n">
        <v>74.96187913999999</v>
      </c>
    </row>
    <row r="17">
      <c r="F17" t="n">
        <v>0.7200000000000001</v>
      </c>
      <c r="G17" t="n">
        <v>0.7288888888888888</v>
      </c>
      <c r="H17" t="n">
        <v>0.7333333333333334</v>
      </c>
      <c r="I17" t="n">
        <v>0.7333333333333334</v>
      </c>
      <c r="J17" t="n">
        <v>74.75713854999999</v>
      </c>
      <c r="K17" t="n">
        <v>74.75713854999999</v>
      </c>
      <c r="L17" t="n">
        <v>74.75713854999999</v>
      </c>
      <c r="M17" t="n">
        <v>74.75713854999999</v>
      </c>
    </row>
    <row r="18">
      <c r="F18" t="n">
        <v>0.3022222222222222</v>
      </c>
      <c r="G18" t="n">
        <v>0.3022222222222222</v>
      </c>
      <c r="H18" t="n">
        <v>0.3022222222222222</v>
      </c>
      <c r="I18" t="n">
        <v>0.3022222222222222</v>
      </c>
      <c r="J18" t="n">
        <v>29.20848246</v>
      </c>
      <c r="K18" t="n">
        <v>29.20848246</v>
      </c>
      <c r="L18" t="n">
        <v>29.20848246</v>
      </c>
      <c r="M18" t="n">
        <v>29.20848246</v>
      </c>
    </row>
    <row r="19">
      <c r="F19" t="n">
        <v>0.3022222222222222</v>
      </c>
      <c r="G19" t="n">
        <v>0.8266666666666665</v>
      </c>
      <c r="H19" t="n">
        <v>0.8777777777777778</v>
      </c>
      <c r="I19" t="n">
        <v>0.8866666666666667</v>
      </c>
      <c r="J19" t="n">
        <v>29.20848246</v>
      </c>
      <c r="K19" t="n">
        <v>30.00616382</v>
      </c>
      <c r="L19" t="n">
        <v>30.00616382</v>
      </c>
      <c r="M19" t="n">
        <v>30.00616382</v>
      </c>
    </row>
    <row r="20">
      <c r="F20" t="n">
        <v>0.3022222222222222</v>
      </c>
      <c r="G20" t="n">
        <v>0.7711111111111112</v>
      </c>
      <c r="H20" t="n">
        <v>0.8288888888888889</v>
      </c>
      <c r="I20" t="n">
        <v>0.8488888888888889</v>
      </c>
      <c r="J20" t="n">
        <v>29.20848246</v>
      </c>
      <c r="K20" t="n">
        <v>30.58180661</v>
      </c>
      <c r="L20" t="n">
        <v>30.58180661</v>
      </c>
      <c r="M20" t="n">
        <v>30.58180661</v>
      </c>
    </row>
    <row r="21">
      <c r="F21" t="n">
        <v>0.3022222222222222</v>
      </c>
      <c r="G21" t="n">
        <v>0.3977777777777778</v>
      </c>
      <c r="H21" t="n">
        <v>0.3977777777777778</v>
      </c>
      <c r="I21" t="n">
        <v>0.3977777777777778</v>
      </c>
      <c r="J21" t="n">
        <v>29.20848246</v>
      </c>
      <c r="K21" t="n">
        <v>29.20848246</v>
      </c>
      <c r="L21" t="n">
        <v>29.20848246</v>
      </c>
      <c r="M21" t="n">
        <v>29.20848246</v>
      </c>
    </row>
    <row r="22">
      <c r="F22" t="n">
        <v>0.4999999999999999</v>
      </c>
      <c r="G22" t="n">
        <v>0.4999999999999999</v>
      </c>
      <c r="H22" t="n">
        <v>0.4999999999999999</v>
      </c>
      <c r="I22" t="n">
        <v>0.4999999999999999</v>
      </c>
      <c r="J22" t="n">
        <v>20.89978311</v>
      </c>
      <c r="K22" t="n">
        <v>20.89978311</v>
      </c>
      <c r="L22" t="n">
        <v>20.89978311</v>
      </c>
      <c r="M22" t="n">
        <v>20.89978311</v>
      </c>
    </row>
    <row r="23">
      <c r="F23" t="n">
        <v>0.4999999999999999</v>
      </c>
      <c r="G23" t="n">
        <v>0.8422222222222221</v>
      </c>
      <c r="H23" t="n">
        <v>0.9044444444444446</v>
      </c>
      <c r="I23" t="n">
        <v>0.908888888888889</v>
      </c>
      <c r="J23" t="n">
        <v>20.89978311</v>
      </c>
      <c r="K23" t="n">
        <v>22.2767574</v>
      </c>
      <c r="L23" t="n">
        <v>22.2767574</v>
      </c>
      <c r="M23" t="n">
        <v>22.2767574</v>
      </c>
    </row>
    <row r="24">
      <c r="F24" t="n">
        <v>0.4999999999999999</v>
      </c>
      <c r="G24" t="n">
        <v>0.7533333333333333</v>
      </c>
      <c r="H24" t="n">
        <v>0.7777777777777777</v>
      </c>
      <c r="I24" t="n">
        <v>0.7933333333333333</v>
      </c>
      <c r="J24" t="n">
        <v>20.89978311</v>
      </c>
      <c r="K24" t="n">
        <v>21.72112149</v>
      </c>
      <c r="L24" t="n">
        <v>21.72112149</v>
      </c>
      <c r="M24" t="n">
        <v>21.72112149</v>
      </c>
    </row>
    <row r="25">
      <c r="F25" t="n">
        <v>0.4999999999999999</v>
      </c>
      <c r="G25" t="n">
        <v>0.5644444444444444</v>
      </c>
      <c r="H25" t="n">
        <v>0.5644444444444444</v>
      </c>
      <c r="I25" t="n">
        <v>0.5644444444444444</v>
      </c>
      <c r="J25" t="n">
        <v>20.89978311</v>
      </c>
      <c r="K25" t="n">
        <v>20.89978311</v>
      </c>
      <c r="L25" t="n">
        <v>20.89978311</v>
      </c>
      <c r="M25" t="n">
        <v>20.89978311</v>
      </c>
    </row>
    <row r="26">
      <c r="F26" t="n">
        <v>0.791111111111111</v>
      </c>
      <c r="G26" t="n">
        <v>0.791111111111111</v>
      </c>
      <c r="H26" t="n">
        <v>0.791111111111111</v>
      </c>
      <c r="I26" t="n">
        <v>0.791111111111111</v>
      </c>
      <c r="J26" t="n">
        <v>7.729478182</v>
      </c>
      <c r="K26" t="n">
        <v>7.729478182</v>
      </c>
      <c r="L26" t="n">
        <v>7.729478182</v>
      </c>
      <c r="M26" t="n">
        <v>7.729478182</v>
      </c>
    </row>
    <row r="27">
      <c r="F27" t="n">
        <v>0.791111111111111</v>
      </c>
      <c r="G27" t="n">
        <v>0.8911111111111111</v>
      </c>
      <c r="H27" t="n">
        <v>0.8955555555555555</v>
      </c>
      <c r="I27" t="n">
        <v>0.8955555555555555</v>
      </c>
      <c r="J27" t="n">
        <v>7.729478182</v>
      </c>
      <c r="K27" t="n">
        <v>7.729478182</v>
      </c>
      <c r="L27" t="n">
        <v>7.729478182</v>
      </c>
      <c r="M27" t="n">
        <v>7.729478182</v>
      </c>
    </row>
    <row r="28">
      <c r="F28" t="n">
        <v>0.791111111111111</v>
      </c>
      <c r="G28" t="n">
        <v>0.8733333333333334</v>
      </c>
      <c r="H28" t="n">
        <v>0.8733333333333334</v>
      </c>
      <c r="I28" t="n">
        <v>0.8777777777777778</v>
      </c>
      <c r="J28" t="n">
        <v>7.729478182</v>
      </c>
      <c r="K28" t="n">
        <v>7.729478182</v>
      </c>
      <c r="L28" t="n">
        <v>7.729478182</v>
      </c>
      <c r="M28" t="n">
        <v>7.729478182</v>
      </c>
    </row>
    <row r="29">
      <c r="F29" t="n">
        <v>0.791111111111111</v>
      </c>
      <c r="G29" t="n">
        <v>0.8288888888888889</v>
      </c>
      <c r="H29" t="n">
        <v>0.8422222222222223</v>
      </c>
      <c r="I29" t="n">
        <v>0.8422222222222223</v>
      </c>
      <c r="J29" t="n">
        <v>7.729478182</v>
      </c>
      <c r="K29" t="n">
        <v>7.729478182</v>
      </c>
      <c r="L29" t="n">
        <v>7.729478182</v>
      </c>
      <c r="M29" t="n">
        <v>7.729478182</v>
      </c>
    </row>
    <row r="30">
      <c r="F30" t="n">
        <v>0.791111111111111</v>
      </c>
      <c r="G30" t="n">
        <v>0.791111111111111</v>
      </c>
      <c r="H30" t="n">
        <v>0.791111111111111</v>
      </c>
      <c r="I30" t="n">
        <v>0.791111111111111</v>
      </c>
      <c r="J30" t="n">
        <v>18.10577455</v>
      </c>
      <c r="K30" t="n">
        <v>18.10577455</v>
      </c>
      <c r="L30" t="n">
        <v>18.10577455</v>
      </c>
      <c r="M30" t="n">
        <v>18.10577455</v>
      </c>
    </row>
    <row r="31">
      <c r="F31" t="n">
        <v>0.791111111111111</v>
      </c>
      <c r="G31" t="n">
        <v>0.831111111111111</v>
      </c>
      <c r="H31" t="n">
        <v>0.8688888888888888</v>
      </c>
      <c r="I31" t="n">
        <v>0.8733333333333334</v>
      </c>
      <c r="J31" t="n">
        <v>18.10577455</v>
      </c>
      <c r="K31" t="n">
        <v>18.10577455</v>
      </c>
      <c r="L31" t="n">
        <v>18.10577455</v>
      </c>
      <c r="M31" t="n">
        <v>18.10577455</v>
      </c>
    </row>
    <row r="32">
      <c r="F32" t="n">
        <v>0.791111111111111</v>
      </c>
      <c r="G32" t="n">
        <v>0.8044444444444444</v>
      </c>
      <c r="H32" t="n">
        <v>0.8422222222222223</v>
      </c>
      <c r="I32" t="n">
        <v>0.8466666666666667</v>
      </c>
      <c r="J32" t="n">
        <v>18.10577455</v>
      </c>
      <c r="K32" t="n">
        <v>18.10577455</v>
      </c>
      <c r="L32" t="n">
        <v>18.10577455</v>
      </c>
      <c r="M32" t="n">
        <v>18.10577455</v>
      </c>
    </row>
    <row r="33">
      <c r="F33" t="n">
        <v>0.791111111111111</v>
      </c>
      <c r="G33" t="n">
        <v>0.8466666666666667</v>
      </c>
      <c r="H33" t="n">
        <v>0.8555555555555556</v>
      </c>
      <c r="I33" t="n">
        <v>0.8555555555555556</v>
      </c>
      <c r="J33" t="n">
        <v>18.10577455</v>
      </c>
      <c r="K33" t="n">
        <v>18.10577455</v>
      </c>
      <c r="L33" t="n">
        <v>18.10577455</v>
      </c>
      <c r="M33" t="n">
        <v>18.10577455</v>
      </c>
    </row>
    <row r="34">
      <c r="F34" t="n">
        <v>0.6777777777777777</v>
      </c>
      <c r="G34" t="n">
        <v>0.6777777777777777</v>
      </c>
      <c r="H34" t="n">
        <v>0.6777777777777777</v>
      </c>
      <c r="I34" t="n">
        <v>0.6777777777777777</v>
      </c>
      <c r="J34" t="n">
        <v>7.962850909</v>
      </c>
      <c r="K34" t="n">
        <v>7.962850909</v>
      </c>
      <c r="L34" t="n">
        <v>7.962850909</v>
      </c>
      <c r="M34" t="n">
        <v>7.962850909</v>
      </c>
    </row>
    <row r="35">
      <c r="F35" t="n">
        <v>0.6777777777777777</v>
      </c>
      <c r="G35" t="n">
        <v>0.8133333333333334</v>
      </c>
      <c r="H35" t="n">
        <v>0.8377777777777777</v>
      </c>
      <c r="I35" t="n">
        <v>0.8488888888888889</v>
      </c>
      <c r="J35" t="n">
        <v>7.962850909</v>
      </c>
      <c r="K35" t="n">
        <v>13.00746753</v>
      </c>
      <c r="L35" t="n">
        <v>13.00746753</v>
      </c>
      <c r="M35" t="n">
        <v>13.00746753</v>
      </c>
    </row>
    <row r="36">
      <c r="F36" t="n">
        <v>0.6777777777777777</v>
      </c>
      <c r="G36" t="n">
        <v>0.7022222222222223</v>
      </c>
      <c r="H36" t="n">
        <v>0.7155555555555555</v>
      </c>
      <c r="I36" t="n">
        <v>0.7155555555555555</v>
      </c>
      <c r="J36" t="n">
        <v>7.962850909</v>
      </c>
      <c r="K36" t="n">
        <v>7.962850909</v>
      </c>
      <c r="L36" t="n">
        <v>7.962850909</v>
      </c>
      <c r="M36" t="n">
        <v>7.962850909</v>
      </c>
    </row>
    <row r="37">
      <c r="F37" t="n">
        <v>0.06666666666666667</v>
      </c>
      <c r="G37" t="n">
        <v>0.06666666666666667</v>
      </c>
      <c r="H37" t="n">
        <v>0.06666666666666667</v>
      </c>
      <c r="I37" t="n">
        <v>0.06666666666666667</v>
      </c>
      <c r="J37" t="n">
        <v>0</v>
      </c>
      <c r="K37" t="n">
        <v>0</v>
      </c>
      <c r="L37" t="n">
        <v>0</v>
      </c>
      <c r="M37" t="n">
        <v>0</v>
      </c>
    </row>
    <row r="38">
      <c r="F38" t="n">
        <v>0.06666666666666667</v>
      </c>
      <c r="G38" t="n">
        <v>0.7333333333333333</v>
      </c>
      <c r="H38" t="n">
        <v>0.7955555555555556</v>
      </c>
      <c r="I38" t="n">
        <v>0.8355555555555556</v>
      </c>
      <c r="J38" t="n">
        <v>0</v>
      </c>
      <c r="K38" t="n">
        <v>1.080693297</v>
      </c>
      <c r="L38" t="n">
        <v>1.080693297</v>
      </c>
      <c r="M38" t="n">
        <v>1.080693297</v>
      </c>
    </row>
    <row r="39">
      <c r="F39" t="n">
        <v>0.06666666666666667</v>
      </c>
      <c r="G39" t="n">
        <v>0.6666666666666666</v>
      </c>
      <c r="H39" t="n">
        <v>0.7777777777777778</v>
      </c>
      <c r="I39" t="n">
        <v>0.7777777777777778</v>
      </c>
      <c r="J39" t="n">
        <v>0</v>
      </c>
      <c r="K39" t="n">
        <v>0.389049587</v>
      </c>
      <c r="L39" t="n">
        <v>0.389049587</v>
      </c>
      <c r="M39" t="n">
        <v>0.389049587</v>
      </c>
    </row>
    <row r="40">
      <c r="F40" t="n">
        <v>0.06666666666666667</v>
      </c>
      <c r="G40" t="n">
        <v>0.7333333333333333</v>
      </c>
      <c r="H40" t="n">
        <v>0.7955555555555556</v>
      </c>
      <c r="I40" t="n">
        <v>0.8355555555555556</v>
      </c>
      <c r="J40" t="n">
        <v>0</v>
      </c>
      <c r="K40" t="n">
        <v>2.67231405</v>
      </c>
      <c r="L40" t="n">
        <v>2.67231405</v>
      </c>
      <c r="M40" t="n">
        <v>2.67231405</v>
      </c>
    </row>
    <row r="41">
      <c r="F41" t="n">
        <v>0.2777777777777778</v>
      </c>
      <c r="G41" t="n">
        <v>0.2777777777777778</v>
      </c>
      <c r="H41" t="n">
        <v>0.2777777777777778</v>
      </c>
      <c r="I41" t="n">
        <v>0.2777777777777778</v>
      </c>
      <c r="J41" t="n">
        <v>8.613189818</v>
      </c>
      <c r="K41" t="n">
        <v>8.613189818</v>
      </c>
      <c r="L41" t="n">
        <v>8.613189818</v>
      </c>
      <c r="M41" t="n">
        <v>8.613189818</v>
      </c>
    </row>
    <row r="42">
      <c r="F42" t="n">
        <v>0.2777777777777778</v>
      </c>
      <c r="G42" t="n">
        <v>0.58</v>
      </c>
      <c r="H42" t="n">
        <v>0.6377777777777778</v>
      </c>
      <c r="I42" t="n">
        <v>0.6955555555555555</v>
      </c>
      <c r="J42" t="n">
        <v>8.613189818</v>
      </c>
      <c r="K42" t="n">
        <v>10.17680322</v>
      </c>
      <c r="L42" t="n">
        <v>10.17680322</v>
      </c>
      <c r="M42" t="n">
        <v>10.17680322</v>
      </c>
    </row>
    <row r="43">
      <c r="F43" t="n">
        <v>0.2777777777777778</v>
      </c>
      <c r="G43" t="n">
        <v>0.58</v>
      </c>
      <c r="H43" t="n">
        <v>0.6377777777777778</v>
      </c>
      <c r="I43" t="n">
        <v>0.6955555555555555</v>
      </c>
      <c r="J43" t="n">
        <v>8.613189818</v>
      </c>
      <c r="K43" t="n">
        <v>10.2201687</v>
      </c>
      <c r="L43" t="n">
        <v>10.2201687</v>
      </c>
      <c r="M43" t="n">
        <v>10.2201687</v>
      </c>
    </row>
    <row r="44">
      <c r="F44" t="n">
        <v>0.2777777777777778</v>
      </c>
      <c r="G44" t="n">
        <v>0.5377777777777778</v>
      </c>
      <c r="H44" t="n">
        <v>0.5777777777777778</v>
      </c>
      <c r="I44" t="n">
        <v>0.5822222222222222</v>
      </c>
      <c r="J44" t="n">
        <v>8.613189818</v>
      </c>
      <c r="K44" t="n">
        <v>8.613189818</v>
      </c>
      <c r="L44" t="n">
        <v>8.613189818</v>
      </c>
      <c r="M44" t="n">
        <v>8.613189818</v>
      </c>
    </row>
    <row r="45">
      <c r="F45" t="n">
        <v>0.8911111111111111</v>
      </c>
      <c r="G45" t="n">
        <v>0.8911111111111111</v>
      </c>
      <c r="H45" t="n">
        <v>0.8911111111111111</v>
      </c>
      <c r="I45" t="n">
        <v>0.8911111111111111</v>
      </c>
      <c r="J45" t="n">
        <v>25.39956615</v>
      </c>
      <c r="K45" t="n">
        <v>25.39956615</v>
      </c>
      <c r="L45" t="n">
        <v>25.39956615</v>
      </c>
      <c r="M45" t="n">
        <v>25.39956615</v>
      </c>
    </row>
    <row r="46">
      <c r="F46" t="n">
        <v>0.8911111111111111</v>
      </c>
      <c r="G46" t="n">
        <v>0.8999999999999999</v>
      </c>
      <c r="H46" t="n">
        <v>0.8999999999999999</v>
      </c>
      <c r="I46" t="n">
        <v>0.8999999999999999</v>
      </c>
      <c r="J46" t="n">
        <v>25.39956615</v>
      </c>
      <c r="K46" t="n">
        <v>25.60552345</v>
      </c>
      <c r="L46" t="n">
        <v>25.60552345</v>
      </c>
      <c r="M46" t="n">
        <v>25.60552345</v>
      </c>
    </row>
    <row r="47">
      <c r="F47" t="n">
        <v>0.8911111111111111</v>
      </c>
      <c r="G47" t="n">
        <v>0.8955555555555555</v>
      </c>
      <c r="H47" t="n">
        <v>0.9088888888888889</v>
      </c>
      <c r="I47" t="n">
        <v>0.9088888888888889</v>
      </c>
      <c r="J47" t="n">
        <v>25.39956615</v>
      </c>
      <c r="K47" t="n">
        <v>25.60552345</v>
      </c>
      <c r="L47" t="n">
        <v>25.60552345</v>
      </c>
      <c r="M47" t="n">
        <v>25.60552345</v>
      </c>
    </row>
    <row r="48">
      <c r="F48" t="n">
        <v>0.8911111111111111</v>
      </c>
      <c r="G48" t="n">
        <v>0.8955555555555555</v>
      </c>
      <c r="H48" t="n">
        <v>0.8955555555555555</v>
      </c>
      <c r="I48" t="n">
        <v>0.8955555555555555</v>
      </c>
      <c r="J48" t="n">
        <v>25.39956615</v>
      </c>
      <c r="K48" t="n">
        <v>25.39956615</v>
      </c>
      <c r="L48" t="n">
        <v>25.39956615</v>
      </c>
      <c r="M48" t="n">
        <v>25.39956615</v>
      </c>
    </row>
    <row r="49">
      <c r="F49" t="n">
        <v>0.648888888888889</v>
      </c>
      <c r="G49" t="n">
        <v>0.648888888888889</v>
      </c>
      <c r="H49" t="n">
        <v>0.648888888888889</v>
      </c>
      <c r="I49" t="n">
        <v>0.648888888888889</v>
      </c>
      <c r="J49" t="n">
        <v>32.19387628</v>
      </c>
      <c r="K49" t="n">
        <v>32.19387628</v>
      </c>
      <c r="L49" t="n">
        <v>32.19387628</v>
      </c>
      <c r="M49" t="n">
        <v>32.19387628</v>
      </c>
    </row>
    <row r="50">
      <c r="F50" t="n">
        <v>0.648888888888889</v>
      </c>
      <c r="G50" t="n">
        <v>0.9022222222222224</v>
      </c>
      <c r="H50" t="n">
        <v>0.9444444444444445</v>
      </c>
      <c r="I50" t="n">
        <v>0.948888888888889</v>
      </c>
      <c r="J50" t="n">
        <v>32.19387628</v>
      </c>
      <c r="K50" t="n">
        <v>32.99155764</v>
      </c>
      <c r="L50" t="n">
        <v>32.99155764</v>
      </c>
      <c r="M50" t="n">
        <v>32.99155764</v>
      </c>
    </row>
    <row r="51">
      <c r="F51" t="n">
        <v>0.648888888888889</v>
      </c>
      <c r="G51" t="n">
        <v>0.8066666666666666</v>
      </c>
      <c r="H51" t="n">
        <v>0.8466666666666667</v>
      </c>
      <c r="I51" t="n">
        <v>0.8666666666666668</v>
      </c>
      <c r="J51" t="n">
        <v>32.19387628</v>
      </c>
      <c r="K51" t="n">
        <v>33.22307738</v>
      </c>
      <c r="L51" t="n">
        <v>33.22307738</v>
      </c>
      <c r="M51" t="n">
        <v>33.22307738</v>
      </c>
    </row>
    <row r="52">
      <c r="F52" t="n">
        <v>0.648888888888889</v>
      </c>
      <c r="G52" t="n">
        <v>0.6622222222222223</v>
      </c>
      <c r="H52" t="n">
        <v>0.6622222222222223</v>
      </c>
      <c r="I52" t="n">
        <v>0.6622222222222223</v>
      </c>
      <c r="J52" t="n">
        <v>32.19387628</v>
      </c>
      <c r="K52" t="n">
        <v>32.19387628</v>
      </c>
      <c r="L52" t="n">
        <v>32.19387628</v>
      </c>
      <c r="M52" t="n">
        <v>32.19387628</v>
      </c>
    </row>
    <row r="53">
      <c r="F53" t="n">
        <v>0.5244444444444444</v>
      </c>
      <c r="G53" t="n">
        <v>0.5244444444444444</v>
      </c>
      <c r="H53" t="n">
        <v>0.5244444444444444</v>
      </c>
      <c r="I53" t="n">
        <v>0.5244444444444444</v>
      </c>
      <c r="J53" t="n">
        <v>26.68614567</v>
      </c>
      <c r="K53" t="n">
        <v>26.68614567</v>
      </c>
      <c r="L53" t="n">
        <v>26.68614567</v>
      </c>
      <c r="M53" t="n">
        <v>26.68614567</v>
      </c>
    </row>
    <row r="54">
      <c r="F54" t="n">
        <v>0.5244444444444444</v>
      </c>
      <c r="G54" t="n">
        <v>0.8422222222222223</v>
      </c>
      <c r="H54" t="n">
        <v>0.9</v>
      </c>
      <c r="I54" t="n">
        <v>0.9088888888888889</v>
      </c>
      <c r="J54" t="n">
        <v>26.68614567</v>
      </c>
      <c r="K54" t="n">
        <v>27.95159563</v>
      </c>
      <c r="L54" t="n">
        <v>27.95159563</v>
      </c>
      <c r="M54" t="n">
        <v>27.95159563</v>
      </c>
    </row>
    <row r="55">
      <c r="F55" t="n">
        <v>0.5244444444444444</v>
      </c>
      <c r="G55" t="n">
        <v>0.7711111111111112</v>
      </c>
      <c r="H55" t="n">
        <v>0.7955555555555556</v>
      </c>
      <c r="I55" t="n">
        <v>0.8111111111111112</v>
      </c>
      <c r="J55" t="n">
        <v>26.68614567</v>
      </c>
      <c r="K55" t="n">
        <v>27.56074393</v>
      </c>
      <c r="L55" t="n">
        <v>27.56074393</v>
      </c>
      <c r="M55" t="n">
        <v>27.56074393</v>
      </c>
    </row>
    <row r="56">
      <c r="F56" t="n">
        <v>0.5244444444444444</v>
      </c>
      <c r="G56" t="n">
        <v>0.6311111111111111</v>
      </c>
      <c r="H56" t="n">
        <v>0.6311111111111111</v>
      </c>
      <c r="I56" t="n">
        <v>0.6311111111111111</v>
      </c>
      <c r="J56" t="n">
        <v>26.68614567</v>
      </c>
      <c r="K56" t="n">
        <v>26.68614567</v>
      </c>
      <c r="L56" t="n">
        <v>26.68614567</v>
      </c>
      <c r="M56" t="n">
        <v>26.68614567</v>
      </c>
    </row>
    <row r="57">
      <c r="F57" t="n">
        <v>0.791111111111111</v>
      </c>
      <c r="G57" t="n">
        <v>0.791111111111111</v>
      </c>
      <c r="H57" t="n">
        <v>0.791111111111111</v>
      </c>
      <c r="I57" t="n">
        <v>0.791111111111111</v>
      </c>
      <c r="J57" t="n">
        <v>12.48167588</v>
      </c>
      <c r="K57" t="n">
        <v>12.48167588</v>
      </c>
      <c r="L57" t="n">
        <v>12.48167588</v>
      </c>
      <c r="M57" t="n">
        <v>12.48167588</v>
      </c>
    </row>
    <row r="58">
      <c r="F58" t="n">
        <v>0.791111111111111</v>
      </c>
      <c r="G58" t="n">
        <v>0.8911111111111111</v>
      </c>
      <c r="H58" t="n">
        <v>0.8955555555555555</v>
      </c>
      <c r="I58" t="n">
        <v>0.8955555555555555</v>
      </c>
      <c r="J58" t="n">
        <v>12.48167588</v>
      </c>
      <c r="K58" t="n">
        <v>12.48167588</v>
      </c>
      <c r="L58" t="n">
        <v>12.48167588</v>
      </c>
      <c r="M58" t="n">
        <v>12.48167588</v>
      </c>
    </row>
    <row r="59">
      <c r="F59" t="n">
        <v>0.791111111111111</v>
      </c>
      <c r="G59" t="n">
        <v>0.8733333333333334</v>
      </c>
      <c r="H59" t="n">
        <v>0.8733333333333334</v>
      </c>
      <c r="I59" t="n">
        <v>0.8777777777777778</v>
      </c>
      <c r="J59" t="n">
        <v>12.48167588</v>
      </c>
      <c r="K59" t="n">
        <v>12.48167588</v>
      </c>
      <c r="L59" t="n">
        <v>12.48167588</v>
      </c>
      <c r="M59" t="n">
        <v>12.48167588</v>
      </c>
    </row>
    <row r="60">
      <c r="F60" t="n">
        <v>0.791111111111111</v>
      </c>
      <c r="G60" t="n">
        <v>0.8288888888888889</v>
      </c>
      <c r="H60" t="n">
        <v>0.8422222222222223</v>
      </c>
      <c r="I60" t="n">
        <v>0.8422222222222223</v>
      </c>
      <c r="J60" t="n">
        <v>12.48167588</v>
      </c>
      <c r="K60" t="n">
        <v>12.48167588</v>
      </c>
      <c r="L60" t="n">
        <v>12.48167588</v>
      </c>
      <c r="M60" t="n">
        <v>12.48167588</v>
      </c>
    </row>
    <row r="61">
      <c r="F61" t="n">
        <v>0.791111111111111</v>
      </c>
      <c r="G61" t="n">
        <v>0.791111111111111</v>
      </c>
      <c r="H61" t="n">
        <v>0.791111111111111</v>
      </c>
      <c r="I61" t="n">
        <v>0.791111111111111</v>
      </c>
      <c r="J61" t="n">
        <v>25.95161018</v>
      </c>
      <c r="K61" t="n">
        <v>25.95161018</v>
      </c>
      <c r="L61" t="n">
        <v>25.95161018</v>
      </c>
      <c r="M61" t="n">
        <v>25.95161018</v>
      </c>
    </row>
    <row r="62">
      <c r="F62" t="n">
        <v>0.791111111111111</v>
      </c>
      <c r="G62" t="n">
        <v>0.831111111111111</v>
      </c>
      <c r="H62" t="n">
        <v>0.8688888888888888</v>
      </c>
      <c r="I62" t="n">
        <v>0.8733333333333334</v>
      </c>
      <c r="J62" t="n">
        <v>25.95161018</v>
      </c>
      <c r="K62" t="n">
        <v>25.95161018</v>
      </c>
      <c r="L62" t="n">
        <v>25.95161018</v>
      </c>
      <c r="M62" t="n">
        <v>25.95161018</v>
      </c>
    </row>
    <row r="63">
      <c r="F63" t="n">
        <v>0.791111111111111</v>
      </c>
      <c r="G63" t="n">
        <v>0.8044444444444444</v>
      </c>
      <c r="H63" t="n">
        <v>0.8422222222222223</v>
      </c>
      <c r="I63" t="n">
        <v>0.8466666666666667</v>
      </c>
      <c r="J63" t="n">
        <v>25.95161018</v>
      </c>
      <c r="K63" t="n">
        <v>25.95161018</v>
      </c>
      <c r="L63" t="n">
        <v>25.95161018</v>
      </c>
      <c r="M63" t="n">
        <v>25.95161018</v>
      </c>
    </row>
    <row r="64">
      <c r="F64" t="n">
        <v>0.791111111111111</v>
      </c>
      <c r="G64" t="n">
        <v>0.8466666666666667</v>
      </c>
      <c r="H64" t="n">
        <v>0.8555555555555556</v>
      </c>
      <c r="I64" t="n">
        <v>0.8555555555555556</v>
      </c>
      <c r="J64" t="n">
        <v>25.95161018</v>
      </c>
      <c r="K64" t="n">
        <v>25.95161018</v>
      </c>
      <c r="L64" t="n">
        <v>25.95161018</v>
      </c>
      <c r="M64" t="n">
        <v>25.95161018</v>
      </c>
    </row>
    <row r="65">
      <c r="F65" t="n">
        <v>0.6777777777777777</v>
      </c>
      <c r="G65" t="n">
        <v>0.6777777777777777</v>
      </c>
      <c r="H65" t="n">
        <v>0.6777777777777777</v>
      </c>
      <c r="I65" t="n">
        <v>0.6777777777777777</v>
      </c>
      <c r="J65" t="n">
        <v>23.08072727</v>
      </c>
      <c r="K65" t="n">
        <v>23.08072727</v>
      </c>
      <c r="L65" t="n">
        <v>23.08072727</v>
      </c>
      <c r="M65" t="n">
        <v>23.08072727</v>
      </c>
    </row>
    <row r="66">
      <c r="F66" t="n">
        <v>0.6777777777777777</v>
      </c>
      <c r="G66" t="n">
        <v>0.8177777777777778</v>
      </c>
      <c r="H66" t="n">
        <v>0.8422222222222221</v>
      </c>
      <c r="I66" t="n">
        <v>0.8533333333333332</v>
      </c>
      <c r="J66" t="n">
        <v>23.08072727</v>
      </c>
      <c r="K66" t="n">
        <v>28.12534389</v>
      </c>
      <c r="L66" t="n">
        <v>28.12534389</v>
      </c>
      <c r="M66" t="n">
        <v>28.12534389</v>
      </c>
    </row>
    <row r="67">
      <c r="F67" t="n">
        <v>0.6777777777777777</v>
      </c>
      <c r="G67" t="n">
        <v>0.7066666666666667</v>
      </c>
      <c r="H67" t="n">
        <v>0.7200000000000001</v>
      </c>
      <c r="I67" t="n">
        <v>0.7200000000000001</v>
      </c>
      <c r="J67" t="n">
        <v>23.08072727</v>
      </c>
      <c r="K67" t="n">
        <v>23.08072727</v>
      </c>
      <c r="L67" t="n">
        <v>23.08072727</v>
      </c>
      <c r="M67" t="n">
        <v>23.08072727</v>
      </c>
    </row>
    <row r="68">
      <c r="F68" t="n">
        <v>0.3176191306651363</v>
      </c>
      <c r="G68" t="n">
        <v>0.3176191306651363</v>
      </c>
      <c r="H68" t="n">
        <v>0.3176191306651363</v>
      </c>
      <c r="I68" t="n">
        <v>0.3176191306651363</v>
      </c>
      <c r="J68" t="n">
        <v>3.870233105454545</v>
      </c>
      <c r="K68" t="n">
        <v>3.870233105454545</v>
      </c>
      <c r="L68" t="n">
        <v>3.870233105454545</v>
      </c>
      <c r="M68" t="n">
        <v>3.870233105454545</v>
      </c>
    </row>
    <row r="69">
      <c r="F69" t="n">
        <v>0.3176191306651363</v>
      </c>
      <c r="G69" t="n">
        <v>0.8718292977795244</v>
      </c>
      <c r="H69" t="n">
        <v>0.8749542977795245</v>
      </c>
      <c r="I69" t="n">
        <v>0.8812042977795245</v>
      </c>
      <c r="J69" t="n">
        <v>3.870233105454545</v>
      </c>
      <c r="K69" t="n">
        <v>3.02928145087236</v>
      </c>
      <c r="L69" t="n">
        <v>3.02928145087236</v>
      </c>
      <c r="M69" t="n">
        <v>3.02928145087236</v>
      </c>
    </row>
    <row r="70">
      <c r="F70" t="n">
        <v>0.3176191306651363</v>
      </c>
      <c r="G70" t="n">
        <v>0.6770978784844941</v>
      </c>
      <c r="H70" t="n">
        <v>0.6833478784844941</v>
      </c>
      <c r="I70" t="n">
        <v>0.6895978784844942</v>
      </c>
      <c r="J70" t="n">
        <v>3.870233105454545</v>
      </c>
      <c r="K70" t="n">
        <v>2.729745454545454</v>
      </c>
      <c r="L70" t="n">
        <v>2.729745454545454</v>
      </c>
      <c r="M70" t="n">
        <v>2.729745454545454</v>
      </c>
    </row>
    <row r="71">
      <c r="F71" t="n">
        <v>0.3176191306651363</v>
      </c>
      <c r="G71" t="n">
        <v>0.8770376311128578</v>
      </c>
      <c r="H71" t="n">
        <v>0.8864126311128578</v>
      </c>
      <c r="I71" t="n">
        <v>0.8926626311128578</v>
      </c>
      <c r="J71" t="n">
        <v>3.870233105454545</v>
      </c>
      <c r="K71" t="n">
        <v>4.294915241046832</v>
      </c>
      <c r="L71" t="n">
        <v>4.294915241046832</v>
      </c>
      <c r="M71" t="n">
        <v>4.294915241046832</v>
      </c>
    </row>
    <row r="72">
      <c r="F72" t="n">
        <v>0.3715379126397268</v>
      </c>
      <c r="G72" t="n">
        <v>0.3715379126397268</v>
      </c>
      <c r="H72" t="n">
        <v>0.3715379126397268</v>
      </c>
      <c r="I72" t="n">
        <v>0.3715379126397268</v>
      </c>
      <c r="J72" t="n">
        <v>6.345030006060606</v>
      </c>
      <c r="K72" t="n">
        <v>6.345030006060606</v>
      </c>
      <c r="L72" t="n">
        <v>6.345030006060606</v>
      </c>
      <c r="M72" t="n">
        <v>6.345030006060606</v>
      </c>
    </row>
    <row r="73">
      <c r="F73" t="n">
        <v>0.3715379126397268</v>
      </c>
      <c r="G73" t="n">
        <v>0.9125</v>
      </c>
      <c r="H73" t="n">
        <v>0.9156249999999999</v>
      </c>
      <c r="I73" t="n">
        <v>0.9156249999999999</v>
      </c>
      <c r="J73" t="n">
        <v>6.345030006060606</v>
      </c>
      <c r="K73" t="n">
        <v>5.802117575757576</v>
      </c>
      <c r="L73" t="n">
        <v>5.802117575757576</v>
      </c>
      <c r="M73" t="n">
        <v>5.802117575757576</v>
      </c>
    </row>
    <row r="74">
      <c r="F74" t="n">
        <v>0.3715379126397268</v>
      </c>
      <c r="G74" t="n">
        <v>0.884375</v>
      </c>
      <c r="H74" t="n">
        <v>0.8875</v>
      </c>
      <c r="I74" t="n">
        <v>0.8937499999999999</v>
      </c>
      <c r="J74" t="n">
        <v>6.345030006060606</v>
      </c>
      <c r="K74" t="n">
        <v>5.802117575757576</v>
      </c>
      <c r="L74" t="n">
        <v>5.802117575757576</v>
      </c>
      <c r="M74" t="n">
        <v>5.802117575757576</v>
      </c>
    </row>
    <row r="75">
      <c r="F75" t="n">
        <v>0.3715379126397268</v>
      </c>
      <c r="G75" t="n">
        <v>0.614591157805005</v>
      </c>
      <c r="H75" t="n">
        <v>0.6270911578050049</v>
      </c>
      <c r="I75" t="n">
        <v>0.6395911578050049</v>
      </c>
      <c r="J75" t="n">
        <v>6.345030006060606</v>
      </c>
      <c r="K75" t="n">
        <v>5.802117575757576</v>
      </c>
      <c r="L75" t="n">
        <v>5.802117575757576</v>
      </c>
      <c r="M75" t="n">
        <v>5.802117575757576</v>
      </c>
    </row>
    <row r="76">
      <c r="F76" t="n">
        <v>0.4444953665234117</v>
      </c>
      <c r="G76" t="n">
        <v>0.4444953665234117</v>
      </c>
      <c r="H76" t="n">
        <v>0.4444953665234117</v>
      </c>
      <c r="I76" t="n">
        <v>0.4444953665234117</v>
      </c>
      <c r="J76" t="n">
        <v>10.51630379272727</v>
      </c>
      <c r="K76" t="n">
        <v>10.51630379272727</v>
      </c>
      <c r="L76" t="n">
        <v>10.51630379272727</v>
      </c>
      <c r="M76" t="n">
        <v>10.51630379272727</v>
      </c>
    </row>
    <row r="77">
      <c r="F77" t="n">
        <v>0.4444953665234117</v>
      </c>
      <c r="G77" t="n">
        <v>0.8744447218742585</v>
      </c>
      <c r="H77" t="n">
        <v>0.8786113885409251</v>
      </c>
      <c r="I77" t="n">
        <v>0.8817363885409251</v>
      </c>
      <c r="J77" t="n">
        <v>10.51630379272727</v>
      </c>
      <c r="K77" t="n">
        <v>12.60947696969697</v>
      </c>
      <c r="L77" t="n">
        <v>12.60947696969697</v>
      </c>
      <c r="M77" t="n">
        <v>12.60947696969697</v>
      </c>
    </row>
    <row r="78">
      <c r="F78" t="n">
        <v>0.4444953665234117</v>
      </c>
      <c r="G78" t="n">
        <v>0.9004863885409252</v>
      </c>
      <c r="H78" t="n">
        <v>0.9077780552075918</v>
      </c>
      <c r="I78" t="n">
        <v>0.9077780552075918</v>
      </c>
      <c r="J78" t="n">
        <v>10.51630379272727</v>
      </c>
      <c r="K78" t="n">
        <v>12.60947696969697</v>
      </c>
      <c r="L78" t="n">
        <v>12.60947696969697</v>
      </c>
      <c r="M78" t="n">
        <v>12.60947696969697</v>
      </c>
    </row>
    <row r="79">
      <c r="F79" t="n">
        <v>0.4444953665234117</v>
      </c>
      <c r="G79" t="n">
        <v>0.6153286998567451</v>
      </c>
      <c r="H79" t="n">
        <v>0.6267870331900784</v>
      </c>
      <c r="I79" t="n">
        <v>0.6267870331900784</v>
      </c>
      <c r="J79" t="n">
        <v>10.51630379272727</v>
      </c>
      <c r="K79" t="n">
        <v>10.51630379272727</v>
      </c>
      <c r="L79" t="n">
        <v>10.51630379272727</v>
      </c>
      <c r="M79" t="n">
        <v>10.51630379272727</v>
      </c>
    </row>
    <row r="80">
      <c r="F80" t="n">
        <v>0.4809229085302892</v>
      </c>
      <c r="G80" t="n">
        <v>0.4809229085302892</v>
      </c>
      <c r="H80" t="n">
        <v>0.4809229085302892</v>
      </c>
      <c r="I80" t="n">
        <v>0.4809229085302892</v>
      </c>
      <c r="J80" t="n">
        <v>3.975942827955091</v>
      </c>
      <c r="K80" t="n">
        <v>3.975942827955091</v>
      </c>
      <c r="L80" t="n">
        <v>3.975942827955091</v>
      </c>
      <c r="M80" t="n">
        <v>3.975942827955091</v>
      </c>
    </row>
    <row r="81">
      <c r="F81" t="n">
        <v>0.4809229085302892</v>
      </c>
      <c r="G81" t="n">
        <v>0.9010416666666666</v>
      </c>
      <c r="H81" t="n">
        <v>0.9010416666666666</v>
      </c>
      <c r="I81" t="n">
        <v>0.9010416666666666</v>
      </c>
      <c r="J81" t="n">
        <v>3.975942827955091</v>
      </c>
      <c r="K81" t="n">
        <v>8.92791551882461</v>
      </c>
      <c r="L81" t="n">
        <v>8.92791551882461</v>
      </c>
      <c r="M81" t="n">
        <v>4.134712381213269</v>
      </c>
    </row>
    <row r="82">
      <c r="F82" t="n">
        <v>0.4809229085302892</v>
      </c>
      <c r="G82" t="n">
        <v>0.8624999999999999</v>
      </c>
      <c r="H82" t="n">
        <v>0.8624999999999999</v>
      </c>
      <c r="I82" t="n">
        <v>0.8624999999999999</v>
      </c>
      <c r="J82" t="n">
        <v>3.975942827955091</v>
      </c>
      <c r="K82" t="n">
        <v>3.975942827955091</v>
      </c>
      <c r="L82" t="n">
        <v>3.975942827955091</v>
      </c>
      <c r="M82" t="n">
        <v>3.975942827955091</v>
      </c>
    </row>
    <row r="83">
      <c r="F83" t="n">
        <v>0.4809229085302892</v>
      </c>
      <c r="G83" t="n">
        <v>0.7749999999999999</v>
      </c>
      <c r="H83" t="n">
        <v>0.7749999999999999</v>
      </c>
      <c r="I83" t="n">
        <v>0.7749999999999999</v>
      </c>
      <c r="J83" t="n">
        <v>3.975942827955091</v>
      </c>
      <c r="K83" t="n">
        <v>3.975942827955091</v>
      </c>
      <c r="L83" t="n">
        <v>3.975942827955091</v>
      </c>
      <c r="M83" t="n">
        <v>3.975942827955091</v>
      </c>
    </row>
    <row r="84">
      <c r="F84" t="n">
        <v>0.4291666666666666</v>
      </c>
      <c r="G84" t="n">
        <v>0.4291666666666666</v>
      </c>
      <c r="H84" t="n">
        <v>0.4291666666666666</v>
      </c>
      <c r="I84" t="n">
        <v>0.4291666666666666</v>
      </c>
      <c r="J84" t="n">
        <v>5.246508898181817</v>
      </c>
      <c r="K84" t="n">
        <v>5.246508898181817</v>
      </c>
      <c r="L84" t="n">
        <v>5.246508898181817</v>
      </c>
      <c r="M84" t="n">
        <v>5.246508898181817</v>
      </c>
    </row>
    <row r="85">
      <c r="F85" t="n">
        <v>0.4291666666666666</v>
      </c>
      <c r="G85" t="n">
        <v>0.7916666666666666</v>
      </c>
      <c r="H85" t="n">
        <v>0.7916666666666666</v>
      </c>
      <c r="I85" t="n">
        <v>0.7916666666666666</v>
      </c>
      <c r="J85" t="n">
        <v>5.246508898181817</v>
      </c>
      <c r="K85" t="n">
        <v>8.273619393939393</v>
      </c>
      <c r="L85" t="n">
        <v>8.273619393939393</v>
      </c>
      <c r="M85" t="n">
        <v>8.273619393939393</v>
      </c>
    </row>
    <row r="86">
      <c r="F86" t="n">
        <v>0.4291666666666666</v>
      </c>
      <c r="G86" t="n">
        <v>0.7583333333333333</v>
      </c>
      <c r="H86" t="n">
        <v>0.7583333333333333</v>
      </c>
      <c r="I86" t="n">
        <v>0.7583333333333333</v>
      </c>
      <c r="J86" t="n">
        <v>5.246508898181817</v>
      </c>
      <c r="K86" t="n">
        <v>5.246508898181817</v>
      </c>
      <c r="L86" t="n">
        <v>5.246508898181817</v>
      </c>
      <c r="M86" t="n">
        <v>5.246508898181817</v>
      </c>
    </row>
    <row r="87">
      <c r="F87" t="n">
        <v>0.4291666666666666</v>
      </c>
      <c r="G87" t="n">
        <v>0.6916666666666667</v>
      </c>
      <c r="H87" t="n">
        <v>0.6916666666666667</v>
      </c>
      <c r="I87" t="n">
        <v>0.6916666666666667</v>
      </c>
      <c r="J87" t="n">
        <v>5.246508898181817</v>
      </c>
      <c r="K87" t="n">
        <v>5.246508898181817</v>
      </c>
      <c r="L87" t="n">
        <v>5.246508898181817</v>
      </c>
      <c r="M87" t="n">
        <v>5.246508898181817</v>
      </c>
    </row>
    <row r="88">
      <c r="F88" t="n">
        <v>0.4907959704252108</v>
      </c>
      <c r="G88" t="n">
        <v>0.4907959704252108</v>
      </c>
      <c r="H88" t="n">
        <v>0.4907959704252108</v>
      </c>
      <c r="I88" t="n">
        <v>0.4907959704252108</v>
      </c>
      <c r="J88" t="n">
        <v>6.121174166060607</v>
      </c>
      <c r="K88" t="n">
        <v>6.121174166060607</v>
      </c>
      <c r="L88" t="n">
        <v>6.121174166060607</v>
      </c>
      <c r="M88" t="n">
        <v>6.121174166060607</v>
      </c>
    </row>
    <row r="89">
      <c r="F89" t="n">
        <v>0.4907959704252108</v>
      </c>
      <c r="G89" t="n">
        <v>0.8239583333333333</v>
      </c>
      <c r="H89" t="n">
        <v>0.8239583333333333</v>
      </c>
      <c r="I89" t="n">
        <v>0.8239583333333333</v>
      </c>
      <c r="J89" t="n">
        <v>6.121174166060607</v>
      </c>
      <c r="K89" t="n">
        <v>2.290215757575758</v>
      </c>
      <c r="L89" t="n">
        <v>2.290215757575758</v>
      </c>
      <c r="M89" t="n">
        <v>2.290215757575758</v>
      </c>
    </row>
    <row r="90">
      <c r="F90" t="n">
        <v>0.4907959704252108</v>
      </c>
      <c r="G90" t="n">
        <v>0.7109209704252109</v>
      </c>
      <c r="H90" t="n">
        <v>0.7109209704252109</v>
      </c>
      <c r="I90" t="n">
        <v>0.7109209704252109</v>
      </c>
      <c r="J90" t="n">
        <v>6.121174166060607</v>
      </c>
      <c r="K90" t="n">
        <v>6.121174166060607</v>
      </c>
      <c r="L90" t="n">
        <v>6.121174166060607</v>
      </c>
      <c r="M90" t="n">
        <v>6.121174166060607</v>
      </c>
    </row>
    <row r="91">
      <c r="F91" t="n">
        <v>0.4907959704252108</v>
      </c>
      <c r="G91" t="n">
        <v>0.5845459704252108</v>
      </c>
      <c r="H91" t="n">
        <v>0.5845459704252108</v>
      </c>
      <c r="I91" t="n">
        <v>0.5845459704252108</v>
      </c>
      <c r="J91" t="n">
        <v>6.121174166060607</v>
      </c>
      <c r="K91" t="n">
        <v>6.121174166060607</v>
      </c>
      <c r="L91" t="n">
        <v>6.121174166060607</v>
      </c>
      <c r="M91" t="n">
        <v>6.121174166060607</v>
      </c>
    </row>
    <row r="92">
      <c r="F92" t="n">
        <v>0.6242133784794707</v>
      </c>
      <c r="G92" t="n">
        <v>0.6242133784794707</v>
      </c>
      <c r="H92" t="n">
        <v>0.6085883784794707</v>
      </c>
      <c r="I92" t="n">
        <v>0.6085883784794707</v>
      </c>
      <c r="J92" t="n">
        <v>9.816347432727273</v>
      </c>
      <c r="K92" t="n">
        <v>9.816347432727273</v>
      </c>
      <c r="L92" t="n">
        <v>9.816347432727273</v>
      </c>
      <c r="M92" t="n">
        <v>9.816347432727273</v>
      </c>
    </row>
    <row r="93">
      <c r="F93" t="n">
        <v>0.6242133784794707</v>
      </c>
      <c r="G93" t="n">
        <v>0.7669217118128039</v>
      </c>
      <c r="H93" t="n">
        <v>0.7700467118128039</v>
      </c>
      <c r="I93" t="n">
        <v>0.7700467118128039</v>
      </c>
      <c r="J93" t="n">
        <v>9.816347432727273</v>
      </c>
      <c r="K93" t="n">
        <v>9.816347432727273</v>
      </c>
      <c r="L93" t="n">
        <v>9.816347432727273</v>
      </c>
      <c r="M93" t="n">
        <v>9.816347432727273</v>
      </c>
    </row>
    <row r="94">
      <c r="F94" t="n">
        <v>0.6242133784794707</v>
      </c>
      <c r="G94" t="n">
        <v>0.6992133784794706</v>
      </c>
      <c r="H94" t="n">
        <v>0.7106717118128039</v>
      </c>
      <c r="I94" t="n">
        <v>0.7106717118128039</v>
      </c>
      <c r="J94" t="n">
        <v>9.816347432727273</v>
      </c>
      <c r="K94" t="n">
        <v>9.816347432727273</v>
      </c>
      <c r="L94" t="n">
        <v>9.816347432727273</v>
      </c>
      <c r="M94" t="n">
        <v>9.816347432727273</v>
      </c>
    </row>
    <row r="95">
      <c r="F95" t="n">
        <v>0.6242133784794707</v>
      </c>
      <c r="G95" t="n">
        <v>0.6617133784794706</v>
      </c>
      <c r="H95" t="n">
        <v>0.6742133784794706</v>
      </c>
      <c r="I95" t="n">
        <v>0.6825467118128039</v>
      </c>
      <c r="J95" t="n">
        <v>9.816347432727273</v>
      </c>
      <c r="K95" t="n">
        <v>9.816347432727273</v>
      </c>
      <c r="L95" t="n">
        <v>9.816347432727273</v>
      </c>
      <c r="M95" t="n">
        <v>9.816347432727273</v>
      </c>
    </row>
    <row r="96">
      <c r="F96" t="n">
        <v>0.5792328388327692</v>
      </c>
      <c r="G96" t="n">
        <v>0.5792328388327692</v>
      </c>
      <c r="H96" t="n">
        <v>0.5792328388327692</v>
      </c>
      <c r="I96" t="n">
        <v>0.5792328388327692</v>
      </c>
      <c r="J96" t="n">
        <v>5.634005527272727</v>
      </c>
      <c r="K96" t="n">
        <v>5.634005527272727</v>
      </c>
      <c r="L96" t="n">
        <v>5.634005527272727</v>
      </c>
      <c r="M96" t="n">
        <v>5.634005527272727</v>
      </c>
    </row>
    <row r="97">
      <c r="F97" t="n">
        <v>0.5792328388327692</v>
      </c>
      <c r="G97" t="n">
        <v>0.8084328388327692</v>
      </c>
      <c r="H97" t="n">
        <v>0.8084328388327692</v>
      </c>
      <c r="I97" t="n">
        <v>0.8084328388327692</v>
      </c>
      <c r="J97" t="n">
        <v>5.634005527272727</v>
      </c>
      <c r="K97" t="n">
        <v>12.33780276363636</v>
      </c>
      <c r="L97" t="n">
        <v>12.33780276363636</v>
      </c>
      <c r="M97" t="n">
        <v>12.33780276363636</v>
      </c>
    </row>
    <row r="98">
      <c r="F98" t="n">
        <v>0.5792328388327692</v>
      </c>
      <c r="G98" t="n">
        <v>0.7083995054994359</v>
      </c>
      <c r="H98" t="n">
        <v>0.7083995054994359</v>
      </c>
      <c r="I98" t="n">
        <v>0.7083995054994359</v>
      </c>
      <c r="J98" t="n">
        <v>5.634005527272727</v>
      </c>
      <c r="K98" t="n">
        <v>12.33780276363636</v>
      </c>
      <c r="L98" t="n">
        <v>12.33780276363636</v>
      </c>
      <c r="M98" t="n">
        <v>12.33780276363636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D6:G36"/>
  <sheetViews>
    <sheetView workbookViewId="0">
      <selection activeCell="A1" sqref="A1"/>
    </sheetView>
  </sheetViews>
  <sheetFormatPr baseColWidth="8" defaultRowHeight="15"/>
  <sheetData>
    <row r="6">
      <c r="D6" t="n">
        <v>0</v>
      </c>
      <c r="E6" t="n">
        <v>0</v>
      </c>
      <c r="F6" t="n">
        <v>0</v>
      </c>
      <c r="G6" t="n">
        <v>0</v>
      </c>
    </row>
    <row r="7">
      <c r="D7" t="n">
        <v>776047</v>
      </c>
      <c r="E7" t="n">
        <v>60000</v>
      </c>
      <c r="F7" t="n">
        <v>77605</v>
      </c>
      <c r="G7" t="n">
        <v>10</v>
      </c>
    </row>
    <row r="8">
      <c r="D8" t="n">
        <v>691092</v>
      </c>
      <c r="E8" t="n">
        <v>56000</v>
      </c>
      <c r="F8" t="n">
        <v>69109</v>
      </c>
      <c r="G8" t="n">
        <v>9</v>
      </c>
    </row>
    <row r="9">
      <c r="D9" t="n">
        <v>798779</v>
      </c>
      <c r="E9" t="n">
        <v>48000</v>
      </c>
      <c r="F9" t="n">
        <v>79878</v>
      </c>
      <c r="G9" t="n">
        <v>11</v>
      </c>
    </row>
    <row r="10">
      <c r="D10" t="n">
        <v>0</v>
      </c>
      <c r="E10" t="n">
        <v>0</v>
      </c>
      <c r="F10" t="n">
        <v>0</v>
      </c>
      <c r="G10" t="n">
        <v>0</v>
      </c>
    </row>
    <row r="11">
      <c r="D11" t="n">
        <v>1070854</v>
      </c>
      <c r="E11" t="n">
        <v>48000</v>
      </c>
      <c r="F11" t="n">
        <v>160628</v>
      </c>
      <c r="G11" t="n">
        <v>14</v>
      </c>
    </row>
    <row r="12">
      <c r="D12" t="n">
        <v>1065670</v>
      </c>
      <c r="E12" t="n">
        <v>48000</v>
      </c>
      <c r="F12" t="n">
        <v>106567</v>
      </c>
      <c r="G12" t="n">
        <v>14</v>
      </c>
    </row>
    <row r="13">
      <c r="D13" t="n">
        <v>276233</v>
      </c>
      <c r="E13" t="n">
        <v>48000</v>
      </c>
      <c r="F13" t="n">
        <v>27623</v>
      </c>
      <c r="G13" t="n">
        <v>2</v>
      </c>
    </row>
    <row r="14">
      <c r="D14" t="n">
        <v>0</v>
      </c>
      <c r="E14" t="n">
        <v>0</v>
      </c>
      <c r="F14" t="n">
        <v>0</v>
      </c>
      <c r="G14" t="n">
        <v>0</v>
      </c>
    </row>
    <row r="15">
      <c r="D15" t="n">
        <v>1002697</v>
      </c>
      <c r="E15" t="n">
        <v>48000</v>
      </c>
      <c r="F15" t="n">
        <v>150405</v>
      </c>
      <c r="G15" t="n">
        <v>12</v>
      </c>
    </row>
    <row r="16">
      <c r="D16" t="n">
        <v>880983</v>
      </c>
      <c r="E16" t="n">
        <v>48000</v>
      </c>
      <c r="F16" t="n">
        <v>132147</v>
      </c>
      <c r="G16" t="n">
        <v>12</v>
      </c>
    </row>
    <row r="17">
      <c r="D17" t="n">
        <v>257611</v>
      </c>
      <c r="E17" t="n">
        <v>48000</v>
      </c>
      <c r="F17" t="n">
        <v>38642</v>
      </c>
      <c r="G17" t="n">
        <v>2</v>
      </c>
    </row>
    <row r="18">
      <c r="D18" t="n">
        <v>0</v>
      </c>
      <c r="E18" t="n">
        <v>0</v>
      </c>
      <c r="F18" t="n">
        <v>0</v>
      </c>
      <c r="G18" t="n">
        <v>0</v>
      </c>
    </row>
    <row r="19">
      <c r="D19" t="n">
        <v>557695</v>
      </c>
      <c r="E19" t="n">
        <v>48000</v>
      </c>
      <c r="F19" t="n">
        <v>55770</v>
      </c>
      <c r="G19" t="n">
        <v>6</v>
      </c>
    </row>
    <row r="20">
      <c r="D20" t="n">
        <v>498094</v>
      </c>
      <c r="E20" t="n">
        <v>48000</v>
      </c>
      <c r="F20" t="n">
        <v>74714</v>
      </c>
      <c r="G20" t="n">
        <v>5</v>
      </c>
    </row>
    <row r="21">
      <c r="D21" t="n">
        <v>276233</v>
      </c>
      <c r="E21" t="n">
        <v>48000</v>
      </c>
      <c r="F21" t="n">
        <v>55247</v>
      </c>
      <c r="G21" t="n">
        <v>2</v>
      </c>
    </row>
    <row r="22">
      <c r="D22" t="n">
        <v>0</v>
      </c>
      <c r="E22" t="n">
        <v>0</v>
      </c>
      <c r="F22" t="n">
        <v>0</v>
      </c>
      <c r="G22" t="n">
        <v>0</v>
      </c>
    </row>
    <row r="23">
      <c r="D23" t="n">
        <v>394496</v>
      </c>
      <c r="E23" t="n">
        <v>48000</v>
      </c>
      <c r="F23" t="n">
        <v>39450</v>
      </c>
      <c r="G23" t="n">
        <v>4</v>
      </c>
    </row>
    <row r="24">
      <c r="D24" t="n">
        <v>400638</v>
      </c>
      <c r="E24" t="n">
        <v>48000</v>
      </c>
      <c r="F24" t="n">
        <v>60096</v>
      </c>
      <c r="G24" t="n">
        <v>4</v>
      </c>
    </row>
    <row r="25">
      <c r="D25" t="n">
        <v>276233</v>
      </c>
      <c r="E25" t="n">
        <v>48000</v>
      </c>
      <c r="F25" t="n">
        <v>55247</v>
      </c>
      <c r="G25" t="n">
        <v>2</v>
      </c>
    </row>
    <row r="26">
      <c r="D26" t="n">
        <v>0</v>
      </c>
      <c r="E26" t="n">
        <v>0</v>
      </c>
      <c r="F26" t="n">
        <v>0</v>
      </c>
      <c r="G26" t="n">
        <v>0</v>
      </c>
    </row>
    <row r="27">
      <c r="D27" t="n">
        <v>1762881</v>
      </c>
      <c r="E27" t="n">
        <v>48000</v>
      </c>
      <c r="F27" t="n">
        <v>132216</v>
      </c>
      <c r="G27" t="n">
        <v>8</v>
      </c>
    </row>
    <row r="28">
      <c r="D28" t="n">
        <v>1679017</v>
      </c>
      <c r="E28" t="n">
        <v>48000</v>
      </c>
      <c r="F28" t="n">
        <v>167902</v>
      </c>
      <c r="G28" t="n">
        <v>14</v>
      </c>
    </row>
    <row r="29">
      <c r="D29" t="n">
        <v>267190</v>
      </c>
      <c r="E29" t="n">
        <v>48000</v>
      </c>
      <c r="F29" t="n">
        <v>40079</v>
      </c>
      <c r="G29" t="n">
        <v>2</v>
      </c>
    </row>
    <row r="30">
      <c r="D30" t="n">
        <v>0</v>
      </c>
      <c r="E30" t="n">
        <v>0</v>
      </c>
      <c r="F30" t="n">
        <v>0</v>
      </c>
      <c r="G30" t="n">
        <v>0</v>
      </c>
    </row>
    <row r="31">
      <c r="D31" t="n">
        <v>276883</v>
      </c>
      <c r="E31" t="n">
        <v>48000</v>
      </c>
      <c r="F31" t="n">
        <v>69221</v>
      </c>
      <c r="G31" t="n">
        <v>3</v>
      </c>
    </row>
    <row r="32">
      <c r="D32" t="n">
        <v>232705</v>
      </c>
      <c r="E32" t="n">
        <v>48000</v>
      </c>
      <c r="F32" t="n">
        <v>58176</v>
      </c>
      <c r="G32" t="n">
        <v>2</v>
      </c>
    </row>
    <row r="33">
      <c r="D33" t="n">
        <v>121714</v>
      </c>
      <c r="E33" t="n">
        <v>48000</v>
      </c>
      <c r="F33" t="n">
        <v>30429</v>
      </c>
      <c r="G33" t="n">
        <v>5</v>
      </c>
    </row>
    <row r="34">
      <c r="D34" t="n">
        <v>0</v>
      </c>
      <c r="E34" t="n">
        <v>0</v>
      </c>
      <c r="F34" t="n">
        <v>0</v>
      </c>
      <c r="G34" t="n">
        <v>0</v>
      </c>
    </row>
    <row r="35">
      <c r="D35" t="n">
        <v>551647</v>
      </c>
      <c r="E35" t="n">
        <v>48000</v>
      </c>
      <c r="F35" t="n">
        <v>110329</v>
      </c>
      <c r="G35" t="n">
        <v>6</v>
      </c>
    </row>
    <row r="36">
      <c r="D36" t="n">
        <v>228693</v>
      </c>
      <c r="E36" t="n">
        <v>48000</v>
      </c>
      <c r="F36" t="n">
        <v>45739</v>
      </c>
      <c r="G36" t="n">
        <v>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F5:K96"/>
  <sheetViews>
    <sheetView workbookViewId="0">
      <selection activeCell="A1" sqref="A1"/>
    </sheetView>
  </sheetViews>
  <sheetFormatPr baseColWidth="8" defaultRowHeight="15"/>
  <sheetData>
    <row r="5">
      <c r="F5" t="n">
        <v>10000</v>
      </c>
      <c r="K5" t="n">
        <v>1</v>
      </c>
    </row>
    <row r="6">
      <c r="I6" t="n">
        <v>4</v>
      </c>
      <c r="J6" t="n">
        <v>2639.11</v>
      </c>
      <c r="K6" t="n">
        <v>2</v>
      </c>
    </row>
    <row r="7">
      <c r="F7" t="n">
        <v>15000</v>
      </c>
      <c r="K7" t="n">
        <v>10</v>
      </c>
    </row>
    <row r="8">
      <c r="G8" t="n">
        <v>0.1</v>
      </c>
      <c r="H8" t="inlineStr">
        <is>
          <t>construction</t>
        </is>
      </c>
      <c r="K8" t="n">
        <v>25</v>
      </c>
    </row>
    <row r="9">
      <c r="F9" t="n">
        <v>10000</v>
      </c>
      <c r="K9" t="n">
        <v>1</v>
      </c>
    </row>
    <row r="10">
      <c r="I10" t="n">
        <v>4</v>
      </c>
      <c r="J10" t="n">
        <v>2378.15424</v>
      </c>
      <c r="K10" t="n">
        <v>2</v>
      </c>
    </row>
    <row r="11">
      <c r="F11" t="n">
        <v>15000</v>
      </c>
      <c r="K11" t="n">
        <v>10</v>
      </c>
    </row>
    <row r="12">
      <c r="G12" t="n">
        <v>0.1</v>
      </c>
      <c r="H12" t="inlineStr">
        <is>
          <t>construction</t>
        </is>
      </c>
      <c r="K12" t="n">
        <v>25</v>
      </c>
    </row>
    <row r="13">
      <c r="F13" t="n">
        <v>10000</v>
      </c>
      <c r="K13" t="n">
        <v>1</v>
      </c>
    </row>
    <row r="14">
      <c r="I14" t="n">
        <v>4</v>
      </c>
      <c r="J14" t="n">
        <v>2639.11</v>
      </c>
      <c r="K14" t="n">
        <v>2</v>
      </c>
    </row>
    <row r="15">
      <c r="F15" t="n">
        <v>15000</v>
      </c>
      <c r="K15" t="n">
        <v>10</v>
      </c>
    </row>
    <row r="16">
      <c r="G16" t="n">
        <v>0.1</v>
      </c>
      <c r="H16" t="inlineStr">
        <is>
          <t>construction</t>
        </is>
      </c>
      <c r="K16" t="n">
        <v>25</v>
      </c>
    </row>
    <row r="17">
      <c r="F17" t="n">
        <v>10000</v>
      </c>
      <c r="K17" t="n">
        <v>1</v>
      </c>
    </row>
    <row r="18">
      <c r="I18" t="n">
        <v>4</v>
      </c>
      <c r="J18" t="n">
        <v>3610.57488</v>
      </c>
      <c r="K18" t="n">
        <v>2</v>
      </c>
    </row>
    <row r="19">
      <c r="F19" t="n">
        <v>15000</v>
      </c>
      <c r="K19" t="n">
        <v>10</v>
      </c>
    </row>
    <row r="20">
      <c r="G20" t="n">
        <v>0.1</v>
      </c>
      <c r="H20" t="inlineStr">
        <is>
          <t>construction</t>
        </is>
      </c>
      <c r="K20" t="n">
        <v>25</v>
      </c>
    </row>
    <row r="21">
      <c r="F21" t="n">
        <v>10000</v>
      </c>
      <c r="K21" t="n">
        <v>1</v>
      </c>
    </row>
    <row r="22">
      <c r="I22" t="n">
        <v>4</v>
      </c>
      <c r="J22" t="n">
        <v>3610.57488</v>
      </c>
      <c r="K22" t="n">
        <v>2</v>
      </c>
    </row>
    <row r="23">
      <c r="F23" t="n">
        <v>15000</v>
      </c>
      <c r="K23" t="n">
        <v>10</v>
      </c>
    </row>
    <row r="24">
      <c r="G24" t="n">
        <v>0.1</v>
      </c>
      <c r="H24" t="inlineStr">
        <is>
          <t>construction</t>
        </is>
      </c>
      <c r="K24" t="n">
        <v>25</v>
      </c>
    </row>
    <row r="25">
      <c r="F25" t="n">
        <v>10000</v>
      </c>
      <c r="K25" t="n">
        <v>1</v>
      </c>
    </row>
    <row r="26">
      <c r="I26" t="n">
        <v>4</v>
      </c>
      <c r="J26" t="n">
        <v>3610.57488</v>
      </c>
      <c r="K26" t="n">
        <v>2</v>
      </c>
    </row>
    <row r="27">
      <c r="F27" t="n">
        <v>15000</v>
      </c>
      <c r="K27" t="n">
        <v>10</v>
      </c>
    </row>
    <row r="28">
      <c r="G28" t="n">
        <v>0.1</v>
      </c>
      <c r="H28" t="inlineStr">
        <is>
          <t>construction</t>
        </is>
      </c>
      <c r="K28" t="n">
        <v>25</v>
      </c>
    </row>
    <row r="29">
      <c r="F29" t="n">
        <v>10000</v>
      </c>
      <c r="K29" t="n">
        <v>1</v>
      </c>
    </row>
    <row r="30">
      <c r="I30" t="n">
        <v>4</v>
      </c>
      <c r="J30" t="n">
        <v>6461.98608</v>
      </c>
      <c r="K30" t="n">
        <v>2</v>
      </c>
    </row>
    <row r="31">
      <c r="F31" t="n">
        <v>15000</v>
      </c>
      <c r="K31" t="n">
        <v>10</v>
      </c>
    </row>
    <row r="32">
      <c r="G32" t="n">
        <v>0.1</v>
      </c>
      <c r="H32" t="inlineStr">
        <is>
          <t>construction</t>
        </is>
      </c>
      <c r="K32" t="n">
        <v>25</v>
      </c>
    </row>
    <row r="33">
      <c r="F33" t="n">
        <v>10000</v>
      </c>
      <c r="K33" t="n">
        <v>1</v>
      </c>
    </row>
    <row r="34">
      <c r="I34" t="n">
        <v>4</v>
      </c>
      <c r="J34" t="n">
        <v>6461.98608</v>
      </c>
      <c r="K34" t="n">
        <v>2</v>
      </c>
    </row>
    <row r="35">
      <c r="F35" t="n">
        <v>15000</v>
      </c>
      <c r="K35" t="n">
        <v>10</v>
      </c>
    </row>
    <row r="36">
      <c r="G36" t="n">
        <v>0.1</v>
      </c>
      <c r="H36" t="inlineStr">
        <is>
          <t>construction</t>
        </is>
      </c>
      <c r="K36" t="n">
        <v>25</v>
      </c>
    </row>
    <row r="37">
      <c r="F37" t="n">
        <v>10000</v>
      </c>
      <c r="K37" t="n">
        <v>1</v>
      </c>
    </row>
    <row r="38">
      <c r="I38" t="n">
        <v>4</v>
      </c>
      <c r="J38" t="n">
        <v>6461.98608</v>
      </c>
      <c r="K38" t="n">
        <v>2</v>
      </c>
    </row>
    <row r="39">
      <c r="F39" t="n">
        <v>15000</v>
      </c>
      <c r="K39" t="n">
        <v>10</v>
      </c>
    </row>
    <row r="40">
      <c r="G40" t="n">
        <v>0.1</v>
      </c>
      <c r="H40" t="inlineStr">
        <is>
          <t>construction</t>
        </is>
      </c>
      <c r="K40" t="n">
        <v>25</v>
      </c>
    </row>
    <row r="41">
      <c r="F41" t="n">
        <v>10000</v>
      </c>
      <c r="K41" t="n">
        <v>1</v>
      </c>
    </row>
    <row r="42">
      <c r="I42" t="n">
        <v>4</v>
      </c>
      <c r="J42" t="n">
        <v>3889</v>
      </c>
      <c r="K42" t="n">
        <v>2</v>
      </c>
    </row>
    <row r="43">
      <c r="F43" t="n">
        <v>15000</v>
      </c>
      <c r="K43" t="n">
        <v>10</v>
      </c>
    </row>
    <row r="44">
      <c r="G44" t="n">
        <v>0.1</v>
      </c>
      <c r="H44" t="inlineStr">
        <is>
          <t>construction</t>
        </is>
      </c>
      <c r="K44" t="n">
        <v>25</v>
      </c>
    </row>
    <row r="45">
      <c r="F45" t="n">
        <v>10000</v>
      </c>
      <c r="K45" t="n">
        <v>1</v>
      </c>
    </row>
    <row r="46">
      <c r="I46" t="n">
        <v>4</v>
      </c>
      <c r="J46" t="n">
        <v>3739.6656</v>
      </c>
      <c r="K46" t="n">
        <v>2</v>
      </c>
    </row>
    <row r="47">
      <c r="F47" t="n">
        <v>15000</v>
      </c>
      <c r="K47" t="n">
        <v>10</v>
      </c>
    </row>
    <row r="48">
      <c r="G48" t="n">
        <v>0.1</v>
      </c>
      <c r="H48" t="inlineStr">
        <is>
          <t>construction</t>
        </is>
      </c>
      <c r="K48" t="n">
        <v>25</v>
      </c>
    </row>
    <row r="49">
      <c r="F49" t="n">
        <v>10000</v>
      </c>
      <c r="K49" t="n">
        <v>1</v>
      </c>
    </row>
    <row r="50">
      <c r="I50" t="n">
        <v>4</v>
      </c>
      <c r="J50" t="n">
        <v>3739.6656</v>
      </c>
      <c r="K50" t="n">
        <v>2</v>
      </c>
    </row>
    <row r="51">
      <c r="F51" t="n">
        <v>15000</v>
      </c>
      <c r="K51" t="n">
        <v>10</v>
      </c>
    </row>
    <row r="52">
      <c r="G52" t="n">
        <v>0.1</v>
      </c>
      <c r="H52" t="inlineStr">
        <is>
          <t>construction</t>
        </is>
      </c>
      <c r="K52" t="n">
        <v>25</v>
      </c>
    </row>
    <row r="53">
      <c r="F53" t="n">
        <v>10000</v>
      </c>
      <c r="K53" t="n">
        <v>1</v>
      </c>
    </row>
    <row r="54">
      <c r="I54" t="n">
        <v>4</v>
      </c>
      <c r="J54" t="n">
        <v>4504.98576</v>
      </c>
      <c r="K54" t="n">
        <v>2</v>
      </c>
    </row>
    <row r="55">
      <c r="F55" t="n">
        <v>15000</v>
      </c>
      <c r="K55" t="n">
        <v>10</v>
      </c>
    </row>
    <row r="56">
      <c r="G56" t="n">
        <v>0.1</v>
      </c>
      <c r="H56" t="inlineStr">
        <is>
          <t>construction</t>
        </is>
      </c>
      <c r="K56" t="n">
        <v>25</v>
      </c>
    </row>
    <row r="57">
      <c r="F57" t="n">
        <v>10000</v>
      </c>
      <c r="K57" t="n">
        <v>1</v>
      </c>
    </row>
    <row r="58">
      <c r="I58" t="n">
        <v>4</v>
      </c>
      <c r="J58" t="n">
        <v>4504.98576</v>
      </c>
      <c r="K58" t="n">
        <v>2</v>
      </c>
    </row>
    <row r="59">
      <c r="F59" t="n">
        <v>15000</v>
      </c>
      <c r="K59" t="n">
        <v>10</v>
      </c>
    </row>
    <row r="60">
      <c r="G60" t="n">
        <v>0.1</v>
      </c>
      <c r="H60" t="inlineStr">
        <is>
          <t>construction</t>
        </is>
      </c>
      <c r="K60" t="n">
        <v>25</v>
      </c>
    </row>
    <row r="61">
      <c r="F61" t="n">
        <v>10000</v>
      </c>
      <c r="K61" t="n">
        <v>1</v>
      </c>
    </row>
    <row r="62">
      <c r="I62" t="n">
        <v>4</v>
      </c>
      <c r="J62" t="n">
        <v>4504.98576</v>
      </c>
      <c r="K62" t="n">
        <v>2</v>
      </c>
    </row>
    <row r="63">
      <c r="F63" t="n">
        <v>15000</v>
      </c>
      <c r="K63" t="n">
        <v>10</v>
      </c>
    </row>
    <row r="64">
      <c r="G64" t="n">
        <v>0.1</v>
      </c>
      <c r="H64" t="inlineStr">
        <is>
          <t>construction</t>
        </is>
      </c>
      <c r="K64" t="n">
        <v>25</v>
      </c>
    </row>
    <row r="65">
      <c r="F65" t="n">
        <v>10000</v>
      </c>
      <c r="K65" t="n">
        <v>1</v>
      </c>
    </row>
    <row r="66">
      <c r="I66" t="n">
        <v>4</v>
      </c>
      <c r="J66" t="n">
        <v>2494.04496</v>
      </c>
      <c r="K66" t="n">
        <v>2</v>
      </c>
    </row>
    <row r="67">
      <c r="F67" t="n">
        <v>15000</v>
      </c>
      <c r="K67" t="n">
        <v>10</v>
      </c>
    </row>
    <row r="68">
      <c r="G68" t="n">
        <v>0.1</v>
      </c>
      <c r="H68" t="inlineStr">
        <is>
          <t>construction</t>
        </is>
      </c>
      <c r="K68" t="n">
        <v>25</v>
      </c>
    </row>
    <row r="69">
      <c r="F69" t="n">
        <v>10000</v>
      </c>
      <c r="K69" t="n">
        <v>1</v>
      </c>
    </row>
    <row r="70">
      <c r="I70" t="n">
        <v>4</v>
      </c>
      <c r="J70" t="n">
        <v>2494.04496</v>
      </c>
      <c r="K70" t="n">
        <v>2</v>
      </c>
    </row>
    <row r="71">
      <c r="F71" t="n">
        <v>15000</v>
      </c>
      <c r="K71" t="n">
        <v>10</v>
      </c>
    </row>
    <row r="72">
      <c r="G72" t="n">
        <v>0.1</v>
      </c>
      <c r="H72" t="inlineStr">
        <is>
          <t>construction</t>
        </is>
      </c>
      <c r="K72" t="n">
        <v>25</v>
      </c>
    </row>
    <row r="73">
      <c r="F73" t="n">
        <v>10000</v>
      </c>
      <c r="K73" t="n">
        <v>1</v>
      </c>
    </row>
    <row r="74">
      <c r="I74" t="n">
        <v>4</v>
      </c>
      <c r="J74" t="n">
        <v>2494.04496</v>
      </c>
      <c r="K74" t="n">
        <v>2</v>
      </c>
    </row>
    <row r="75">
      <c r="F75" t="n">
        <v>15000</v>
      </c>
      <c r="K75" t="n">
        <v>10</v>
      </c>
    </row>
    <row r="76">
      <c r="G76" t="n">
        <v>0.1</v>
      </c>
      <c r="H76" t="inlineStr">
        <is>
          <t>construction</t>
        </is>
      </c>
      <c r="K76" t="n">
        <v>25</v>
      </c>
    </row>
    <row r="77">
      <c r="F77" t="n">
        <v>10000</v>
      </c>
      <c r="K77" t="n">
        <v>1</v>
      </c>
    </row>
    <row r="78">
      <c r="I78" t="n">
        <v>4</v>
      </c>
      <c r="J78" t="n">
        <v>4381.59744</v>
      </c>
      <c r="K78" t="n">
        <v>2</v>
      </c>
    </row>
    <row r="79">
      <c r="F79" t="n">
        <v>15000</v>
      </c>
      <c r="K79" t="n">
        <v>10</v>
      </c>
    </row>
    <row r="80">
      <c r="G80" t="n">
        <v>0.1</v>
      </c>
      <c r="H80" t="inlineStr">
        <is>
          <t>construction</t>
        </is>
      </c>
      <c r="K80" t="n">
        <v>25</v>
      </c>
    </row>
    <row r="81">
      <c r="F81" t="n">
        <v>10000</v>
      </c>
      <c r="K81" t="n">
        <v>1</v>
      </c>
    </row>
    <row r="82">
      <c r="I82" t="n">
        <v>4</v>
      </c>
      <c r="J82" t="n">
        <v>4381.59744</v>
      </c>
      <c r="K82" t="n">
        <v>2</v>
      </c>
    </row>
    <row r="83">
      <c r="F83" t="n">
        <v>15000</v>
      </c>
      <c r="K83" t="n">
        <v>10</v>
      </c>
    </row>
    <row r="84">
      <c r="G84" t="n">
        <v>0.1</v>
      </c>
      <c r="H84" t="inlineStr">
        <is>
          <t>construction</t>
        </is>
      </c>
      <c r="K84" t="n">
        <v>25</v>
      </c>
    </row>
    <row r="85">
      <c r="F85" t="n">
        <v>10000</v>
      </c>
      <c r="K85" t="n">
        <v>1</v>
      </c>
    </row>
    <row r="86">
      <c r="I86" t="n">
        <v>4</v>
      </c>
      <c r="J86" t="n">
        <v>4381.59744</v>
      </c>
      <c r="K86" t="n">
        <v>2</v>
      </c>
    </row>
    <row r="87">
      <c r="F87" t="n">
        <v>15000</v>
      </c>
      <c r="K87" t="n">
        <v>10</v>
      </c>
    </row>
    <row r="88">
      <c r="G88" t="n">
        <v>0.1</v>
      </c>
      <c r="H88" t="inlineStr">
        <is>
          <t>construction</t>
        </is>
      </c>
      <c r="K88" t="n">
        <v>25</v>
      </c>
    </row>
    <row r="89">
      <c r="F89" t="n">
        <v>10000</v>
      </c>
      <c r="K89" t="n">
        <v>1</v>
      </c>
    </row>
    <row r="90">
      <c r="I90" t="n">
        <v>4</v>
      </c>
      <c r="J90" t="n">
        <v>5026.9824</v>
      </c>
      <c r="K90" t="n">
        <v>2</v>
      </c>
    </row>
    <row r="91">
      <c r="F91" t="n">
        <v>15000</v>
      </c>
      <c r="K91" t="n">
        <v>10</v>
      </c>
    </row>
    <row r="92">
      <c r="G92" t="n">
        <v>0.1</v>
      </c>
      <c r="H92" t="inlineStr">
        <is>
          <t>construction</t>
        </is>
      </c>
      <c r="K92" t="n">
        <v>25</v>
      </c>
    </row>
    <row r="93">
      <c r="F93" t="n">
        <v>10000</v>
      </c>
      <c r="K93" t="n">
        <v>1</v>
      </c>
    </row>
    <row r="94">
      <c r="I94" t="n">
        <v>4</v>
      </c>
      <c r="J94" t="n">
        <v>5026.9824</v>
      </c>
      <c r="K94" t="n">
        <v>2</v>
      </c>
    </row>
    <row r="95">
      <c r="F95" t="n">
        <v>15000</v>
      </c>
      <c r="K95" t="n">
        <v>10</v>
      </c>
    </row>
    <row r="96">
      <c r="G96" t="n">
        <v>0.1</v>
      </c>
      <c r="H96" t="inlineStr">
        <is>
          <t>construction</t>
        </is>
      </c>
      <c r="K96" t="n">
        <v>25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C5:C12"/>
  <sheetViews>
    <sheetView workbookViewId="0">
      <selection activeCell="A1" sqref="A1"/>
    </sheetView>
  </sheetViews>
  <sheetFormatPr baseColWidth="8" defaultRowHeight="15"/>
  <sheetData>
    <row r="5">
      <c r="C5" t="inlineStr">
        <is>
          <t>Alternative3</t>
        </is>
      </c>
    </row>
    <row r="6">
      <c r="C6" t="inlineStr">
        <is>
          <t>Alternative1</t>
        </is>
      </c>
    </row>
    <row r="7">
      <c r="C7" t="inlineStr">
        <is>
          <t>Alternative2</t>
        </is>
      </c>
    </row>
    <row r="8">
      <c r="C8" t="inlineStr">
        <is>
          <t>Alternative1</t>
        </is>
      </c>
    </row>
    <row r="9">
      <c r="C9" t="inlineStr">
        <is>
          <t>Alternative1</t>
        </is>
      </c>
    </row>
    <row r="10">
      <c r="C10" t="inlineStr">
        <is>
          <t>FWOP</t>
        </is>
      </c>
    </row>
    <row r="11">
      <c r="C11" t="inlineStr">
        <is>
          <t>Alternative1</t>
        </is>
      </c>
    </row>
    <row r="12">
      <c r="C12" t="inlineStr">
        <is>
          <t>Alternative2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T12:AF267"/>
  <sheetViews>
    <sheetView workbookViewId="0">
      <selection activeCell="A1" sqref="A1"/>
    </sheetView>
  </sheetViews>
  <sheetFormatPr baseColWidth="8" defaultRowHeight="15"/>
  <sheetData>
    <row r="12">
      <c r="T12" t="n">
        <v>1</v>
      </c>
      <c r="X12" t="n">
        <v>1</v>
      </c>
      <c r="AF12" t="n">
        <v>1</v>
      </c>
    </row>
    <row r="13">
      <c r="T13" t="n">
        <v>0</v>
      </c>
      <c r="X13" t="n">
        <v>0</v>
      </c>
      <c r="AF13" t="n">
        <v>0</v>
      </c>
    </row>
    <row r="14">
      <c r="T14" t="n">
        <v>1</v>
      </c>
      <c r="X14" t="n">
        <v>0</v>
      </c>
      <c r="AF14" t="n">
        <v>0</v>
      </c>
    </row>
    <row r="15">
      <c r="T15" t="n">
        <v>0</v>
      </c>
      <c r="X15" t="n">
        <v>0</v>
      </c>
      <c r="AF15" t="n">
        <v>0</v>
      </c>
    </row>
    <row r="16">
      <c r="T16" t="n">
        <v>0</v>
      </c>
      <c r="X16" t="n">
        <v>0</v>
      </c>
      <c r="AF16" t="n">
        <v>0</v>
      </c>
    </row>
    <row r="17">
      <c r="T17" t="n">
        <v>0</v>
      </c>
      <c r="X17" t="n">
        <v>0</v>
      </c>
      <c r="AF17" t="n">
        <v>0</v>
      </c>
    </row>
    <row r="18">
      <c r="T18" t="n">
        <v>0</v>
      </c>
      <c r="X18" t="n">
        <v>0</v>
      </c>
      <c r="AF18" t="n">
        <v>0</v>
      </c>
    </row>
    <row r="19">
      <c r="T19" t="n">
        <v>0</v>
      </c>
      <c r="X19" t="n">
        <v>0</v>
      </c>
      <c r="AF19" t="n">
        <v>0</v>
      </c>
    </row>
    <row r="20">
      <c r="T20" t="n">
        <v>1</v>
      </c>
      <c r="X20" t="n">
        <v>0</v>
      </c>
      <c r="AF20" t="n">
        <v>0</v>
      </c>
    </row>
    <row r="21">
      <c r="T21" t="n">
        <v>0</v>
      </c>
      <c r="X21" t="n">
        <v>0</v>
      </c>
      <c r="AF21" t="n">
        <v>0</v>
      </c>
    </row>
    <row r="22">
      <c r="T22" t="n">
        <v>0</v>
      </c>
      <c r="X22" t="n">
        <v>0</v>
      </c>
      <c r="AF22" t="n">
        <v>0</v>
      </c>
    </row>
    <row r="23">
      <c r="T23" t="n">
        <v>0</v>
      </c>
      <c r="X23" t="n">
        <v>0</v>
      </c>
      <c r="AF23" t="n">
        <v>0</v>
      </c>
    </row>
    <row r="24">
      <c r="T24" t="n">
        <v>0</v>
      </c>
      <c r="X24" t="n">
        <v>0</v>
      </c>
      <c r="AF24" t="n">
        <v>0</v>
      </c>
    </row>
    <row r="25">
      <c r="T25" t="n">
        <v>0</v>
      </c>
      <c r="X25" t="n">
        <v>0</v>
      </c>
      <c r="AF25" t="n">
        <v>0</v>
      </c>
    </row>
    <row r="26">
      <c r="T26" t="n">
        <v>0</v>
      </c>
      <c r="X26" t="n">
        <v>0</v>
      </c>
      <c r="AF26" t="n">
        <v>0</v>
      </c>
    </row>
    <row r="27">
      <c r="T27" t="n">
        <v>0</v>
      </c>
      <c r="X27" t="n">
        <v>0</v>
      </c>
      <c r="AF27" t="n">
        <v>0</v>
      </c>
    </row>
    <row r="28">
      <c r="T28" t="n">
        <v>1</v>
      </c>
      <c r="X28" t="n">
        <v>1</v>
      </c>
      <c r="AF28" t="n">
        <v>0</v>
      </c>
    </row>
    <row r="29">
      <c r="T29" t="n">
        <v>0</v>
      </c>
      <c r="X29" t="n">
        <v>0</v>
      </c>
      <c r="AF29" t="n">
        <v>0</v>
      </c>
    </row>
    <row r="30">
      <c r="T30" t="n">
        <v>1</v>
      </c>
      <c r="X30" t="n">
        <v>0</v>
      </c>
      <c r="AF30" t="n">
        <v>0</v>
      </c>
    </row>
    <row r="31">
      <c r="T31" t="n">
        <v>0</v>
      </c>
      <c r="X31" t="n">
        <v>0</v>
      </c>
      <c r="AF31" t="n">
        <v>0</v>
      </c>
    </row>
    <row r="32">
      <c r="T32" t="n">
        <v>0</v>
      </c>
      <c r="X32" t="n">
        <v>0</v>
      </c>
      <c r="AF32" t="n">
        <v>0</v>
      </c>
    </row>
    <row r="33">
      <c r="T33" t="n">
        <v>0</v>
      </c>
      <c r="X33" t="n">
        <v>0</v>
      </c>
      <c r="AF33" t="n">
        <v>0</v>
      </c>
    </row>
    <row r="34">
      <c r="T34" t="n">
        <v>0</v>
      </c>
      <c r="X34" t="n">
        <v>0</v>
      </c>
      <c r="AF34" t="n">
        <v>0</v>
      </c>
    </row>
    <row r="35">
      <c r="T35" t="n">
        <v>0</v>
      </c>
      <c r="X35" t="n">
        <v>0</v>
      </c>
      <c r="AF35" t="n">
        <v>0</v>
      </c>
    </row>
    <row r="36">
      <c r="T36" t="n">
        <v>1</v>
      </c>
      <c r="X36" t="n">
        <v>1</v>
      </c>
      <c r="AF36" t="n">
        <v>0</v>
      </c>
    </row>
    <row r="37">
      <c r="T37" t="n">
        <v>1</v>
      </c>
      <c r="X37" t="n">
        <v>1</v>
      </c>
      <c r="AF37" t="n">
        <v>1</v>
      </c>
    </row>
    <row r="38">
      <c r="T38" t="n">
        <v>1</v>
      </c>
      <c r="X38" t="n">
        <v>0</v>
      </c>
      <c r="AF38" t="n">
        <v>0</v>
      </c>
    </row>
    <row r="39">
      <c r="T39" t="n">
        <v>1</v>
      </c>
      <c r="X39" t="n">
        <v>0</v>
      </c>
      <c r="AF39" t="n">
        <v>1</v>
      </c>
    </row>
    <row r="40">
      <c r="T40" t="n">
        <v>0</v>
      </c>
      <c r="X40" t="n">
        <v>0</v>
      </c>
      <c r="AF40" t="n">
        <v>0</v>
      </c>
    </row>
    <row r="41">
      <c r="T41" t="n">
        <v>0</v>
      </c>
      <c r="X41" t="n">
        <v>0</v>
      </c>
      <c r="AF41" t="n">
        <v>0</v>
      </c>
    </row>
    <row r="42">
      <c r="T42" t="n">
        <v>0</v>
      </c>
      <c r="X42" t="n">
        <v>0</v>
      </c>
      <c r="AF42" t="n">
        <v>0</v>
      </c>
    </row>
    <row r="43">
      <c r="T43" t="n">
        <v>0</v>
      </c>
      <c r="X43" t="n">
        <v>0</v>
      </c>
      <c r="AF43" t="n">
        <v>0</v>
      </c>
    </row>
    <row r="44">
      <c r="T44" t="n">
        <v>0</v>
      </c>
      <c r="X44" t="n">
        <v>0</v>
      </c>
      <c r="AF44" t="n">
        <v>0</v>
      </c>
    </row>
    <row r="45">
      <c r="T45" t="n">
        <v>0</v>
      </c>
      <c r="X45" t="n">
        <v>0</v>
      </c>
      <c r="AF45" t="n">
        <v>0</v>
      </c>
    </row>
    <row r="46">
      <c r="T46" t="n">
        <v>0</v>
      </c>
      <c r="X46" t="n">
        <v>0</v>
      </c>
      <c r="AF46" t="n">
        <v>0</v>
      </c>
    </row>
    <row r="47">
      <c r="T47" t="n">
        <v>0</v>
      </c>
      <c r="X47" t="n">
        <v>0</v>
      </c>
      <c r="AF47" t="n">
        <v>0</v>
      </c>
    </row>
    <row r="48">
      <c r="T48" t="n">
        <v>0</v>
      </c>
      <c r="X48" t="n">
        <v>0</v>
      </c>
      <c r="AF48" t="n">
        <v>0</v>
      </c>
    </row>
    <row r="49">
      <c r="T49" t="n">
        <v>0</v>
      </c>
      <c r="X49" t="n">
        <v>0</v>
      </c>
      <c r="AF49" t="n">
        <v>0</v>
      </c>
    </row>
    <row r="50">
      <c r="T50" t="n">
        <v>0</v>
      </c>
      <c r="X50" t="n">
        <v>0</v>
      </c>
      <c r="AF50" t="n">
        <v>0</v>
      </c>
    </row>
    <row r="51">
      <c r="T51" t="n">
        <v>0</v>
      </c>
      <c r="X51" t="n">
        <v>0</v>
      </c>
      <c r="AF51" t="n">
        <v>0</v>
      </c>
    </row>
    <row r="52">
      <c r="T52" t="n">
        <v>0</v>
      </c>
      <c r="X52" t="n">
        <v>0</v>
      </c>
      <c r="AF52" t="n">
        <v>0</v>
      </c>
    </row>
    <row r="53">
      <c r="T53" t="n">
        <v>0</v>
      </c>
      <c r="X53" t="n">
        <v>0</v>
      </c>
      <c r="AF53" t="n">
        <v>0</v>
      </c>
    </row>
    <row r="54">
      <c r="T54" t="n">
        <v>0</v>
      </c>
      <c r="X54" t="n">
        <v>0</v>
      </c>
      <c r="AF54" t="n">
        <v>0</v>
      </c>
    </row>
    <row r="55">
      <c r="T55" t="n">
        <v>0</v>
      </c>
      <c r="X55" t="n">
        <v>0</v>
      </c>
      <c r="AF55" t="n">
        <v>0</v>
      </c>
    </row>
    <row r="56">
      <c r="T56" t="n">
        <v>0</v>
      </c>
      <c r="X56" t="n">
        <v>0</v>
      </c>
      <c r="AF56" t="n">
        <v>0</v>
      </c>
    </row>
    <row r="57">
      <c r="T57" t="n">
        <v>0</v>
      </c>
      <c r="X57" t="n">
        <v>0</v>
      </c>
      <c r="AF57" t="n">
        <v>0</v>
      </c>
    </row>
    <row r="58">
      <c r="T58" t="n">
        <v>0</v>
      </c>
      <c r="X58" t="n">
        <v>0</v>
      </c>
      <c r="AF58" t="n">
        <v>0</v>
      </c>
    </row>
    <row r="59">
      <c r="T59" t="n">
        <v>0</v>
      </c>
      <c r="X59" t="n">
        <v>0</v>
      </c>
      <c r="AF59" t="n">
        <v>0</v>
      </c>
    </row>
    <row r="60">
      <c r="T60" t="n">
        <v>0</v>
      </c>
      <c r="X60" t="n">
        <v>0</v>
      </c>
      <c r="AF60" t="n">
        <v>0</v>
      </c>
    </row>
    <row r="61">
      <c r="T61" t="n">
        <v>0</v>
      </c>
      <c r="X61" t="n">
        <v>0</v>
      </c>
      <c r="AF61" t="n">
        <v>0</v>
      </c>
    </row>
    <row r="62">
      <c r="T62" t="n">
        <v>0</v>
      </c>
      <c r="X62" t="n">
        <v>0</v>
      </c>
      <c r="AF62" t="n">
        <v>0</v>
      </c>
    </row>
    <row r="63">
      <c r="T63" t="n">
        <v>0</v>
      </c>
      <c r="X63" t="n">
        <v>0</v>
      </c>
      <c r="AF63" t="n">
        <v>0</v>
      </c>
    </row>
    <row r="64">
      <c r="T64" t="n">
        <v>0</v>
      </c>
      <c r="X64" t="n">
        <v>0</v>
      </c>
      <c r="AF64" t="n">
        <v>0</v>
      </c>
    </row>
    <row r="65">
      <c r="T65" t="n">
        <v>0</v>
      </c>
      <c r="X65" t="n">
        <v>0</v>
      </c>
      <c r="AF65" t="n">
        <v>0</v>
      </c>
    </row>
    <row r="66">
      <c r="T66" t="n">
        <v>0</v>
      </c>
      <c r="X66" t="n">
        <v>0</v>
      </c>
      <c r="AF66" t="n">
        <v>0</v>
      </c>
    </row>
    <row r="67">
      <c r="T67" t="n">
        <v>0</v>
      </c>
      <c r="X67" t="n">
        <v>0</v>
      </c>
      <c r="AF67" t="n">
        <v>0</v>
      </c>
    </row>
    <row r="68">
      <c r="T68" t="n">
        <v>0</v>
      </c>
      <c r="X68" t="n">
        <v>0</v>
      </c>
      <c r="AF68" t="n">
        <v>0</v>
      </c>
    </row>
    <row r="69">
      <c r="T69" t="n">
        <v>1</v>
      </c>
      <c r="X69" t="n">
        <v>1</v>
      </c>
      <c r="AF69" t="n">
        <v>1</v>
      </c>
    </row>
    <row r="70">
      <c r="T70" t="n">
        <v>0</v>
      </c>
      <c r="X70" t="n">
        <v>0</v>
      </c>
      <c r="AF70" t="n">
        <v>0</v>
      </c>
    </row>
    <row r="71">
      <c r="T71" t="n">
        <v>1</v>
      </c>
      <c r="X71" t="n">
        <v>0</v>
      </c>
      <c r="AF71" t="n">
        <v>0</v>
      </c>
    </row>
    <row r="72">
      <c r="T72" t="n">
        <v>0</v>
      </c>
      <c r="X72" t="n">
        <v>0</v>
      </c>
      <c r="AF72" t="n">
        <v>0</v>
      </c>
    </row>
    <row r="73">
      <c r="T73" t="n">
        <v>0</v>
      </c>
      <c r="X73" t="n">
        <v>0</v>
      </c>
      <c r="AF73" t="n">
        <v>0</v>
      </c>
    </row>
    <row r="74">
      <c r="T74" t="n">
        <v>0</v>
      </c>
      <c r="X74" t="n">
        <v>0</v>
      </c>
      <c r="AF74" t="n">
        <v>0</v>
      </c>
    </row>
    <row r="75">
      <c r="T75" t="n">
        <v>0</v>
      </c>
      <c r="X75" t="n">
        <v>0</v>
      </c>
      <c r="AF75" t="n">
        <v>0</v>
      </c>
    </row>
    <row r="76">
      <c r="T76" t="n">
        <v>0</v>
      </c>
      <c r="X76" t="n">
        <v>0</v>
      </c>
      <c r="AF76" t="n">
        <v>0</v>
      </c>
    </row>
    <row r="77">
      <c r="T77" t="n">
        <v>0</v>
      </c>
      <c r="X77" t="n">
        <v>0</v>
      </c>
      <c r="AF77" t="n">
        <v>0</v>
      </c>
    </row>
    <row r="78">
      <c r="T78" t="n">
        <v>0</v>
      </c>
      <c r="X78" t="n">
        <v>0</v>
      </c>
      <c r="AF78" t="n">
        <v>0</v>
      </c>
    </row>
    <row r="79">
      <c r="T79" t="n">
        <v>0</v>
      </c>
      <c r="X79" t="n">
        <v>0</v>
      </c>
      <c r="AF79" t="n">
        <v>0</v>
      </c>
    </row>
    <row r="80">
      <c r="T80" t="n">
        <v>0</v>
      </c>
      <c r="X80" t="n">
        <v>0</v>
      </c>
      <c r="AF80" t="n">
        <v>0</v>
      </c>
    </row>
    <row r="81">
      <c r="T81" t="n">
        <v>0</v>
      </c>
      <c r="X81" t="n">
        <v>0</v>
      </c>
      <c r="AF81" t="n">
        <v>0</v>
      </c>
    </row>
    <row r="82">
      <c r="T82" t="n">
        <v>0</v>
      </c>
      <c r="X82" t="n">
        <v>0</v>
      </c>
      <c r="AF82" t="n">
        <v>0</v>
      </c>
    </row>
    <row r="83">
      <c r="T83" t="n">
        <v>0</v>
      </c>
      <c r="X83" t="n">
        <v>0</v>
      </c>
      <c r="AF83" t="n">
        <v>0</v>
      </c>
    </row>
    <row r="84">
      <c r="T84" t="n">
        <v>0</v>
      </c>
      <c r="X84" t="n">
        <v>0</v>
      </c>
      <c r="AF84" t="n">
        <v>0</v>
      </c>
    </row>
    <row r="85">
      <c r="T85" t="n">
        <v>0</v>
      </c>
      <c r="X85" t="n">
        <v>0</v>
      </c>
      <c r="AF85" t="n">
        <v>0</v>
      </c>
    </row>
    <row r="86">
      <c r="T86" t="n">
        <v>0</v>
      </c>
      <c r="X86" t="n">
        <v>0</v>
      </c>
      <c r="AF86" t="n">
        <v>0</v>
      </c>
    </row>
    <row r="87">
      <c r="T87" t="n">
        <v>0</v>
      </c>
      <c r="X87" t="n">
        <v>0</v>
      </c>
      <c r="AF87" t="n">
        <v>0</v>
      </c>
    </row>
    <row r="88">
      <c r="T88" t="n">
        <v>0</v>
      </c>
      <c r="X88" t="n">
        <v>0</v>
      </c>
      <c r="AF88" t="n">
        <v>0</v>
      </c>
    </row>
    <row r="89">
      <c r="T89" t="n">
        <v>0</v>
      </c>
      <c r="X89" t="n">
        <v>0</v>
      </c>
      <c r="AF89" t="n">
        <v>0</v>
      </c>
    </row>
    <row r="90">
      <c r="T90" t="n">
        <v>0</v>
      </c>
      <c r="X90" t="n">
        <v>0</v>
      </c>
      <c r="AF90" t="n">
        <v>0</v>
      </c>
    </row>
    <row r="91">
      <c r="T91" t="n">
        <v>0</v>
      </c>
      <c r="X91" t="n">
        <v>0</v>
      </c>
      <c r="AF91" t="n">
        <v>0</v>
      </c>
    </row>
    <row r="92">
      <c r="T92" t="n">
        <v>0</v>
      </c>
      <c r="X92" t="n">
        <v>0</v>
      </c>
      <c r="AF92" t="n">
        <v>0</v>
      </c>
    </row>
    <row r="93">
      <c r="T93" t="n">
        <v>0</v>
      </c>
      <c r="X93" t="n">
        <v>0</v>
      </c>
      <c r="AF93" t="n">
        <v>0</v>
      </c>
    </row>
    <row r="94">
      <c r="T94" t="n">
        <v>0</v>
      </c>
      <c r="X94" t="n">
        <v>0</v>
      </c>
      <c r="AF94" t="n">
        <v>0</v>
      </c>
    </row>
    <row r="95">
      <c r="T95" t="n">
        <v>0</v>
      </c>
      <c r="X95" t="n">
        <v>0</v>
      </c>
      <c r="AF95" t="n">
        <v>0</v>
      </c>
    </row>
    <row r="96">
      <c r="T96" t="n">
        <v>0</v>
      </c>
      <c r="X96" t="n">
        <v>0</v>
      </c>
      <c r="AF96" t="n">
        <v>0</v>
      </c>
    </row>
    <row r="97">
      <c r="T97" t="n">
        <v>0</v>
      </c>
      <c r="X97" t="n">
        <v>0</v>
      </c>
      <c r="AF97" t="n">
        <v>0</v>
      </c>
    </row>
    <row r="98">
      <c r="T98" t="n">
        <v>0</v>
      </c>
      <c r="X98" t="n">
        <v>0</v>
      </c>
      <c r="AF98" t="n">
        <v>0</v>
      </c>
    </row>
    <row r="99">
      <c r="T99" t="n">
        <v>0</v>
      </c>
      <c r="X99" t="n">
        <v>0</v>
      </c>
      <c r="AF99" t="n">
        <v>0</v>
      </c>
    </row>
    <row r="100">
      <c r="T100" t="n">
        <v>0</v>
      </c>
      <c r="X100" t="n">
        <v>0</v>
      </c>
      <c r="AF100" t="n">
        <v>0</v>
      </c>
    </row>
    <row r="101">
      <c r="T101" t="n">
        <v>0</v>
      </c>
      <c r="X101" t="n">
        <v>0</v>
      </c>
      <c r="AF101" t="n">
        <v>0</v>
      </c>
    </row>
    <row r="102">
      <c r="T102" t="n">
        <v>0</v>
      </c>
      <c r="X102" t="n">
        <v>0</v>
      </c>
      <c r="AF102" t="n">
        <v>0</v>
      </c>
    </row>
    <row r="103">
      <c r="T103" t="n">
        <v>0</v>
      </c>
      <c r="X103" t="n">
        <v>0</v>
      </c>
      <c r="AF103" t="n">
        <v>0</v>
      </c>
    </row>
    <row r="104">
      <c r="T104" t="n">
        <v>0</v>
      </c>
      <c r="X104" t="n">
        <v>0</v>
      </c>
      <c r="AF104" t="n">
        <v>0</v>
      </c>
    </row>
    <row r="105">
      <c r="T105" t="n">
        <v>0</v>
      </c>
      <c r="X105" t="n">
        <v>0</v>
      </c>
      <c r="AF105" t="n">
        <v>0</v>
      </c>
    </row>
    <row r="106">
      <c r="T106" t="n">
        <v>0</v>
      </c>
      <c r="X106" t="n">
        <v>0</v>
      </c>
      <c r="AF106" t="n">
        <v>0</v>
      </c>
    </row>
    <row r="107">
      <c r="T107" t="n">
        <v>0</v>
      </c>
      <c r="X107" t="n">
        <v>0</v>
      </c>
      <c r="AF107" t="n">
        <v>0</v>
      </c>
    </row>
    <row r="108">
      <c r="T108" t="n">
        <v>0</v>
      </c>
      <c r="X108" t="n">
        <v>0</v>
      </c>
      <c r="AF108" t="n">
        <v>0</v>
      </c>
    </row>
    <row r="109">
      <c r="T109" t="n">
        <v>0</v>
      </c>
      <c r="X109" t="n">
        <v>0</v>
      </c>
      <c r="AF109" t="n">
        <v>0</v>
      </c>
    </row>
    <row r="110">
      <c r="T110" t="n">
        <v>0</v>
      </c>
      <c r="X110" t="n">
        <v>0</v>
      </c>
      <c r="AF110" t="n">
        <v>0</v>
      </c>
    </row>
    <row r="111">
      <c r="T111" t="n">
        <v>0</v>
      </c>
      <c r="X111" t="n">
        <v>0</v>
      </c>
      <c r="AF111" t="n">
        <v>0</v>
      </c>
    </row>
    <row r="112">
      <c r="T112" t="n">
        <v>0</v>
      </c>
      <c r="X112" t="n">
        <v>0</v>
      </c>
      <c r="AF112" t="n">
        <v>0</v>
      </c>
    </row>
    <row r="113">
      <c r="T113" t="n">
        <v>0</v>
      </c>
      <c r="X113" t="n">
        <v>0</v>
      </c>
      <c r="AF113" t="n">
        <v>0</v>
      </c>
    </row>
    <row r="114">
      <c r="T114" t="n">
        <v>0</v>
      </c>
      <c r="X114" t="n">
        <v>0</v>
      </c>
      <c r="AF114" t="n">
        <v>0</v>
      </c>
    </row>
    <row r="115">
      <c r="T115" t="n">
        <v>0</v>
      </c>
      <c r="X115" t="n">
        <v>0</v>
      </c>
      <c r="AF115" t="n">
        <v>0</v>
      </c>
    </row>
    <row r="116">
      <c r="T116" t="n">
        <v>0</v>
      </c>
      <c r="X116" t="n">
        <v>0</v>
      </c>
      <c r="AF116" t="n">
        <v>0</v>
      </c>
    </row>
    <row r="117">
      <c r="T117" t="n">
        <v>0</v>
      </c>
      <c r="X117" t="n">
        <v>0</v>
      </c>
      <c r="AF117" t="n">
        <v>0</v>
      </c>
    </row>
    <row r="118">
      <c r="T118" t="n">
        <v>0</v>
      </c>
      <c r="X118" t="n">
        <v>0</v>
      </c>
      <c r="AF118" t="n">
        <v>0</v>
      </c>
    </row>
    <row r="119">
      <c r="T119" t="n">
        <v>0</v>
      </c>
      <c r="X119" t="n">
        <v>0</v>
      </c>
      <c r="AF119" t="n">
        <v>0</v>
      </c>
    </row>
    <row r="120">
      <c r="T120" t="n">
        <v>0</v>
      </c>
      <c r="X120" t="n">
        <v>0</v>
      </c>
      <c r="AF120" t="n">
        <v>0</v>
      </c>
    </row>
    <row r="121">
      <c r="T121" t="n">
        <v>0</v>
      </c>
      <c r="X121" t="n">
        <v>0</v>
      </c>
      <c r="AF121" t="n">
        <v>0</v>
      </c>
    </row>
    <row r="122">
      <c r="T122" t="n">
        <v>0</v>
      </c>
      <c r="X122" t="n">
        <v>0</v>
      </c>
      <c r="AF122" t="n">
        <v>0</v>
      </c>
    </row>
    <row r="123">
      <c r="T123" t="n">
        <v>0</v>
      </c>
      <c r="X123" t="n">
        <v>0</v>
      </c>
      <c r="AF123" t="n">
        <v>0</v>
      </c>
    </row>
    <row r="124">
      <c r="T124" t="n">
        <v>0</v>
      </c>
      <c r="X124" t="n">
        <v>0</v>
      </c>
      <c r="AF124" t="n">
        <v>0</v>
      </c>
    </row>
    <row r="125">
      <c r="T125" t="n">
        <v>0</v>
      </c>
      <c r="X125" t="n">
        <v>0</v>
      </c>
      <c r="AF125" t="n">
        <v>0</v>
      </c>
    </row>
    <row r="126">
      <c r="T126" t="n">
        <v>0</v>
      </c>
      <c r="X126" t="n">
        <v>0</v>
      </c>
      <c r="AF126" t="n">
        <v>0</v>
      </c>
    </row>
    <row r="127">
      <c r="T127" t="n">
        <v>0</v>
      </c>
      <c r="X127" t="n">
        <v>0</v>
      </c>
      <c r="AF127" t="n">
        <v>0</v>
      </c>
    </row>
    <row r="128">
      <c r="T128" t="n">
        <v>0</v>
      </c>
      <c r="X128" t="n">
        <v>0</v>
      </c>
      <c r="AF128" t="n">
        <v>0</v>
      </c>
    </row>
    <row r="129">
      <c r="T129" t="n">
        <v>0</v>
      </c>
      <c r="X129" t="n">
        <v>0</v>
      </c>
      <c r="AF129" t="n">
        <v>0</v>
      </c>
    </row>
    <row r="130">
      <c r="T130" t="n">
        <v>0</v>
      </c>
      <c r="X130" t="n">
        <v>0</v>
      </c>
      <c r="AF130" t="n">
        <v>0</v>
      </c>
    </row>
    <row r="131">
      <c r="T131" t="n">
        <v>0</v>
      </c>
      <c r="X131" t="n">
        <v>0</v>
      </c>
      <c r="AF131" t="n">
        <v>0</v>
      </c>
    </row>
    <row r="132">
      <c r="T132" t="n">
        <v>0</v>
      </c>
      <c r="X132" t="n">
        <v>0</v>
      </c>
      <c r="AF132" t="n">
        <v>0</v>
      </c>
    </row>
    <row r="133">
      <c r="T133" t="n">
        <v>1</v>
      </c>
      <c r="X133" t="n">
        <v>1</v>
      </c>
      <c r="AF133" t="n">
        <v>1</v>
      </c>
    </row>
    <row r="134">
      <c r="T134" t="n">
        <v>0</v>
      </c>
      <c r="X134" t="n">
        <v>0</v>
      </c>
      <c r="AF134" t="n">
        <v>0</v>
      </c>
    </row>
    <row r="135">
      <c r="T135" t="n">
        <v>1</v>
      </c>
      <c r="X135" t="n">
        <v>1</v>
      </c>
      <c r="AF135" t="n">
        <v>0</v>
      </c>
    </row>
    <row r="136">
      <c r="T136" t="n">
        <v>0</v>
      </c>
      <c r="X136" t="n">
        <v>0</v>
      </c>
      <c r="AF136" t="n">
        <v>0</v>
      </c>
    </row>
    <row r="137">
      <c r="T137" t="n">
        <v>0</v>
      </c>
      <c r="X137" t="n">
        <v>0</v>
      </c>
      <c r="AF137" t="n">
        <v>0</v>
      </c>
    </row>
    <row r="138">
      <c r="T138" t="n">
        <v>0</v>
      </c>
      <c r="X138" t="n">
        <v>0</v>
      </c>
      <c r="AF138" t="n">
        <v>0</v>
      </c>
    </row>
    <row r="139">
      <c r="T139" t="n">
        <v>0</v>
      </c>
      <c r="X139" t="n">
        <v>0</v>
      </c>
      <c r="AF139" t="n">
        <v>0</v>
      </c>
    </row>
    <row r="140">
      <c r="T140" t="n">
        <v>0</v>
      </c>
      <c r="X140" t="n">
        <v>0</v>
      </c>
      <c r="AF140" t="n">
        <v>0</v>
      </c>
    </row>
    <row r="141">
      <c r="T141" t="n">
        <v>0</v>
      </c>
      <c r="X141" t="n">
        <v>0</v>
      </c>
      <c r="AF141" t="n">
        <v>0</v>
      </c>
    </row>
    <row r="142">
      <c r="T142" t="n">
        <v>0</v>
      </c>
      <c r="X142" t="n">
        <v>0</v>
      </c>
      <c r="AF142" t="n">
        <v>0</v>
      </c>
    </row>
    <row r="143">
      <c r="T143" t="n">
        <v>0</v>
      </c>
      <c r="X143" t="n">
        <v>0</v>
      </c>
      <c r="AF143" t="n">
        <v>0</v>
      </c>
    </row>
    <row r="144">
      <c r="T144" t="n">
        <v>0</v>
      </c>
      <c r="X144" t="n">
        <v>0</v>
      </c>
      <c r="AF144" t="n">
        <v>0</v>
      </c>
    </row>
    <row r="145">
      <c r="T145" t="n">
        <v>0</v>
      </c>
      <c r="X145" t="n">
        <v>0</v>
      </c>
      <c r="AF145" t="n">
        <v>0</v>
      </c>
    </row>
    <row r="146">
      <c r="T146" t="n">
        <v>0</v>
      </c>
      <c r="X146" t="n">
        <v>0</v>
      </c>
      <c r="AF146" t="n">
        <v>0</v>
      </c>
    </row>
    <row r="147">
      <c r="T147" t="n">
        <v>0</v>
      </c>
      <c r="X147" t="n">
        <v>0</v>
      </c>
      <c r="AF147" t="n">
        <v>0</v>
      </c>
    </row>
    <row r="148">
      <c r="T148" t="n">
        <v>0</v>
      </c>
      <c r="X148" t="n">
        <v>0</v>
      </c>
      <c r="AF148" t="n">
        <v>0</v>
      </c>
    </row>
    <row r="149">
      <c r="T149" t="n">
        <v>0</v>
      </c>
      <c r="X149" t="n">
        <v>0</v>
      </c>
      <c r="AF149" t="n">
        <v>0</v>
      </c>
    </row>
    <row r="150">
      <c r="T150" t="n">
        <v>0</v>
      </c>
      <c r="X150" t="n">
        <v>0</v>
      </c>
      <c r="AF150" t="n">
        <v>0</v>
      </c>
    </row>
    <row r="151">
      <c r="T151" t="n">
        <v>0</v>
      </c>
      <c r="X151" t="n">
        <v>0</v>
      </c>
      <c r="AF151" t="n">
        <v>0</v>
      </c>
    </row>
    <row r="152">
      <c r="T152" t="n">
        <v>0</v>
      </c>
      <c r="X152" t="n">
        <v>0</v>
      </c>
      <c r="AF152" t="n">
        <v>0</v>
      </c>
    </row>
    <row r="153">
      <c r="T153" t="n">
        <v>0</v>
      </c>
      <c r="X153" t="n">
        <v>0</v>
      </c>
      <c r="AF153" t="n">
        <v>0</v>
      </c>
    </row>
    <row r="154">
      <c r="T154" t="n">
        <v>0</v>
      </c>
      <c r="X154" t="n">
        <v>0</v>
      </c>
      <c r="AF154" t="n">
        <v>0</v>
      </c>
    </row>
    <row r="155">
      <c r="T155" t="n">
        <v>0</v>
      </c>
      <c r="X155" t="n">
        <v>0</v>
      </c>
      <c r="AF155" t="n">
        <v>0</v>
      </c>
    </row>
    <row r="156">
      <c r="T156" t="n">
        <v>0</v>
      </c>
      <c r="X156" t="n">
        <v>0</v>
      </c>
      <c r="AF156" t="n">
        <v>0</v>
      </c>
    </row>
    <row r="157">
      <c r="T157" t="n">
        <v>0</v>
      </c>
      <c r="X157" t="n">
        <v>0</v>
      </c>
      <c r="AF157" t="n">
        <v>0</v>
      </c>
    </row>
    <row r="158">
      <c r="T158" t="n">
        <v>0</v>
      </c>
      <c r="X158" t="n">
        <v>0</v>
      </c>
      <c r="AF158" t="n">
        <v>0</v>
      </c>
    </row>
    <row r="159">
      <c r="T159" t="n">
        <v>0</v>
      </c>
      <c r="X159" t="n">
        <v>0</v>
      </c>
      <c r="AF159" t="n">
        <v>0</v>
      </c>
    </row>
    <row r="160">
      <c r="T160" t="n">
        <v>0</v>
      </c>
      <c r="X160" t="n">
        <v>0</v>
      </c>
      <c r="AF160" t="n">
        <v>0</v>
      </c>
    </row>
    <row r="161">
      <c r="T161" t="n">
        <v>0</v>
      </c>
      <c r="X161" t="n">
        <v>0</v>
      </c>
      <c r="AF161" t="n">
        <v>0</v>
      </c>
    </row>
    <row r="162">
      <c r="T162" t="n">
        <v>0</v>
      </c>
      <c r="X162" t="n">
        <v>0</v>
      </c>
      <c r="AF162" t="n">
        <v>0</v>
      </c>
    </row>
    <row r="163">
      <c r="T163" t="n">
        <v>0</v>
      </c>
      <c r="X163" t="n">
        <v>0</v>
      </c>
      <c r="AF163" t="n">
        <v>0</v>
      </c>
    </row>
    <row r="164">
      <c r="T164" t="n">
        <v>0</v>
      </c>
      <c r="X164" t="n">
        <v>0</v>
      </c>
      <c r="AF164" t="n">
        <v>0</v>
      </c>
    </row>
    <row r="165">
      <c r="T165" t="n">
        <v>1</v>
      </c>
      <c r="X165" t="n">
        <v>0</v>
      </c>
      <c r="AF165" t="n">
        <v>0</v>
      </c>
    </row>
    <row r="166">
      <c r="T166" t="n">
        <v>0</v>
      </c>
      <c r="X166" t="n">
        <v>0</v>
      </c>
      <c r="AF166" t="n">
        <v>0</v>
      </c>
    </row>
    <row r="167">
      <c r="T167" t="n">
        <v>0</v>
      </c>
      <c r="X167" t="n">
        <v>0</v>
      </c>
      <c r="AF167" t="n">
        <v>0</v>
      </c>
    </row>
    <row r="168">
      <c r="T168" t="n">
        <v>0</v>
      </c>
      <c r="X168" t="n">
        <v>0</v>
      </c>
      <c r="AF168" t="n">
        <v>0</v>
      </c>
    </row>
    <row r="169">
      <c r="T169" t="n">
        <v>0</v>
      </c>
      <c r="X169" t="n">
        <v>0</v>
      </c>
      <c r="AF169" t="n">
        <v>0</v>
      </c>
    </row>
    <row r="170">
      <c r="T170" t="n">
        <v>0</v>
      </c>
      <c r="X170" t="n">
        <v>0</v>
      </c>
      <c r="AF170" t="n">
        <v>0</v>
      </c>
    </row>
    <row r="171">
      <c r="T171" t="n">
        <v>0</v>
      </c>
      <c r="X171" t="n">
        <v>0</v>
      </c>
      <c r="AF171" t="n">
        <v>0</v>
      </c>
    </row>
    <row r="172">
      <c r="T172" t="n">
        <v>0</v>
      </c>
      <c r="X172" t="n">
        <v>0</v>
      </c>
      <c r="AF172" t="n">
        <v>0</v>
      </c>
    </row>
    <row r="173">
      <c r="T173" t="n">
        <v>0</v>
      </c>
      <c r="X173" t="n">
        <v>0</v>
      </c>
      <c r="AF173" t="n">
        <v>0</v>
      </c>
    </row>
    <row r="174">
      <c r="T174" t="n">
        <v>0</v>
      </c>
      <c r="X174" t="n">
        <v>0</v>
      </c>
      <c r="AF174" t="n">
        <v>0</v>
      </c>
    </row>
    <row r="175">
      <c r="T175" t="n">
        <v>0</v>
      </c>
      <c r="X175" t="n">
        <v>0</v>
      </c>
      <c r="AF175" t="n">
        <v>0</v>
      </c>
    </row>
    <row r="176">
      <c r="T176" t="n">
        <v>0</v>
      </c>
      <c r="X176" t="n">
        <v>0</v>
      </c>
      <c r="AF176" t="n">
        <v>0</v>
      </c>
    </row>
    <row r="177">
      <c r="T177" t="n">
        <v>0</v>
      </c>
      <c r="X177" t="n">
        <v>0</v>
      </c>
      <c r="AF177" t="n">
        <v>0</v>
      </c>
    </row>
    <row r="178">
      <c r="T178" t="n">
        <v>0</v>
      </c>
      <c r="X178" t="n">
        <v>0</v>
      </c>
      <c r="AF178" t="n">
        <v>0</v>
      </c>
    </row>
    <row r="179">
      <c r="T179" t="n">
        <v>0</v>
      </c>
      <c r="X179" t="n">
        <v>0</v>
      </c>
      <c r="AF179" t="n">
        <v>0</v>
      </c>
    </row>
    <row r="180">
      <c r="T180" t="n">
        <v>0</v>
      </c>
      <c r="X180" t="n">
        <v>0</v>
      </c>
      <c r="AF180" t="n">
        <v>0</v>
      </c>
    </row>
    <row r="181">
      <c r="T181" t="n">
        <v>0</v>
      </c>
      <c r="X181" t="n">
        <v>0</v>
      </c>
      <c r="AF181" t="n">
        <v>0</v>
      </c>
    </row>
    <row r="182">
      <c r="T182" t="n">
        <v>0</v>
      </c>
      <c r="X182" t="n">
        <v>0</v>
      </c>
      <c r="AF182" t="n">
        <v>0</v>
      </c>
    </row>
    <row r="183">
      <c r="T183" t="n">
        <v>0</v>
      </c>
      <c r="X183" t="n">
        <v>0</v>
      </c>
      <c r="AF183" t="n">
        <v>0</v>
      </c>
    </row>
    <row r="184">
      <c r="T184" t="n">
        <v>0</v>
      </c>
      <c r="X184" t="n">
        <v>0</v>
      </c>
      <c r="AF184" t="n">
        <v>0</v>
      </c>
    </row>
    <row r="185">
      <c r="T185" t="n">
        <v>0</v>
      </c>
      <c r="X185" t="n">
        <v>0</v>
      </c>
      <c r="AF185" t="n">
        <v>0</v>
      </c>
    </row>
    <row r="186">
      <c r="T186" t="n">
        <v>0</v>
      </c>
      <c r="X186" t="n">
        <v>0</v>
      </c>
      <c r="AF186" t="n">
        <v>0</v>
      </c>
    </row>
    <row r="187">
      <c r="T187" t="n">
        <v>0</v>
      </c>
      <c r="X187" t="n">
        <v>0</v>
      </c>
      <c r="AF187" t="n">
        <v>0</v>
      </c>
    </row>
    <row r="188">
      <c r="T188" t="n">
        <v>0</v>
      </c>
      <c r="X188" t="n">
        <v>0</v>
      </c>
      <c r="AF188" t="n">
        <v>0</v>
      </c>
    </row>
    <row r="189">
      <c r="T189" t="n">
        <v>0</v>
      </c>
      <c r="X189" t="n">
        <v>0</v>
      </c>
      <c r="AF189" t="n">
        <v>0</v>
      </c>
    </row>
    <row r="190">
      <c r="T190" t="n">
        <v>0</v>
      </c>
      <c r="X190" t="n">
        <v>0</v>
      </c>
      <c r="AF190" t="n">
        <v>0</v>
      </c>
    </row>
    <row r="191">
      <c r="T191" t="n">
        <v>0</v>
      </c>
      <c r="X191" t="n">
        <v>0</v>
      </c>
      <c r="AF191" t="n">
        <v>0</v>
      </c>
    </row>
    <row r="192">
      <c r="T192" t="n">
        <v>0</v>
      </c>
      <c r="X192" t="n">
        <v>0</v>
      </c>
      <c r="AF192" t="n">
        <v>0</v>
      </c>
    </row>
    <row r="193">
      <c r="T193" t="n">
        <v>0</v>
      </c>
      <c r="X193" t="n">
        <v>0</v>
      </c>
      <c r="AF193" t="n">
        <v>0</v>
      </c>
    </row>
    <row r="194">
      <c r="T194" t="n">
        <v>0</v>
      </c>
      <c r="X194" t="n">
        <v>0</v>
      </c>
      <c r="AF194" t="n">
        <v>0</v>
      </c>
    </row>
    <row r="195">
      <c r="T195" t="n">
        <v>0</v>
      </c>
      <c r="X195" t="n">
        <v>0</v>
      </c>
      <c r="AF195" t="n">
        <v>0</v>
      </c>
    </row>
    <row r="196">
      <c r="T196" t="n">
        <v>0</v>
      </c>
      <c r="X196" t="n">
        <v>0</v>
      </c>
      <c r="AF196" t="n">
        <v>0</v>
      </c>
    </row>
    <row r="197">
      <c r="T197" t="n">
        <v>1</v>
      </c>
      <c r="X197" t="n">
        <v>0</v>
      </c>
      <c r="AF197" t="n">
        <v>0</v>
      </c>
    </row>
    <row r="198">
      <c r="T198" t="n">
        <v>0</v>
      </c>
      <c r="X198" t="n">
        <v>0</v>
      </c>
      <c r="AF198" t="n">
        <v>0</v>
      </c>
    </row>
    <row r="199">
      <c r="T199" t="n">
        <v>0</v>
      </c>
      <c r="X199" t="n">
        <v>0</v>
      </c>
      <c r="AF199" t="n">
        <v>0</v>
      </c>
    </row>
    <row r="200">
      <c r="T200" t="n">
        <v>0</v>
      </c>
      <c r="X200" t="n">
        <v>0</v>
      </c>
      <c r="AF200" t="n">
        <v>0</v>
      </c>
    </row>
    <row r="201">
      <c r="T201" t="n">
        <v>0</v>
      </c>
      <c r="X201" t="n">
        <v>0</v>
      </c>
      <c r="AF201" t="n">
        <v>0</v>
      </c>
    </row>
    <row r="202">
      <c r="T202" t="n">
        <v>0</v>
      </c>
      <c r="X202" t="n">
        <v>0</v>
      </c>
      <c r="AF202" t="n">
        <v>0</v>
      </c>
    </row>
    <row r="203">
      <c r="T203" t="n">
        <v>0</v>
      </c>
      <c r="X203" t="n">
        <v>0</v>
      </c>
      <c r="AF203" t="n">
        <v>0</v>
      </c>
    </row>
    <row r="204">
      <c r="T204" t="n">
        <v>0</v>
      </c>
      <c r="X204" t="n">
        <v>0</v>
      </c>
      <c r="AF204" t="n">
        <v>0</v>
      </c>
    </row>
    <row r="205">
      <c r="T205" t="n">
        <v>0</v>
      </c>
      <c r="X205" t="n">
        <v>0</v>
      </c>
      <c r="AF205" t="n">
        <v>0</v>
      </c>
    </row>
    <row r="206">
      <c r="T206" t="n">
        <v>0</v>
      </c>
      <c r="X206" t="n">
        <v>0</v>
      </c>
      <c r="AF206" t="n">
        <v>0</v>
      </c>
    </row>
    <row r="207">
      <c r="T207" t="n">
        <v>0</v>
      </c>
      <c r="X207" t="n">
        <v>0</v>
      </c>
      <c r="AF207" t="n">
        <v>0</v>
      </c>
    </row>
    <row r="208">
      <c r="T208" t="n">
        <v>0</v>
      </c>
      <c r="X208" t="n">
        <v>0</v>
      </c>
      <c r="AF208" t="n">
        <v>0</v>
      </c>
    </row>
    <row r="209">
      <c r="T209" t="n">
        <v>0</v>
      </c>
      <c r="X209" t="n">
        <v>0</v>
      </c>
      <c r="AF209" t="n">
        <v>0</v>
      </c>
    </row>
    <row r="210">
      <c r="T210" t="n">
        <v>0</v>
      </c>
      <c r="X210" t="n">
        <v>0</v>
      </c>
      <c r="AF210" t="n">
        <v>0</v>
      </c>
    </row>
    <row r="211">
      <c r="T211" t="n">
        <v>0</v>
      </c>
      <c r="X211" t="n">
        <v>0</v>
      </c>
      <c r="AF211" t="n">
        <v>0</v>
      </c>
    </row>
    <row r="212">
      <c r="T212" t="n">
        <v>0</v>
      </c>
      <c r="X212" t="n">
        <v>0</v>
      </c>
      <c r="AF212" t="n">
        <v>0</v>
      </c>
    </row>
    <row r="213">
      <c r="T213" t="n">
        <v>0</v>
      </c>
      <c r="X213" t="n">
        <v>0</v>
      </c>
      <c r="AF213" t="n">
        <v>0</v>
      </c>
    </row>
    <row r="214">
      <c r="T214" t="n">
        <v>0</v>
      </c>
      <c r="X214" t="n">
        <v>0</v>
      </c>
      <c r="AF214" t="n">
        <v>0</v>
      </c>
    </row>
    <row r="215">
      <c r="T215" t="n">
        <v>0</v>
      </c>
      <c r="X215" t="n">
        <v>0</v>
      </c>
      <c r="AF215" t="n">
        <v>0</v>
      </c>
    </row>
    <row r="216">
      <c r="T216" t="n">
        <v>0</v>
      </c>
      <c r="X216" t="n">
        <v>0</v>
      </c>
      <c r="AF216" t="n">
        <v>0</v>
      </c>
    </row>
    <row r="217">
      <c r="T217" t="n">
        <v>0</v>
      </c>
      <c r="X217" t="n">
        <v>0</v>
      </c>
      <c r="AF217" t="n">
        <v>0</v>
      </c>
    </row>
    <row r="218">
      <c r="T218" t="n">
        <v>0</v>
      </c>
      <c r="X218" t="n">
        <v>0</v>
      </c>
      <c r="AF218" t="n">
        <v>0</v>
      </c>
    </row>
    <row r="219">
      <c r="T219" t="n">
        <v>0</v>
      </c>
      <c r="X219" t="n">
        <v>0</v>
      </c>
      <c r="AF219" t="n">
        <v>0</v>
      </c>
    </row>
    <row r="220">
      <c r="T220" t="n">
        <v>0</v>
      </c>
      <c r="X220" t="n">
        <v>0</v>
      </c>
      <c r="AF220" t="n">
        <v>0</v>
      </c>
    </row>
    <row r="221">
      <c r="T221" t="n">
        <v>0</v>
      </c>
      <c r="X221" t="n">
        <v>0</v>
      </c>
      <c r="AF221" t="n">
        <v>0</v>
      </c>
    </row>
    <row r="222">
      <c r="T222" t="n">
        <v>0</v>
      </c>
      <c r="X222" t="n">
        <v>0</v>
      </c>
      <c r="AF222" t="n">
        <v>0</v>
      </c>
    </row>
    <row r="223">
      <c r="T223" t="n">
        <v>0</v>
      </c>
      <c r="X223" t="n">
        <v>0</v>
      </c>
      <c r="AF223" t="n">
        <v>0</v>
      </c>
    </row>
    <row r="224">
      <c r="T224" t="n">
        <v>0</v>
      </c>
      <c r="X224" t="n">
        <v>0</v>
      </c>
      <c r="AF224" t="n">
        <v>0</v>
      </c>
    </row>
    <row r="225">
      <c r="T225" t="n">
        <v>0</v>
      </c>
      <c r="X225" t="n">
        <v>0</v>
      </c>
      <c r="AF225" t="n">
        <v>0</v>
      </c>
    </row>
    <row r="226">
      <c r="T226" t="n">
        <v>0</v>
      </c>
      <c r="X226" t="n">
        <v>0</v>
      </c>
      <c r="AF226" t="n">
        <v>0</v>
      </c>
    </row>
    <row r="227">
      <c r="T227" t="n">
        <v>0</v>
      </c>
      <c r="X227" t="n">
        <v>0</v>
      </c>
      <c r="AF227" t="n">
        <v>0</v>
      </c>
    </row>
    <row r="228">
      <c r="T228" t="n">
        <v>0</v>
      </c>
      <c r="X228" t="n">
        <v>0</v>
      </c>
      <c r="AF228" t="n">
        <v>0</v>
      </c>
    </row>
    <row r="229">
      <c r="T229" t="n">
        <v>0</v>
      </c>
      <c r="X229" t="n">
        <v>0</v>
      </c>
      <c r="AF229" t="n">
        <v>0</v>
      </c>
    </row>
    <row r="230">
      <c r="T230" t="n">
        <v>0</v>
      </c>
      <c r="X230" t="n">
        <v>0</v>
      </c>
      <c r="AF230" t="n">
        <v>0</v>
      </c>
    </row>
    <row r="231">
      <c r="T231" t="n">
        <v>0</v>
      </c>
      <c r="X231" t="n">
        <v>0</v>
      </c>
      <c r="AF231" t="n">
        <v>0</v>
      </c>
    </row>
    <row r="232">
      <c r="T232" t="n">
        <v>0</v>
      </c>
      <c r="X232" t="n">
        <v>0</v>
      </c>
      <c r="AF232" t="n">
        <v>0</v>
      </c>
    </row>
    <row r="233">
      <c r="T233" t="n">
        <v>0</v>
      </c>
      <c r="X233" t="n">
        <v>0</v>
      </c>
      <c r="AF233" t="n">
        <v>0</v>
      </c>
    </row>
    <row r="234">
      <c r="T234" t="n">
        <v>0</v>
      </c>
      <c r="X234" t="n">
        <v>0</v>
      </c>
      <c r="AF234" t="n">
        <v>0</v>
      </c>
    </row>
    <row r="235">
      <c r="T235" t="n">
        <v>0</v>
      </c>
      <c r="X235" t="n">
        <v>0</v>
      </c>
      <c r="AF235" t="n">
        <v>0</v>
      </c>
    </row>
    <row r="236">
      <c r="T236" t="n">
        <v>0</v>
      </c>
      <c r="X236" t="n">
        <v>0</v>
      </c>
      <c r="AF236" t="n">
        <v>0</v>
      </c>
    </row>
    <row r="237">
      <c r="T237" t="n">
        <v>0</v>
      </c>
      <c r="X237" t="n">
        <v>0</v>
      </c>
      <c r="AF237" t="n">
        <v>0</v>
      </c>
    </row>
    <row r="238">
      <c r="T238" t="n">
        <v>0</v>
      </c>
      <c r="X238" t="n">
        <v>0</v>
      </c>
      <c r="AF238" t="n">
        <v>0</v>
      </c>
    </row>
    <row r="239">
      <c r="T239" t="n">
        <v>0</v>
      </c>
      <c r="X239" t="n">
        <v>0</v>
      </c>
      <c r="AF239" t="n">
        <v>0</v>
      </c>
    </row>
    <row r="240">
      <c r="T240" t="n">
        <v>0</v>
      </c>
      <c r="X240" t="n">
        <v>0</v>
      </c>
      <c r="AF240" t="n">
        <v>0</v>
      </c>
    </row>
    <row r="241">
      <c r="T241" t="n">
        <v>0</v>
      </c>
      <c r="X241" t="n">
        <v>0</v>
      </c>
      <c r="AF241" t="n">
        <v>0</v>
      </c>
    </row>
    <row r="242">
      <c r="T242" t="n">
        <v>0</v>
      </c>
      <c r="X242" t="n">
        <v>0</v>
      </c>
      <c r="AF242" t="n">
        <v>0</v>
      </c>
    </row>
    <row r="243">
      <c r="T243" t="n">
        <v>0</v>
      </c>
      <c r="X243" t="n">
        <v>0</v>
      </c>
      <c r="AF243" t="n">
        <v>0</v>
      </c>
    </row>
    <row r="244">
      <c r="T244" t="n">
        <v>0</v>
      </c>
      <c r="X244" t="n">
        <v>0</v>
      </c>
      <c r="AF244" t="n">
        <v>0</v>
      </c>
    </row>
    <row r="245">
      <c r="T245" t="n">
        <v>0</v>
      </c>
      <c r="X245" t="n">
        <v>0</v>
      </c>
      <c r="AF245" t="n">
        <v>0</v>
      </c>
    </row>
    <row r="246">
      <c r="T246" t="n">
        <v>0</v>
      </c>
      <c r="X246" t="n">
        <v>0</v>
      </c>
      <c r="AF246" t="n">
        <v>0</v>
      </c>
    </row>
    <row r="247">
      <c r="T247" t="n">
        <v>0</v>
      </c>
      <c r="X247" t="n">
        <v>0</v>
      </c>
      <c r="AF247" t="n">
        <v>0</v>
      </c>
    </row>
    <row r="248">
      <c r="T248" t="n">
        <v>0</v>
      </c>
      <c r="X248" t="n">
        <v>0</v>
      </c>
      <c r="AF248" t="n">
        <v>0</v>
      </c>
    </row>
    <row r="249">
      <c r="T249" t="n">
        <v>0</v>
      </c>
      <c r="X249" t="n">
        <v>0</v>
      </c>
      <c r="AF249" t="n">
        <v>0</v>
      </c>
    </row>
    <row r="250">
      <c r="T250" t="n">
        <v>0</v>
      </c>
      <c r="X250" t="n">
        <v>0</v>
      </c>
      <c r="AF250" t="n">
        <v>0</v>
      </c>
    </row>
    <row r="251">
      <c r="T251" t="n">
        <v>0</v>
      </c>
      <c r="X251" t="n">
        <v>0</v>
      </c>
      <c r="AF251" t="n">
        <v>0</v>
      </c>
    </row>
    <row r="252">
      <c r="T252" t="n">
        <v>0</v>
      </c>
      <c r="X252" t="n">
        <v>0</v>
      </c>
      <c r="AF252" t="n">
        <v>0</v>
      </c>
    </row>
    <row r="253">
      <c r="T253" t="n">
        <v>0</v>
      </c>
      <c r="X253" t="n">
        <v>0</v>
      </c>
      <c r="AF253" t="n">
        <v>0</v>
      </c>
    </row>
    <row r="254">
      <c r="T254" t="n">
        <v>0</v>
      </c>
      <c r="X254" t="n">
        <v>0</v>
      </c>
      <c r="AF254" t="n">
        <v>0</v>
      </c>
    </row>
    <row r="255">
      <c r="T255" t="n">
        <v>0</v>
      </c>
      <c r="X255" t="n">
        <v>0</v>
      </c>
      <c r="AF255" t="n">
        <v>0</v>
      </c>
    </row>
    <row r="256">
      <c r="T256" t="n">
        <v>0</v>
      </c>
      <c r="X256" t="n">
        <v>0</v>
      </c>
      <c r="AF256" t="n">
        <v>0</v>
      </c>
    </row>
    <row r="257">
      <c r="T257" t="n">
        <v>0</v>
      </c>
      <c r="X257" t="n">
        <v>0</v>
      </c>
      <c r="AF257" t="n">
        <v>0</v>
      </c>
    </row>
    <row r="258">
      <c r="T258" t="n">
        <v>0</v>
      </c>
      <c r="X258" t="n">
        <v>0</v>
      </c>
      <c r="AF258" t="n">
        <v>0</v>
      </c>
    </row>
    <row r="259">
      <c r="T259" t="n">
        <v>0</v>
      </c>
      <c r="X259" t="n">
        <v>0</v>
      </c>
      <c r="AF259" t="n">
        <v>0</v>
      </c>
    </row>
    <row r="260">
      <c r="T260" t="n">
        <v>0</v>
      </c>
      <c r="X260" t="n">
        <v>0</v>
      </c>
      <c r="AF260" t="n">
        <v>0</v>
      </c>
    </row>
    <row r="261">
      <c r="T261" t="n">
        <v>1</v>
      </c>
      <c r="X261" t="n">
        <v>0</v>
      </c>
      <c r="AF261" t="n">
        <v>0</v>
      </c>
    </row>
    <row r="262">
      <c r="T262" t="n">
        <v>0</v>
      </c>
      <c r="X262" t="n">
        <v>0</v>
      </c>
      <c r="AF262" t="n">
        <v>0</v>
      </c>
    </row>
    <row r="263">
      <c r="T263" t="n">
        <v>1</v>
      </c>
      <c r="X263" t="n">
        <v>1</v>
      </c>
      <c r="AF263" t="n">
        <v>1</v>
      </c>
    </row>
    <row r="264">
      <c r="T264" t="n">
        <v>0</v>
      </c>
      <c r="X264" t="n">
        <v>0</v>
      </c>
      <c r="AF264" t="n">
        <v>0</v>
      </c>
    </row>
    <row r="265">
      <c r="T265" t="n">
        <v>0</v>
      </c>
      <c r="X265" t="n">
        <v>0</v>
      </c>
      <c r="AF265" t="n">
        <v>0</v>
      </c>
    </row>
    <row r="266">
      <c r="T266" t="n">
        <v>0</v>
      </c>
      <c r="X266" t="n">
        <v>0</v>
      </c>
      <c r="AF266" t="n">
        <v>0</v>
      </c>
    </row>
    <row r="267">
      <c r="T267" t="n">
        <v>0</v>
      </c>
      <c r="X267" t="n">
        <v>0</v>
      </c>
      <c r="AF267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50:L93"/>
  <sheetViews>
    <sheetView workbookViewId="0">
      <selection activeCell="A1" sqref="A1"/>
    </sheetView>
  </sheetViews>
  <sheetFormatPr baseColWidth="8" defaultRowHeight="15"/>
  <sheetData>
    <row r="50"/>
    <row r="51">
      <c r="K51" t="inlineStr">
        <is>
          <t>Yes</t>
        </is>
      </c>
      <c r="L51" t="inlineStr">
        <is>
          <t>The smallest acceptable plan: the first with actions in both the North and South Utoy sub-watersheds.</t>
        </is>
      </c>
    </row>
    <row r="52">
      <c r="K52" t="inlineStr">
        <is>
          <t>Yes</t>
        </is>
      </c>
      <c r="L52" t="inlineStr">
        <is>
          <t>Site 3F adds high benefit at low cost and demonstrates innovative methods for the region.</t>
        </is>
      </c>
    </row>
    <row r="53">
      <c r="K53" t="inlineStr">
        <is>
          <t>Yes</t>
        </is>
      </c>
      <c r="L53" t="inlineStr">
        <is>
          <t>Site 17B extends actions upstream and cuts sediment delivered to Sites 2A and 2B.</t>
        </is>
      </c>
    </row>
    <row r="54">
      <c r="K54" t="inlineStr">
        <is>
          <t>Yes</t>
        </is>
      </c>
      <c r="L54" t="inlineStr">
        <is>
          <t>Site 17D2E begins to address the concrete channel, a major cause of degradation.</t>
        </is>
      </c>
    </row>
    <row r="55">
      <c r="K55" t="inlineStr">
        <is>
          <t>Yes</t>
        </is>
      </c>
      <c r="L55" t="inlineStr">
        <is>
          <t>Site 17F2M addresses the largest extent of concrete channel; working with 17D2E should cut mobilization costs, and the plan has the widest coverage.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3">
      <c r="B93" t="n">
        <v>128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G5:L35"/>
  <sheetViews>
    <sheetView workbookViewId="0">
      <selection activeCell="A1" sqref="A1"/>
    </sheetView>
  </sheetViews>
  <sheetFormatPr baseColWidth="8" defaultRowHeight="15"/>
  <sheetData>
    <row r="5">
      <c r="G5" t="n">
        <v>0</v>
      </c>
      <c r="L5" t="n">
        <v>0</v>
      </c>
    </row>
    <row r="6">
      <c r="G6" t="n">
        <v>3.105671456485271</v>
      </c>
      <c r="L6" t="n">
        <v>54483.69201816973</v>
      </c>
    </row>
    <row r="7">
      <c r="G7" t="n">
        <v>1.212940784790666</v>
      </c>
      <c r="L7" t="n">
        <v>49878.55232959345</v>
      </c>
    </row>
    <row r="8">
      <c r="G8" t="n">
        <v>6.752129900618661</v>
      </c>
      <c r="L8" t="n">
        <v>55100.21004206487</v>
      </c>
    </row>
    <row r="9">
      <c r="G9" t="n">
        <v>0</v>
      </c>
      <c r="L9" t="n">
        <v>0</v>
      </c>
    </row>
    <row r="10">
      <c r="G10" t="n">
        <v>14.55933762281176</v>
      </c>
      <c r="L10" t="n">
        <v>71761.53094854967</v>
      </c>
    </row>
    <row r="11">
      <c r="G11" t="n">
        <v>11.55119085314187</v>
      </c>
      <c r="L11" t="n">
        <v>69441.4641863016</v>
      </c>
    </row>
    <row r="12">
      <c r="G12" t="n">
        <v>6.277004803320976</v>
      </c>
      <c r="L12" t="n">
        <v>32868.83543494649</v>
      </c>
    </row>
    <row r="13">
      <c r="G13" t="n">
        <v>0</v>
      </c>
      <c r="L13" t="n">
        <v>0</v>
      </c>
    </row>
    <row r="14">
      <c r="G14" t="n">
        <v>13.1676256419416</v>
      </c>
      <c r="L14" t="n">
        <v>74006.02467999328</v>
      </c>
    </row>
    <row r="15">
      <c r="G15" t="n">
        <v>15.01658515232207</v>
      </c>
      <c r="L15" t="n">
        <v>68167.41120934543</v>
      </c>
    </row>
    <row r="16">
      <c r="G16" t="n">
        <v>2.920874360137972</v>
      </c>
      <c r="L16" t="n">
        <v>38139.91665034444</v>
      </c>
    </row>
    <row r="17">
      <c r="G17" t="n">
        <v>0</v>
      </c>
      <c r="L17" t="n">
        <v>0</v>
      </c>
    </row>
    <row r="18">
      <c r="G18" t="n">
        <v>31.37892458832468</v>
      </c>
      <c r="L18" t="n">
        <v>46343.39655629592</v>
      </c>
    </row>
    <row r="19">
      <c r="G19" t="n">
        <v>24.97252698770302</v>
      </c>
      <c r="L19" t="n">
        <v>44267.15567549997</v>
      </c>
    </row>
    <row r="20">
      <c r="G20" t="n">
        <v>4.301727791731661</v>
      </c>
      <c r="L20" t="n">
        <v>34196.82180414225</v>
      </c>
    </row>
    <row r="21">
      <c r="G21" t="n">
        <v>0</v>
      </c>
      <c r="L21" t="n">
        <v>0</v>
      </c>
    </row>
    <row r="22">
      <c r="G22" t="n">
        <v>24.49328152430079</v>
      </c>
      <c r="L22" t="n">
        <v>40055.17858784567</v>
      </c>
    </row>
    <row r="23">
      <c r="G23" t="n">
        <v>15.96612809845538</v>
      </c>
      <c r="L23" t="n">
        <v>41114.03819599077</v>
      </c>
    </row>
    <row r="24">
      <c r="G24" t="n">
        <v>5.459193588063943</v>
      </c>
      <c r="L24" t="n">
        <v>35704.84182384668</v>
      </c>
    </row>
    <row r="25">
      <c r="G25" t="n">
        <v>0</v>
      </c>
      <c r="L25" t="n">
        <v>0</v>
      </c>
    </row>
    <row r="26">
      <c r="G26" t="n">
        <v>0.9648800160364281</v>
      </c>
      <c r="L26" t="n">
        <v>97171.81078593257</v>
      </c>
    </row>
    <row r="27">
      <c r="G27" t="n">
        <v>2.984975815232946</v>
      </c>
      <c r="L27" t="n">
        <v>95531.47219984699</v>
      </c>
    </row>
    <row r="28">
      <c r="G28" t="n">
        <v>1.547788921218554</v>
      </c>
      <c r="L28" t="n">
        <v>30776.18798962158</v>
      </c>
    </row>
    <row r="29">
      <c r="G29" t="n">
        <v>0</v>
      </c>
      <c r="L29" t="n">
        <v>0</v>
      </c>
    </row>
    <row r="30">
      <c r="G30" t="n">
        <v>4.804863822514555</v>
      </c>
      <c r="L30" t="n">
        <v>36045.18690662839</v>
      </c>
    </row>
    <row r="31">
      <c r="G31" t="n">
        <v>3.074128495801467</v>
      </c>
      <c r="L31" t="n">
        <v>33762.33774315732</v>
      </c>
    </row>
    <row r="32">
      <c r="G32" t="n">
        <v>3.37973301440983</v>
      </c>
      <c r="L32" t="n">
        <v>28078.03025069392</v>
      </c>
    </row>
    <row r="33">
      <c r="G33" t="n">
        <v>0</v>
      </c>
      <c r="L33" t="n">
        <v>0</v>
      </c>
    </row>
    <row r="34">
      <c r="G34" t="n">
        <v>19.93255109483489</v>
      </c>
      <c r="L34" t="n">
        <v>50453.08796409632</v>
      </c>
    </row>
    <row r="35">
      <c r="G35" t="n">
        <v>6.575598716155902</v>
      </c>
      <c r="L35" t="n">
        <v>34394.51583742764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L6:P50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P6" t="n">
        <v>1</v>
      </c>
    </row>
    <row r="7">
      <c r="L7" t="n">
        <v>1</v>
      </c>
      <c r="P7" t="n">
        <v>0</v>
      </c>
    </row>
    <row r="8">
      <c r="L8" t="n">
        <v>1</v>
      </c>
      <c r="P8" t="n">
        <v>0</v>
      </c>
    </row>
    <row r="9">
      <c r="L9" t="n">
        <v>1</v>
      </c>
      <c r="P9" t="n">
        <v>1</v>
      </c>
    </row>
    <row r="12">
      <c r="L12" t="n">
        <v>1</v>
      </c>
      <c r="P12" t="n">
        <v>1</v>
      </c>
    </row>
    <row r="13">
      <c r="L13" t="n">
        <v>1</v>
      </c>
      <c r="P13" t="n">
        <v>1</v>
      </c>
    </row>
    <row r="14">
      <c r="L14" t="n">
        <v>1</v>
      </c>
      <c r="P14" t="n">
        <v>0</v>
      </c>
    </row>
    <row r="15">
      <c r="L15" t="n">
        <v>1</v>
      </c>
      <c r="P15" t="n">
        <v>0</v>
      </c>
    </row>
    <row r="18">
      <c r="L18" t="n">
        <v>1</v>
      </c>
      <c r="P18" t="n">
        <v>1</v>
      </c>
    </row>
    <row r="19">
      <c r="L19" t="n">
        <v>0</v>
      </c>
      <c r="P19" t="n">
        <v>0</v>
      </c>
    </row>
    <row r="20">
      <c r="L20" t="n">
        <v>1</v>
      </c>
      <c r="P20" t="n">
        <v>1</v>
      </c>
    </row>
    <row r="21">
      <c r="L21" t="n">
        <v>1</v>
      </c>
      <c r="P21" t="n">
        <v>0</v>
      </c>
    </row>
    <row r="24">
      <c r="L24" t="n">
        <v>1</v>
      </c>
      <c r="P24" t="n">
        <v>1</v>
      </c>
    </row>
    <row r="25">
      <c r="L25" t="n">
        <v>1</v>
      </c>
      <c r="P25" t="n">
        <v>1</v>
      </c>
    </row>
    <row r="26">
      <c r="L26" t="n">
        <v>1</v>
      </c>
      <c r="P26" t="n">
        <v>0</v>
      </c>
    </row>
    <row r="27">
      <c r="L27" t="n">
        <v>1</v>
      </c>
      <c r="P27" t="n">
        <v>0</v>
      </c>
    </row>
    <row r="30">
      <c r="L30" t="n">
        <v>1</v>
      </c>
      <c r="P30" t="n">
        <v>1</v>
      </c>
    </row>
    <row r="31">
      <c r="L31" t="n">
        <v>1</v>
      </c>
      <c r="P31" t="n">
        <v>1</v>
      </c>
    </row>
    <row r="32">
      <c r="L32" t="n">
        <v>0</v>
      </c>
      <c r="P32" t="n">
        <v>0</v>
      </c>
    </row>
    <row r="33">
      <c r="L33" t="n">
        <v>1</v>
      </c>
      <c r="P33" t="n">
        <v>0</v>
      </c>
    </row>
    <row r="36">
      <c r="L36" t="n">
        <v>1</v>
      </c>
      <c r="P36" t="n">
        <v>1</v>
      </c>
    </row>
    <row r="37">
      <c r="L37" t="n">
        <v>0</v>
      </c>
      <c r="P37" t="n">
        <v>0</v>
      </c>
    </row>
    <row r="38">
      <c r="L38" t="n">
        <v>1</v>
      </c>
      <c r="P38" t="n">
        <v>1</v>
      </c>
    </row>
    <row r="39">
      <c r="L39" t="n">
        <v>1</v>
      </c>
      <c r="P39" t="n">
        <v>1</v>
      </c>
    </row>
    <row r="42">
      <c r="L42" t="n">
        <v>1</v>
      </c>
      <c r="P42" t="n">
        <v>1</v>
      </c>
    </row>
    <row r="43">
      <c r="L43" t="n">
        <v>1</v>
      </c>
      <c r="P43" t="n">
        <v>1</v>
      </c>
    </row>
    <row r="44">
      <c r="L44" t="n">
        <v>0</v>
      </c>
      <c r="P44" t="n">
        <v>0</v>
      </c>
    </row>
    <row r="45">
      <c r="L45" t="n">
        <v>1</v>
      </c>
      <c r="P45" t="n">
        <v>0</v>
      </c>
    </row>
    <row r="48">
      <c r="L48" t="n">
        <v>1</v>
      </c>
      <c r="P48" t="n">
        <v>1</v>
      </c>
    </row>
    <row r="49">
      <c r="L49" t="n">
        <v>1</v>
      </c>
      <c r="P49" t="n">
        <v>1</v>
      </c>
    </row>
    <row r="50">
      <c r="L50" t="n">
        <v>1</v>
      </c>
      <c r="P50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ceica-calculator</t>
        </is>
      </c>
      <c r="B1" t="n">
        <v>2</v>
      </c>
    </row>
    <row r="2">
      <c r="A2" t="inlineStr">
        <is>
          <t>project</t>
        </is>
      </c>
      <c r="B2" t="n">
        <v>2</v>
      </c>
      <c r="C2" t="inlineStr">
        <is>
          <t>{"benefits":{"modules":[{"id":"RipL","method":"INDEX_X_QUANTITY","name":"Riparian, left bank","quantity_units":"acres"},{"id":"RipR","method":"INDEX_X_QUANTITY","name":"Riparian, right bank","quantity_units":"acres"},{"id":"Ins","method":"INDEX_X_QUANTITY","name":"Instream","quantity_units":"acres"}],"staf_mapping":"A","target_years":[0.0,2.0,10.0,50.0]},"cost_categories":[{"id":"construction","idc_applies":true,"name":"Construction"},{"id":"monitoring","idc_applies":false,"name":"Monitoring"},{"id":"adaptive_management","idc_applies":false,"name":"Adaptive management"}],"decisions":{"sites":{"17B":{"alt_notes":{},"basis":"4955d8e8069698de","rationale":"Channel and bank stabilization without beaver removal is the site's best buy and gives the most lift.","recommended_alt_id":"Alternative2"},"17D2E":{"alt_notes":{},"basis":"c58310c780599363","rationale":"Channel removal with a left bank wetland addresses the concrete channel directly, with a large lift and a low unit cost.","recommended_alt_id":"Alternative1"},"17F2M":{"alt_notes":{},"basis":"91660bb2766a52e1","rationale":"The chain of wetlands gives the largest lift for a cost close to the other alternatives; it is the site's only best buy besides No Action.","recommended_alt_id":"Alternative3"},"19A":{"alt_notes":{},"basis":"339c9559e8d34976","rationale":"The largest best buy, with high lift for South Utoy Creek.","recommended_alt_id":"Alternative2"},"2A":{"alt_notes":{},"basis":"343c89f1d97ead7a","rationale":"The largest best buy: the most lift in the watershed at the lowest unit cost.","recommended_alt_id":"Alternative1"},"2B":{"alt_notes":{},"basis":"56c84b760d9562e5","rationale":"The largest best buy, with a low unit cost like Site 2A.","recommended_alt_id":"Alternative1"},"3E":{"alt_notes":{},"basis":"67049bb4fd32f97e","rationale":"The unit costs of both best buys are far above every other site, so no action is recommended at this site.","recommended_alt_id":"FWOP"},"3F":{"alt_notes":{},"basis":"8f486c20294e542f","rationale":"The largest best buy, and a place to demonstrate innovative low-cost methods.","recommended_alt_id":"Alternative1"}},"watershed":{"basis":"e83b6bac9338d45f","final_array":{"17B=Alternative2;17D2E=Alternative1;19A=Alternative2;2A=Alternative1;2B=Alternative1;3F=Alternative1":{"included":false,"note":"Removed because P16 already introduces Site 3F."},"19A=Alternative2;2A=Alternative1;2B=Alternative1;3F=Alternative1":{"included":true,"note":"Cost-effective plan added: near parity between North and South Utoy, and it introduces the innovative actions at 3F."},"2A=Alternative1":{"included":false,"note":"Only one sub-watershed; the study's scope emphasized actions across the whole watershed."},"2A=Alternative1;2B=Alternative1":{"included":false,"note":"Only North Utoy Creek; the first plan with actions in both sub-watersheds is P14."}},"steps":{" &gt; 19A=Alternative2;2A=Alternative1;2B=Alternative1":{"why":"The smallest acceptable plan: the first with actions in both the North and South Utoy sub-watersheds.","worth_it":"YES"},"17B=Alternative2;17D2E=Alternative1;19A=Alternative2;2A=Alternative1;2B=Alternative1 &gt; 17B=Alternative2;17D2E=Alternative1;17F2M=Alternative3;19A=Alternative2;2A=Alternative1;2B=Alternative1;3F=Alternative1":{"why":"Site 17F2M addresses the largest extent of concrete channel; working with 17D2E should cut mobilization costs, and the plan has the widest coverage.","worth_it":"YES"},"17B=Alternative2;19A=Alternative2;2A=Alternative1;2B=Alternative1 &gt; 17B=Alternative2;17D2E=Alternative1;19A=Alternative2;2A=Alternative1;2B=Alternative1":{"why":"Site 17D2E begins to address the concrete channel, a major cause of degradation.","worth_it":"YES"},"19A=Alternative2;2A=Alternative1;2B=Alternative1 &gt; 19A=Alternative2;2A=Alternative1;2B=Alternative1;3F=Alternative1":{"why":"Site 3F adds high benefit at low cost and demonstrates innovative methods for the region.","worth_it":"YES"},"19A=Alternative2;2A=Alternative1;2B=Alternative1;3F=Alternative1 &gt; 17B=Alternative2;19A=Alternative2;2A=Alternative1;2B=Alternative1":{"why":"Site 17B extends actions upstream and cuts sediment delivered to Sites 2A and 2B.","worth_it":"YES"}},"tsp":"17B=Alternative2;17D2E=Alternative1;17F2M=Alternative3;19A=Alternative2;2A=Alternative1;2B=Alternative1;3F=Alternative1","tsp_plan_type":"National Ecosystem Restoration (NER) plan","tsp_rationale":"All seven sites: the widest geographic coverage, and it directly addresses the concrete channel that drives degradation in the watershed. Sites can still be dropped after further analysis such as real estate."}},"description":"Aquatic ecosystem restoration in the Utoy Creek watershed, Atlanta, Georgia (Continuing Authorities Program Section 206). Eight candidate sites along North and South Utoy Creek; ecological outputs from the Riparian Ecological Functions Index and the Utoy Instream Model; the FY2025 federal discount rate (3 percent).","labels":{"annual_output_name":"Average annual habitat units","annual_output_short":"AAHU","lift_name":"Ecological lift","output_name":"Habitat units","output_short":"HU"},"name":"Utoy Creek Section 206","project_id":"utoy-creek","provenance":{"builder":"tools/build_utoy_example.py","costin_csv":"utoy_costin_2024-08-05.csv","costin_sha256":"f612c78b3ee77d942b29fd8cf763e82aa63122fb4a9595deb6aaf4c66e1d7f61","ecoin_csv":"utoy_ecoin_2024-10-01.csv","ecoin_sha256":"9bb9de921a77dd3dd0be5de12e605f6365d1c781e775ec5c9c7194d075aa6281","refi_streambank_input":"Stream_Habitat_left/right","source":"https://github.com/USACE-WRISES/UtoyDecisions (commit 48c01ad)","variant":"published"},"report":{"contents":"FULL","date":"","prepared_by":"CEICA example, Mobile District","status":"DRAFT","title":"Utoy Creek Section 206"},"schema_version":"ceica-project/3","settings":{"aahu_method":"TRAPEZOID","cost_decimals":4,"discount_rate":0.03,"idc_method":"END","idc_periods_per_year":12,"output_decimals":6,"period_of_analysis":50,"price_level":"","recurring_timing":"END_OF_YEAR"},"sites":[{"alternatives":[{"costs":{"annual_override":null,"construction_months":0.0,"first_costs":{"adaptive_management":0.0,"construction":0.0,"monitoring":0.0},"recurring":[]},"description":"Future without project","id":"FWOP","is_no_action":true,"name":"No Action","outputs":[{"aahu":null,"module_id":"RipL","quantity":[0.0,0.0,0.0,0.0],"scores":{},"values":[0.07111111111111111,0.07111111111111111,0.07111111111111111,0.07111111111111111]},{"aahu":null,"module_id":"RipR","quantity":[0.0,0.0,0.0,0.0],"scores":{},"values":[0.06666666666666667,0.06666666666666667,0.06666666666666667,0.06666666666666667]},{"aahu":null,"module_id":"Ins","quantity":[3.8702331054545454,3.8702331054545454,3.8702331054545454,3.8702331054545454],"scores":{},"values":[0.31761913066513625,0.31761913066513625,0.31761913066513625,0.31761913066513625]}]},{"costs":{"annual_override":null,"construction_months":10.0,"first_costs":{"adaptive_management":77605.0,"construction":776047.0,"monitoring":60000.0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removal","percent":0.0,"quantity":2639.11,"quantity_units":"ft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repair","percent":0.1,"quantity":0.0,"quantity_units":"","unit_rate":0.0}]},"description":"Concrete channel removal with extensive riparian restoration","id":"Alternative1","is_no_action":false,"name":"Alternative 1","outputs":[{"aahu":null,"module_id":"RipL","quantity":[0.0,1.080693297,1.080693297,1.080693297],"scores":{},"values":[0.07111111111111111,0.7333333333333333,0.7955555555555556,0.8355555555555556]},{"aahu":null,"module_id":"RipR","quantity":[0.0,1.080693297,1.080693297,1.080693297],"scores":{},"values":[0.06666666666666667,0.7333333333333333,0.7955555555555556,0.8355555555555556]},{"aahu":null,"module_id":"Ins","quantity":[3.8702331054545454,3.02928145087236,3.02928145087236,3.02928145087236],"scores":{},"values":[0.31761913066513625,0.8718292977795244,0.8749542977795245,0.8812042977795245]}]},{"costs":{"annual_override":null,"construction_months":9.0,"first_costs":{"adaptive_management":69109.0,"construction":691092.0,"monitoring":56000.0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removal","percent":0.0,"quantity":2378.15424,"quantity_units":"ft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repair","percent":0.1,"quantity":0.0,"quantity_units":"","unit_rate":0.0}]},"description":"Remove concrete with small scale channel restoration","id":"Alternative2","is_no_action":false,"name":"Alternative 2","outputs":[{"aahu":null,"module_id":"RipL","quantity":[0.0,0.389049587,0.389049587,0.389049587],"scores":{},"values":[0.07111111111111111,0.6666666666666666,0.7777777777777778,0.7777777777777778]},{"aahu":null,"module_id":"RipR","quantity":[0.0,0.389049587,0.389049587,0.389049587],"scores":{},"values":[0.06666666666666667,0.6666666666666666,0.7777777777777778,0.7777777777777778]},{"aahu":null,"module_id":"Ins","quantity":[3.8702331054545454,2.7297454545454545,2.7297454545454545,2.7297454545454545],"scores":{},"values":[0.31761913066513625,0.6770978784844941,0.6833478784844941,0.6895978784844942]}]},{"costs":{"annual_override":null,"construction_months":11.0,"first_costs":{"adaptive_management":79878.0,"construction":798779.0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removal","percent":0.0,"quantity":2639.11,"quantity_units":"ft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repair","percent":0.1,"quantity":0.0,"quantity_units":"","unit_rate":0.0}]},"description":"Chain of wetlands","id":"Alternative3","is_no_action":false,"name":"Alternative 3","outputs":[{"aahu":null,"module_id":"RipL","quantity":[0.0,2.67231405,2.67231405,2.67231405],"scores":{},"values":[0.07111111111111111,0.7333333333333333,0.7955555555555556,0.8355555555555556]},{"aahu":null,"module_id":"RipR","quantity":[0.0,2.67231405,2.67231405,2.67231405],"scores":{},"values":[0.06666666666666667,0.7333333333333333,0.7955555555555556,0.8355555555555556]},{"aahu":null,"module_id":"Ins","quantity":[3.8702331054545454,4.294915241046832,4.294915241046832,4.294915241046832],"scores":{},"values":[0.31761913066513625,0.8770376311128578,0.8864126311128578,0.8926626311128578]}]}],"description":"A 0.45-mile trapezoidal concrete channel through the John A. White Golf Course, with mowed turf to the channel edge and no forested riparian zone.","id":"17F2M","name":"Golf course concrete channel","staf_not_assessed":{},"staf_source":{}},{"alternatives":[{"costs":{"annual_override":null,"construction_months":0.0,"first_costs":{"adaptive_management":0.0,"construction":0.0,"monitoring":0.0},"recurring":[]},"description":"Future without project","id":"FWOP","is_no_action":true,"name":"No Action","outputs":[{"aahu":null,"module_id":"RipL","quantity":[6.633146182,6.633146182,6.633146182,6.633146182],"scores":{},"values":[0.30222222222222217,0.30222222222222217,0.30222222222222217,0.30222222222222217]},{"aahu":null,"module_id":"RipR","quantity":[8.613189818,8.613189818,8.613189818,8.613189818],"scores":{},"values":[0.27777777777777785,0.27777777777777785,0.27777777777777785,0.27777777777777785]},{"aahu":null,"module_id":"Ins","quantity":[6.345030006060606,6.345030006060606,6.345030006060606,6.345030006060606],"scores":{},"values":[0.3715379126397268,0.3715379126397268,0.3715379126397268,0.3715379126397268]}]},{"costs":{"annual_override":null,"construction_months":14.0,"first_costs":{"adaptive_management":160628.0,"construction":1070854.0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removal","percent":0.0,"quantity":3610.57488,"quantity_units":"ft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repair","percent":0.1,"quantity":0.0,"quantity_units":"","unit_rate":0.0}]},"description":"Concrete channel removal with left bank wetland","id":"Alternative1","is_no_action":false,"name":"Alternative 1","outputs":[{"aahu":null,"module_id":"RipL","quantity":[6.633146182,10.87132341,10.87132341,10.87132341],"scores":{},"values":[0.30222222222222217,0.8088888888888889,0.9066666666666666,0.8800000000000002]},{"aahu":null,"module_id":"RipR","quantity":[8.613189818,10.17680322,10.17680322,10.17680322],"scores":{},"values":[0.27777777777777785,0.58,0.6377777777777778,0.6955555555555555]},{"aahu":null,"module_id":"Ins","quantity":[6.345030006060606,5.802117575757576,5.802117575757576,5.802117575757576],"scores":{},"values":[0.3715379126397268,0.9125,0.9156249999999999,0.9156249999999999]}]},{"costs":{"annual_override":null,"construction_months":14.0,"first_costs":{"adaptive_management":106567.0,"construction":1065670.0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removal","percent":0.0,"quantity":3610.57488,"quantity_units":"ft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repair","percent":0.1,"quantity":0.0,"quantity_units":"","unit_rate":0.0}]},"description":"Concrete channel removal with bankfull bench","id":"Alternative2","is_no_action":false,"name":"Alternative 2","outputs":[{"aahu":null,"module_id":"RipL","quantity":[6.633146182,8.240125062,8.240125062,8.240125062],"scores":{},"values":[0.30222222222222217,0.7377777777777778,0.8088888888888889,0.831111111111111]},{"aahu":null,"module_id":"RipR","quantity":[8.613189818,10.2201687,10.2201687,10.2201687],"scores":{},"values":[0.27777777777777785,0.58,0.6377777777777778,0.6955555555555555]},{"aahu":null,"module_id":"Ins","quantity":[6.345030006060606,5.802117575757576,5.802117575757576,5.802117575757576],"scores":{},"values":[0.3715379126397268,0.884375,0.8875,0.8937499999999999]}]},{"costs":{"annual_override":null,"construction_months":2.0,"first_costs":{"adaptive_management":27623.0,"construction":276233.0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removal","percent":0.0,"quantity":3610.57488,"quantity_units":"ft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repair","percent":0.1,"quantity":0.0,"quantity_units":"","unit_rate":0.0}]},"description":"Stabilization with natural bed and grade control","id":"Alternative3","is_no_action":false,"name":"Alternative 3","outputs":[{"aahu":null,"module_id":"RipL","quantity":[6.633146182,6.633146182,6.633146182,6.633146182],"scores":{},"values":[0.30222222222222217,0.611111111111111,0.6911111111111111,0.6955555555555556]},{"aahu":null,"module_id":"RipR","quantity":[8.613189818,8.613189818,8.613189818,8.613189818],"scores":{},"values":[0.27777777777777785,0.5377777777777778,0.5777777777777778,0.5822222222222222]},{"aahu":null,"module_id":"Ins","quantity":[6.345030006060606,5.802117575757576,5.802117575757576,5.802117575757576],"scores":{},"values":[0.3715379126397268,0.614591157805005,0.6270911578050049,0.6395911578050049]}]}],"description":"A 0.68-mile trapezoidal concrete channel from the golf course to Beecher Road Southwest, with a mostly forested riparian zone near residences.","id":"17D2E","name":"Concrete channel to Beecher Road","staf_not_assessed":{},"staf_source":{}},{"alternatives":[{"costs":{"annual_override":null,"construction_months":0.0,"first_costs":{"adaptive_management":0.0,"construction":0.0,"monitoring":0.0},"recurring":[]},"description":"Future without project","id":"FWOP","is_no_action":true,"name":"No Action","outputs":[{"aahu":null,"module_id":"RipL","quantity":[74.75713855,74.75713855,74.75713855,74.75713855],"scores":{},"values":[0.7200000000000001,0.7200000000000001,0.7200000000000001,0.7200000000000001]},{"aahu":null,"module_id":"RipR","quantity":[25.39956615,25.39956615,25.39956615,25.39956615],"scores":{},"values":[0.8911111111111111,0.8911111111111111,0.8911111111111111,0.8911111111111111]},{"aahu":null,"module_id":"Ins","quantity":[10.516303792727273,10.516303792727273,10.516303792727273,10.516303792727273],"scores":{},"values":[0.4444953665234117,0.4444953665234117,0.4444953665234117,0.4444953665234117]}]},{"costs":{"annual_override":null,"construction_months":12.0,"first_costs":{"adaptive_management":150405.0,"construction":1002697.0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removal","percent":0.0,"quantity":6461.98608,"quantity_units":"ft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repair","percent":0.1,"quantity":0.0,"quantity_units":"","unit_rate":0.0}]},"description":"Channel and bank stabilization with beaver removal","id":"Alternative1","is_no_action":false,"name":"Alternative 1","outputs":[{"aahu":null,"module_id":"RipL","quantity":[74.75713855,74.96187914,74.96187914,74.96187914],"scores":{},"values":[0.7200000000000001,0.8022222222222223,0.8066666666666666,0.8066666666666666]},{"aahu":null,"module_id":"RipR","quantity":[25.39956615,25.60552345,25.60552345,25.60552345],"scores":{},"values":[0.8911111111111111,0.8999999999999999,0.8999999999999999,0.8999999999999999]},{"aahu":null,"module_id":"Ins","quantity":[10.516303792727273,12.60947696969697,12.60947696969697,12.60947696969697],"scores":{},"values":[0.4444953665234117,0.8744447218742585,0.8786113885409251,0.8817363885409251]}]},{"costs":{"annual_override":null,"construction_months":12.0,"first_costs":{"adaptive_management":132147.0,"construction":880983.0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removal","percent":0.0,"quantity":6461.98608,"quantity_units":"ft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repair","percent":0.1,"quantity":0.0,"quantity_units":"","unit_rate":0.0}]},"description":"Channel and bank stabilization","id":"Alternative2","is_no_action":false,"name":"Alternative 2","outputs":[{"aahu":null,"module_id":"RipL","quantity":[74.75713855,74.96187914,74.96187914,74.96187914],"scores":{},"values":[0.7200000000000001,0.8022222222222223,0.8266666666666668,0.8266666666666668]},{"aahu":null,"module_id":"RipR","quantity":[25.39956615,25.60552345,25.60552345,25.60552345],"scores":{},"values":[0.8911111111111111,0.8955555555555555,0.9088888888888889,0.9088888888888889]},{"aahu":null,"module_id":"Ins","quantity":[10.516303792727273,12.60947696969697,12.60947696969697,12.60947696969697],"scores":{},"values":[0.4444953665234117,0.9004863885409252,0.9077780552075918,0.9077780552075918]}]},{"costs":{"annual_override":null,"construction_months":2.0,"first_costs":{"adaptive_management":38642.0,"construction":257611.0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removal","percent":0.0,"quantity":6461.98608,"quantity_units":"ft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repair","percent":0.1,"quantity":0.0,"quantity_units":"","unit_rate":0.0}]},"description":"Bank stabilization","id":"Alternative3","is_no_action":false,"name":"Alternative 3","outputs":[{"aahu":null,"module_id":"RipL","quantity":[74.75713855,74.75713855,74.75713855,74.75713855],"scores":{},"values":[0.7200000000000001,0.7288888888888888,0.7333333333333334,0.7333333333333334]},{"aahu":null,"module_id":"RipR","quantity":[25.39956615,25.39956615,25.39956615,25.39956615],"scores":{},"values":[0.8911111111111111,0.8955555555555555,0.8955555555555555,0.8955555555555555]},{"aahu":null,"module_id":"Ins","quantity":[10.516303792727273,10.516303792727273,10.516303792727273,10.516303792727273],"scores":{},"values":[0.4444953665234117,0.6153286998567451,0.6267870331900784,0.6267870331900784]}]}],"description":"A 1.2-mile reach with a natural channel bottom beside the Southwest Connector Trail, downstream of the concrete channels.","id":"17B","name":"Southwest Connector Trail reach","staf_not_assessed":{},"staf_source":{}},{"alternatives":[{"costs":{"annual_override":null,"construction_months":0.0,"first_costs":{"adaptive_management":0.0,"construction":0.0,"monitoring":0.0},"recurring":[]},"description":"Future without project","id":"FWOP","is_no_action":true,"name":"No Action","outputs":[{"aahu":null,"module_id":"RipL","quantity":[29.20848246,29.20848246,29.20848246,29.20848246],"scores":{},"values":[0.3022222222222222,0.3022222222222222,0.3022222222222222,0.3022222222222222]},{"aahu":null,"module_id":"RipR","quantity":[32.19387628,32.19387628,32.19387628,32.19387628],"scores":{},"values":[0.648888888888889,0.648888888888889,0.648888888888889,0.648888888888889]},{"aahu":null,"module_id":"Ins","quantity":[3.9759428279550906,3.9759428279550906,3.9759428279550906,3.9759428279550906],"scores":{},"values":[0.4809229085302892,0.4809229085302892,0.4809229085302892,0.4809229085302892]}]},{"costs":{"annual_override":null,"construction_months":6.0,"first_costs":{"adaptive_management":55770.0,"construction":557695.0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removal","percent":0.0,"quantity":3889.0,"quantity_units":"ft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repair","percent":0.1,"quantity":0.0,"quantity_units":"","unit_rate":0.0}]},"description":"Channel realignment","id":"Alternative1","is_no_action":false,"name":"Alternative 1","outputs":[{"aahu":null,"module_id":"RipL","quantity":[29.20848246,30.00616382,30.00616382,30.00616382],"scores":{},"values":[0.3022222222222222,0.8266666666666665,0.8777777777777778,0.8866666666666667]},{"aahu":null,"module_id":"RipR","quantity":[32.19387628,32.99155764,32.99155764,32.99155764],"scores":{},"values":[0.648888888888889,0.9022222222222224,0.9444444444444445,0.948888888888889]},{"aahu":null,"module_id":"Ins","quantity":[3.9759428279550906,8.92791551882461,8.92791551882461,4.134712381213269],"scores":{},"values":[0.4809229085302892,0.9010416666666666,0.9010416666666666,0.9010416666666666]}]},{"costs":{"annual_override":null,"construction_months":5.0,"first_costs":{"adaptive_management":74714.0,"construction":498094.0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removal","percent":0.0,"quantity":3739.6656,"quantity_units":"ft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repair","percent":0.1,"quantity":0.0,"quantity_units":"","unit_rate":0.0}]},"description":"Channel shaping with bankfull bench","id":"Alternative2","is_no_action":false,"name":"Alternative 2","outputs":[{"aahu":null,"module_id":"RipL","quantity":[29.20848246,30.58180661,30.58180661,30.58180661],"scores":{},"values":[0.3022222222222222,0.7711111111111112,0.8288888888888889,0.8488888888888889]},{"aahu":null,"module_id":"RipR","quantity":[32.19387628,33.22307738,33.22307738,33.22307738],"scores":{},"values":[0.648888888888889,0.8066666666666666,0.8466666666666667,0.8666666666666668]},{"aahu":null,"module_id":"Ins","quantity":[3.9759</t>
        </is>
      </c>
      <c r="D2" t="inlineStr">
        <is>
          <t>428279550906,3.9759428279550906,3.9759428279550906,3.9759428279550906],"scores":{},"values":[0.4809229085302892,0.8624999999999999,0.8624999999999999,0.8624999999999999]}]},{"costs":{"annual_override":null,"construction_months":2.0,"first_costs":{"adaptive_management":55247.0,"construction":276233.0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removal","percent":0.0,"quantity":3739.6656,"quantity_units":"ft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repair","percent":0.1,"quantity":0.0,"quantity_units":"","unit_rate":0.0}]},"description":"Minor instream structures","id":"Alternative3","is_no_action":false,"name":"Alternative 3","outputs":[{"aahu":null,"module_id":"RipL","quantity":[29.20848246,29.20848246,29.20848246,29.20848246],"scores":{},"values":[0.3022222222222222,0.3977777777777778,0.3977777777777778,0.3977777777777778]},{"aahu":null,"module_id":"RipR","quantity":[32.19387628,32.19387628,32.19387628,32.19387628],"scores":{},"values":[0.648888888888889,0.6622222222222223,0.6622222222222223,0.6622222222222223]},{"aahu":null,"module_id":"Ins","quantity":[3.9759428279550906,3.9759428279550906,3.9759428279550906,3.9759428279550906],"scores":{},"values":[0.4809229085302892,0.7749999999999999,0.7749999999999999,0.7749999999999999]}]}],"description":"A 0.71-mile reach at the downstream end of North Utoy Creek, in a powerline easement that limits riparian cover and bank stability.","id":"2A","name":"Lower North Utoy powerline reach","staf_not_assessed":{},"staf_source":{}},{"alternatives":[{"costs":{"annual_override":null,"construction_months":0.0,"first_costs":{"adaptive_management":0.0,"construction":0.0,"monitoring":0.0},"recurring":[]},"description":"Future without project","id":"FWOP","is_no_action":true,"name":"No Action","outputs":[{"aahu":null,"module_id":"RipL","quantity":[20.89978311,20.89978311,20.89978311,20.89978311],"scores":{},"values":[0.49999999999999994,0.49999999999999994,0.49999999999999994,0.49999999999999994]},{"aahu":null,"module_id":"RipR","quantity":[26.68614567,26.68614567,26.68614567,26.68614567],"scores":{},"values":[0.5244444444444444,0.5244444444444444,0.5244444444444444,0.5244444444444444]},{"aahu":null,"module_id":"Ins","quantity":[5.246508898181817,5.246508898181817,5.246508898181817,5.246508898181817],"scores":{},"values":[0.42916666666666664,0.42916666666666664,0.42916666666666664,0.42916666666666664]}]},{"costs":{"annual_override":null,"construction_months":4.0,"first_costs":{"adaptive_management":39450.0,"construction":394496.0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removal","percent":0.0,"quantity":4504.98576,"quantity_units":"ft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repair","percent":0.1,"quantity":0.0,"quantity_units":"","unit_rate":0.0}]},"description":"Channel realignment","id":"Alternative1","is_no_action":false,"name":"Alternative 1","outputs":[{"aahu":null,"module_id":"RipL","quantity":[20.89978311,22.2767574,22.2767574,22.2767574],"scores":{},"values":[0.49999999999999994,0.8422222222222221,0.9044444444444446,0.908888888888889]},{"aahu":null,"module_id":"RipR","quantity":[26.68614567,27.95159563,27.95159563,27.95159563],"scores":{},"values":[0.5244444444444444,0.8422222222222223,0.9,0.9088888888888889]},{"aahu":null,"module_id":"Ins","quantity":[5.246508898181817,8.273619393939393,8.273619393939393,8.273619393939393],"scores":{},"values":[0.42916666666666664,0.7916666666666666,0.7916666666666666,0.7916666666666666]}]},{"costs":{"annual_override":null,"construction_months":4.0,"first_costs":{"adaptive_management":60096.0,"construction":400638.0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removal","percent":0.0,"quantity":4504.98576,"quantity_units":"ft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repair","percent":0.1,"quantity":0.0,"quantity_units":"","unit_rate":0.0}]},"description":"Channel shaping with bankfull bench","id":"Alternative2","is_no_action":false,"name":"Alternative 2","outputs":[{"aahu":null,"module_id":"RipL","quantity":[20.89978311,21.72112149,21.72112149,21.72112149],"scores":{},"values":[0.49999999999999994,0.7533333333333333,0.7777777777777777,0.7933333333333333]},{"aahu":null,"module_id":"RipR","quantity":[26.68614567,27.56074393,27.56074393,27.56074393],"scores":{},"values":[0.5244444444444444,0.7711111111111112,0.7955555555555556,0.8111111111111112]},{"aahu":null,"module_id":"Ins","quantity":[5.246508898181817,5.246508898181817,5.246508898181817,5.246508898181817],"scores":{},"values":[0.42916666666666664,0.7583333333333333,0.7583333333333333,0.7583333333333333]}]},{"costs":{"annual_override":null,"construction_months":2.0,"first_costs":{"adaptive_management":55247.0,"construction":276233.0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removal","percent":0.0,"quantity":4504.98576,"quantity_units":"ft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repair","percent":0.1,"quantity":0.0,"quantity_units":"","unit_rate":0.0}]},"description":"Minor instream structures","id":"Alternative3","is_no_action":false,"name":"Alternative 3","outputs":[{"aahu":null,"module_id":"RipL","quantity":[20.89978311,20.89978311,20.89978311,20.89978311],"scores":{},"values":[0.49999999999999994,0.5644444444444444,0.5644444444444444,0.5644444444444444]},{"aahu":null,"module_id":"RipR","quantity":[26.68614567,26.68614567,26.68614567,26.68614567],"scores":{},"values":[0.5244444444444444,0.6311111111111111,0.6311111111111111,0.6311111111111111]},{"aahu":null,"module_id":"Ins","quantity":[5.246508898181817,5.246508898181817,5.246508898181817,5.246508898181817],"scores":{},"values":[0.42916666666666664,0.6916666666666667,0.6916666666666667,0.6916666666666667]}]}],"description":"A 0.85-mile reach just upstream of Site 2A, also in a powerline easement.","id":"2B","name":"North Utoy powerline reach","staf_not_assessed":{},"staf_source":{}},{"alternatives":[{"costs":{"annual_override":null,"construction_months":0.0,"first_costs":{"adaptive_management":0.0,"construction":0.0,"monitoring":0.0},"recurring":[]},"description":"Future without project","id":"FWOP","is_no_action":true,"name":"No Action","outputs":[{"aahu":null,"module_id":"RipL","quantity":[7.729478182,7.729478182,7.729478182,7.729478182],"scores":{},"values":[0.791111111111111,0.791111111111111,0.791111111111111,0.791111111111111]},{"aahu":null,"module_id":"RipR","quantity":[12.48167588,12.48167588,12.48167588,12.48167588],"scores":{},"values":[0.791111111111111,0.791111111111111,0.791111111111111,0.791111111111111]},{"aahu":null,"module_id":"Ins","quantity":[6.121174166060607,6.121174166060607,6.121174166060607,6.121174166060607],"scores":{},"values":[0.49079597042521084,0.49079597042521084,0.49079597042521084,0.49079597042521084]}]},{"costs":{"annual_override":null,"construction_months":8.0,"first_costs":{"adaptive_management":132216.0,"construction":1762881.0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removal","percent":0.0,"quantity":2494.04496,"quantity_units":"ft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repair","percent":0.1,"quantity":0.0,"quantity_units":"","unit_rate":0.0}]},"description":"Bridge replacement with extensive action","id":"Alternative1","is_no_action":false,"name":"Alternative 1","outputs":[{"aahu":null,"module_id":"RipL","quantity":[7.729478182,7.729478182,7.729478182,7.729478182],"scores":{},"values":[0.791111111111111,0.8911111111111111,0.8955555555555555,0.8955555555555555]},{"aahu":null,"module_id":"RipR","quantity":[12.48167588,12.48167588,12.48167588,12.48167588],"scores":{},"values":[0.791111111111111,0.8911111111111111,0.8955555555555555,0.8955555555555555]},{"aahu":null,"module_id":"Ins","quantity":[6.121174166060607,2.2902157575757576,2.2902157575757576,2.2902157575757576],"scores":{},"values":[0.49079597042521084,0.8239583333333333,0.8239583333333333,0.8239583333333333]}]},{"costs":{"annual_override":null,"construction_months":14.0,"first_costs":{"adaptive_management":167902.0,"construction":1679017.0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removal","percent":0.0,"quantity":2494.04496,"quantity_units":"ft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repair","percent":0.1,"quantity":0.0,"quantity_units":"","unit_rate":0.0}]},"description":"Bridge replacement with minor action","id":"Alternative2","is_no_action":false,"name":"Alternative 2","outputs":[{"aahu":null,"module_id":"RipL","quantity":[7.729478182,7.729478182,7.729478182,7.729478182],"scores":{},"values":[0.791111111111111,0.8733333333333334,0.8733333333333334,0.8777777777777778]},{"aahu":null,"module_id":"RipR","quantity":[12.48167588,12.48167588,12.48167588,12.48167588],"scores":{},"values":[0.791111111111111,0.8733333333333334,0.8733333333333334,0.8777777777777778]},{"aahu":null,"module_id":"Ins","quantity":[6.121174166060607,6.121174166060607,6.121174166060607,6.121174166060607],"scores":{},"values":[0.49079597042521084,0.7109209704252109,0.7109209704252109,0.7109209704252109]}]},{"costs":{"annual_override":null,"construction_months":2.0,"first_costs":{"adaptive_management":40079.0,"construction":267190.0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removal","percent":0.0,"quantity":2494.04496,"quantity_units":"ft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repair","percent":0.1,"quantity":0.0,"quantity_units":"","unit_rate":0.0}]},"description":"Bank stabilization","id":"Alternative3","is_no_action":false,"name":"Alternative 3","outputs":[{"aahu":null,"module_id":"RipL","quantity":[7.729478182,7.729478182,7.729478182,7.729478182],"scores":{},"values":[0.791111111111111,0.8288888888888889,0.8422222222222223,0.8422222222222223]},{"aahu":null,"module_id":"RipR","quantity":[12.48167588,12.48167588,12.48167588,12.48167588],"scores":{},"values":[0.791111111111111,0.8288888888888889,0.8422222222222223,0.8422222222222223]},{"aahu":null,"module_id":"Ins","quantity":[6.121174166060607,6.121174166060607,6.121174166060607,6.121174166060607],"scores":{},"values":[0.49079597042521084,0.5845459704252108,0.5845459704252108,0.5845459704252108]}]}],"description":"A 0.47-mile reach of South Utoy Creek from the Cascade Springs Nature Preserve, with two bridges that cause erosion and fish passage problems.","id":"3E","name":"Cascade Springs road crossings","staf_not_assessed":{},"staf_source":{}},{"alternatives":[{"costs":{"annual_override":null,"construction_months":0.0,"first_costs":{"adaptive_management":0.0,"construction":0.0,"monitoring":0.0},"recurring":[]},"description":"Future without project","id":"FWOP","is_no_action":true,"name":"No Action","outputs":[{"aahu":null,"module_id":"RipL","quantity":[18.10577455,18.10577455,18.10577455,18.10577455],"scores":{},"values":[0.791111111111111,0.791111111111111,0.791111111111111,0.791111111111111]},{"aahu":null,"module_id":"RipR","quantity":[25.95161018,25.95161018,25.95161018,25.95161018],"scores":{},"values":[0.791111111111111,0.791111111111111,0.791111111111111,0.791111111111111]},{"aahu":null,"module_id":"Ins","quantity":[9.816347432727273,9.816347432727273,9.816347432727273,9.816347432727273],"scores":{},"values":[0.6242133784794707,0.6242133784794707,0.6085883784794707,0.6085883784794707]}]},{"costs":{"annual_override":null,"construction_months":3.0,"first_costs":{"adaptive_management":69221.0,"construction":276883.0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removal","percent":0.0,"quantity":4381.59744,"quantity_units":"ft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repair","percent":0.1,"quantity":0.0,"quantity_units":"","unit_rate":0.0}]},"description":"Large wood structures for 50% of reach","id":"Alternative1","is_no_action":false,"name":"Alternative 1","outputs":[{"aahu":null,"module_id":"RipL","quantity":[18.10577455,18.10577455,18.10577455,18.10577455],"scores":{},"values":[0.791111111111111,0.831111111111111,0.8688888888888888,0.8733333333333334]},{"aahu":null,"module_id":"RipR","quantity":[25.95161018,25.95161018,25.95161018,25.95161018],"scores":{},"values":[0.791111111111111,0.831111111111111,0.8688888888888888,0.8733333333333334]},{"aahu":null,"module_id":"Ins","quantity":[9.816347432727273,9.816347432727273,9.816347432727273,9.816347432727273],"scores":{},"values":[0.6242133784794707,0.7669217118128039,0.7700467118128039,0.7700467118128039]}]},{"costs":{"annual_override":null,"construction_months":2.0,"first_costs":{"adaptive_management":58176.0,"construction":232705.0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removal","percent":0.0,"quantity":4381.59744,"quantity_units":"ft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repair","percent":0.1,"quantity":0.0,"quantity_units":"","unit_rate":0.0}]},"description":"Large wood structures for 25% of reach","id":"Alternative2","is_no_action":false,"name":"Alternative 2","outputs":[{"aahu":null,"module_id":"RipL","quantity":[18.10577455,18.10577455,18.10577455,18.10577455],"scores":{},"values":[0.791111111111111,0.8044444444444444,0.8422222222222223,0.8466666666666667]},{"aahu":null,"module_id":"RipR","quantity":[25.95161018,25.95161018,25.95161018,25.95161018],"scores":{},"values":[0.791111111111111,0.8044444444444444,0.8422222222222223,0.8466666666666667]},{"aahu":null,"module_id":"Ins","quantity":[9.816347432727273,9.816347432727273,9.816347432727273,9.816347432727273],"scores":{},"values":[0.6242133784794707,0.6992133784794706,0.7106717118128039,0.7106717118128039]}]},{"costs":{"annual_override":null,"construction_months":5.0,"first_costs":{"adaptive_management":30429.0,"construction":121714.0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removal","percent":0.0,"quantity":4381.59744,"quantity_units":"ft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repair","percent":0.1,"quantity":0.0,"quantity_units":"","unit_rate":0.0}]},"description":"Beaver reintroduction","id":"Alternative3","is_no_action":false,"name":"Alternative 3","outputs":[{"aahu":null,"module_id":"RipL","quantity":[18.10577455,18.10577455,18.10577455,18.10577455],"scores":{},"values":[0.791111111111111,0.8466666666666667,0.8555555555555556,0.8555555555555556]},{"aahu":null,"module_id":"RipR","quantity":[25.95161018,25.95161018,25.95161018,25.95161018],"scores":{},"values":[0.791111111111111,0.8466666666666667,0.8555555555555556,0.8555555555555556]},{"aahu":null,"module_id":"Ins","quantity":[9.816347432727273,9.816347432727273,9.816347432727273,9.816347432727273],"scores":{},"values":[0.6242133784794707,0.6617133784794706,0.6742133784794706,0.6825467118128039]}]}],"description":"A 0.83-mile over-widened, sediment-laden reach of South Utoy Creek, used to explore innovative low-cost restoration methods.","id":"3F","name":"Dodson Drive to Harbin Road","staf_not_assessed":{},"staf_source":{}},{"alternatives":[{"costs":{"annual_override":null,"construction_months":0.0,"first_costs":{"adaptive_management":0.0,"construction":0.0,"monitoring":0.0},"recurring":[]},"description":"Future without project","id":"FWOP","is_no_action":true,"name":"No Action","outputs":[{"aahu":null,"module_id":"RipL","quantity":[7.962850909,7.962850909,7.962850909,7.962850909],"scores":{},"values":[0.6777777777777777,0.6777777777777777,0.6777777777777777,0.6777777777777777]},{"aahu":null,"module_id":"RipR","quantity":[23.08072727,23.08072727,23.08072727,23.08072727],"scores":{},"values":[0.6777777777777777,0.6777777777777777,0.6777777777777777,0.6777777777777777]},{"aahu":null,"module_id":"Ins","quantity":[5.634005527272727,5.634005527272727,5.634005527272727,5.634005527272727],"scores":{},"values":[0.5792328388327692,0.5792328388327692,0.5792328388327692,0.5792328388327692]}]},{"costs":{"annual_override":null,"construction_months":6.0,"first_costs":{"adaptive_management":110329.0,"construction":551647.0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removal","percent":0.0,"quantity":5026.9824,"quantity_units":"ft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repair","percent":0.1,"quantity":0.0,"quantity_units":"","unit_rate":0.0}]},"description":"Floodplain bench for floodplain connectivity","id":"Alternative2","is_no_action":false,"name":"Alternative 2","outputs":[{"aahu":null,"module_id":"RipL","quantity":[7.962850909,13.00746753,13.00746753,13.00746753],"scores":{},"values":[0.6777777777777777,0.8133333333333334,0.8377777777777777,0.8488888888888889]},{"aahu":null,"module_id":"RipR","quantity":[23.08072727,28.12534389,28.12534389,28.12534389],"scores":{},"values":[0.6777777777777777,0.8177777777777778,0.8422222222222221,0.8533333333333332]},{"aahu":null,"module_id":"Ins","quantity":[5.634005527272727,12.337802763636363,12.337802763636363,12.337802763636363],"scores":{},"values":[0.5792328388327692,0.8084328388327692,0.8084328388327692,0.8084328388327692]}]},{"costs":{"annual_override":null,"construction_months":3.0,"first_costs":{"adaptive_management":45739.0,"construction":228693.0,"monitoring":48000.0},"recurring":[{"amount":10000.0,"basis":"FIXED","category_id":null,"every_years":1,"first_year":null,"id":"general","last_year":null,"name":"General maintenance","percent":0.0,"quantity":0.0,"quantity_units":"","unit_rate":0.0},{"amount":0.0,"basis":"RATE_X_QUANTITY","category_id":null,"every_years":2,"first_year":null,"id":"inspection","last_year":null,"name":"Inspection and trash removal","percent":0.0,"quantity":5026.9824,"quantity_units":"ft of reach","unit_rate":4.0},{"amount":15000.0,"basis":"FIXED","category_id":null,"every_years":10,"first_year":null,"id":"invasives","last_year":null,"name":"Invasive species control","percent":0.0,"quantity":0.0,"quantity_units":"","unit_rate":0.0},{"amount":0.0,"basis":"PCT_OF_CATEGORY","category_id":"construction","every_years":25,"first_year":null,"id":"repair","last_year":null,"name":"Wood, rock and earth repair","percent":0.1,"quantity":0.0,"quantity_units":"","unit_rate":0.0}]},"description":"Regrade segment around culvert","id":"Alternative3","is_no_action":false,"name":"Alternative 3","outputs":[{"aahu":null,"module_id":"RipL","quantity":[7.962850909,7.962850909,7.962850909,7.962850909],"scores":{},"values":[0.6777777777777777,0.7022222222222223,0.7155555555555555,0.7155555555555555]},{"aahu":null,"module_id":"RipR","quantity":[23.08072727,23.08072727,23.08072727,23.08072727],"scores":{},"values":[0.6777777777777777,0.7066666666666667,0.7200000000000001,0.7200000000000001]},{"aahu":null,"module_id":"Ins","quantity":[5.634005527272727,12.337802763636363,12.337802763636363,12.337802763636363],"scores":{},"values":[0.5792328388327692,0.7083995054994359,0.7083995054994359,0.7083995054994359]}]}],"description":"A 0.95-mile reach of South Utoy Creek along I-285 with high sedimentation. Alternative 1 was screened out for constructability.","id":"19A","name":"I-285 and Glenview Drive reach","staf_not_assessed":{},"staf_source":{}}],"watershed":{"carried":{},"mode":"RECOMMENDED","rules":[]}}</t>
        </is>
      </c>
    </row>
    <row r="3">
      <c r="A3" t="inlineStr">
        <is>
          <t>meta</t>
        </is>
      </c>
      <c r="B3" t="n">
        <v>7</v>
      </c>
      <c r="C3" t="inlineStr">
        <is>
          <t>{"appVersion":"1.0.0","engineVersion":"1","format":"ceica-calculator","formatVersion":2,"layout":[{"cell":"B4","kind":"number","path":["settings","discount_rate"],"sheet":"Parameters"},{"cell":"B5","kind":"number","path":["settings","period_of_analysis"],"sheet":"Parameters"},{"cell":"B6","kind":"number","path":["settings","idc_periods_per_year"],"sheet":"Parameters"},{"cell":"B7","kind":"text","path":["settings","idc_method"],"sheet":"Parameters"},{"cell":"B8","kind":"text","path":["settings","recurring_timing"],"sheet":"Parameters"},{"cell":"B9","kind":"number","path":["settings","cost_decimals"],"sheet":"Parameters"},{"cell":"B10","kind":"number","path":["settings","output_decimals"],"sheet":"Parameters"},{"cell":"B14","kind":"number","path":["benefits","target_years",0],"sheet":"Parameters"},{"cell":"C14","kind":"number","path":["benefits","target_years",1],"sheet":"Parameters"},{"cell":"D14","kind":"number","path":["benefits","target_years",2],"sheet":"Parameters"},{"cell":"E14","kind":"number","path":["benefits","target_years",3],"sheet":"Parameters"},{"cell":"F6","kind":"optional","path":["sites",0,"alternatives",0,"outputs",{"module_id":"RipL"},"values",0],"sheet":"Benefits"},{"cell":"J6","kind":"optional","path":["sites",0,"alternatives",0,"outputs",{"module_id":"RipL"},"quantity",0],"sheet":"Benefits"},{"cell":"G6","kind":"optional","path":["sites",0,"alternatives",0,"outputs",{"module_id":"RipL"},"values",1],"sheet":"Benefits"},{"cell":"K6","kind":"optional","path":["sites",0,"alternatives",0,"outputs",{"module_id":"RipL"},"quantity",1],"sheet":"Benefits"},{"cell":"H6","kind":"optional","path":["sites",0,"alternatives",0,"outputs",{"module_id":"RipL"},"values",2],"sheet":"Benefits"},{"cell":"L6","kind":"optional","path":["sites",0,"alternatives",0,"outputs",{"module_id":"RipL"},"quantity",2],"sheet":"Benefits"},{"cell":"I6","kind":"optional","path":["sites",0,"alternatives",0,"outputs",{"module_id":"RipL"},"values",3],"sheet":"Benefits"},{"cell":"M6","kind":"optional","path":["sites",0,"alternatives",0,"outputs",{"module_id":"RipL"},"quantity",3],"sheet":"Benefits"},{"cell":"F7","kind":"optional","path":["sites",0,"alternatives",1,"outputs",{"module_id":"RipL"},"values",0],"sheet":"Benefits"},{"cell":"J7","kind":"optional","path":["sites",0,"alternatives",1,"outputs",{"module_id":"RipL"},"quantity",0],"sheet":"Benefits"},{"cell":"G7","kind":"optional","path":["sites",0,"alternatives",1,"outputs",{"module_id":"RipL"},"values",1],"sheet":"Benefits"},{"cell":"K7","kind":"optional","path":["sites",0,"alternatives",1,"outputs",{"module_id":"RipL"},"quantity",1],"sheet":"Benefits"},{"cell":"H7","kind":"optional","path":["sites",0,"alternatives",1,"outputs",{"module_id":"RipL"},"values",2],"sheet":"Benefits"},{"cell":"L7","kind":"optional","path":["sites",0,"alternatives",1,"outputs",{"module_id":"RipL"},"quantity",2],"sheet":"Benefits"},{"cell":"I7","kind":"optional","path":["sites",0,"alternatives",1,"outputs",{"module_id":"RipL"},"values",3],"sheet":"Benefits"},{"cell":"M7","kind":"optional","path":["sites",0,"alternatives",1,"outputs",{"module_id":"RipL"},"quantity",3],"sheet":"Benefits"},{"cell":"F8","kind":"optional","path":["sites",0,"alternatives",2,"outputs",{"module_id":"RipL"},"values",0],"sheet":"Benefits"},{"cell":"J8","kind":"optional","path":["sites",0,"alternatives",2,"outputs",{"module_id":"RipL"},"quantity",0],"sheet":"Benefits"},{"cell":"G8","kind":"optional","path":["sites",0,"alternatives",2,"outputs",{"module_id":"RipL"},"values",1],"sheet":"Benefits"},{"cell":"K8","kind":"optional","path":["sites",0,"alternatives",2,"outputs",{"module_id":"RipL"},"quantity",1],"sheet":"Benefits"},{"cell":"H8","kind":"optional","path":["sites",0,"alternatives",2,"outputs",{"module_id":"RipL"},"values",2],"sheet":"Benefits"},{"cell":"L8","kind":"optional","path":["sites",0,"alternatives",2,"outputs",{"module_id":"RipL"},"quantity",2],"sheet":"Benefits"},{"cell":"I8","kind":"optional","path":["sites",0,"alternatives",2,"outputs",{"module_id":"RipL"},"values",3],"sheet":"Benefits"},{"cell":"M8","kind":"optional","path":["sites",0,"alternatives",2,"outputs",{"module_id":"RipL"},"quantity",3],"sheet":"Benefits"},{"cell":"F9","kind":"optional","path":["sites",0,"alternatives",3,"outputs",{"module_id":"RipL"},"values",0],"sheet":"Benefits"},{"cell":"J9","kind":"optional","path":["sites",0,"alternatives",3,"outputs",{"module_id":"RipL"},"quantity",0],"sheet":"Benefits"},{"cell":"G9","kind":"optional","path":["sites",0,"alternatives",3,"outputs",{"module_id":"RipL"},"values",1],"sheet":"Benefits"},{"cell":"K9","kind":"optional","path":["sites",0,"alternatives",3,"outputs",{"module_id":"RipL"},"quantity",1],"sheet":"Benefits"},{"cell":"H9","kind":"optional","path":["sites",0,"alternatives",3,"outputs",{"module_id":"RipL"},"values",2],"sheet":"Benefits"},{"cell":"L9","kind":"optional","path":["sites",0,"alternatives",3,"outputs",{"module_id":"RipL"},"quantity",2],"sheet":"Benefits"},{"cell":"I9","kind":"optional","path":["sites",0,"alternatives",3,"outputs",{"module_id":"RipL"},"values",3],"sheet":"Benefits"},{"cell":"M9","kind":"optional","path":["sites",0,"alternatives",3,"outputs",{"module_id":"RipL"},"quantity",3],"sheet":"Benefits"},{"cell":"F10","kind":"optional","path":["sites",1,"alternatives",0,"outputs",{"module_id":"RipL"},"values",0],"sheet":"Benefits"},{"cell":"J10","kind":"optional","path":["sites",1,"alternatives",0,"outputs",{"module_id":"RipL"},"quantity",0],"sheet":"Benefits"},{"cell":"G10","kind":"optional","path":["sites",1,"alternatives",0,"outputs",{"module_id":"RipL"},"values",1],"sheet":"Benefits"},{"cell":"K10","kind":"optional","path":["sites",1,"alternatives",0,"outputs",{"module_id":"RipL"},"quantity",1],"sheet":"Benefits"},{"cell":"H10","kind":"optional","path":["sites",1,"alternatives",0,"outputs",{"module_id":"RipL"},"values",2],"sheet":"Benefits"},{"cell":"L10","kind":"optional","path":["sites",1,"alternatives",0,"outputs",{"module_id":"RipL"},"quantity",2],"sheet":"Benefits"},{"cell":"I10","kind":"optional","path":["sites",1,"alternatives",0,"outputs",{"module_id":"RipL"},"values",3],"sheet":"Benefits"},{"cell":"M10","kind":"optional","path":["sites",1,"alternatives",0,"outputs",{"module_id":"RipL"},"quantity",3],"sheet":"Benefits"},{"cell":"F11","kind":"optional","path":["sites",1,"alternatives",1,"outputs",{"module_id":"RipL"},"values",0],"sheet":"Benefits"},{"cell":"J11","kind":"optional","path":["sites",1,"alternatives",1,"outputs",{"module_id":"RipL"},"quantity",0],"sheet":"Benefits"},{"cell":"G11","kind":"optional","path":["sites",1,"alternatives",1,"outputs",{"module_id":"RipL"},"values",1],"sheet":"Benefits"},{"cell":"K11","kind":"optional","path":["sites",1,"alternatives",1,"outputs",{"module_id":"RipL"},"quantity",1],"sheet":"Benefits"},{"cell":"H11","kind":"optional","path":["sites",1,"alternatives",1,"outputs",{"module_id":"RipL"},"values",2],"sheet":"Benefits"},{"cell":"L11","kind":"optional","path":["sites",1,"alternatives",1,"outputs",{"module_id":"RipL"},"quantity",2],"sheet":"Benefits"},{"cell":"I11","kind":"optional","path":["sites",1,"alternatives",1,"outputs",{"module_id":"RipL"},"values",3],"sheet":"Benefits"},{"cell":"M11","kind":"optional","path":["sites",1,"alternatives",1,"outputs",{"module_id":"RipL"},"quantity",3],"sheet":"Benefits"},{"cell":"F12","kind":"optional","path":["sites",1,"alternatives",2,"outputs",{"module_id":"RipL"},"values",0],"sheet":"Benefits"},{"cell":"J12","kind":"optional","path":["sites",1,"alternatives",2,"outputs",{"module_id":"RipL"},"quantity",0],"sheet":"Benefits"},{"cell":"G12","kind":"optional","path":["sites",1,"alternatives",2,"outputs",{"module_id":"RipL"},"values",1],"sheet":"Benefits"},{"cell":"K12","kind":"optional","path":["sites",1,"alternatives",2,"outputs",{"module_id":"RipL"},"quantity",1],"sheet":"Benefits"},{"cell":"H12","kind":"optional","path":["sites",1,"alternatives",2,"outputs",{"module_id":"RipL"},"values",2],"sheet":"Benefits"},{"cell":"L12","kind":"optional","path":["sites",1,"alternatives",2,"outputs",{"module_id":"RipL"},"quantity",2],"sheet":"Benefits"},{"cell":"I12","kind":"optional","path":["sites",1,"alternatives",2,"outputs",{"module_id":"RipL"},"values",3],"sheet":"Benefits"},{"cell":"M12","kind":"optional","path":["sites",1,"alternatives",2,"outputs",{"module_id":"RipL"},"quantity",3],"sheet":"Benefits"},{"cell":"F13","kind":"optional","path":["sites",1,"alternatives",3,"outputs",{"module_id":"RipL"},"values",0],"sheet":"Benefits"},{"cell":"J13","kind":"optional","path":["sites",1,"alternatives",3,"outputs",{"module_id":"RipL"},"quantity",0],"sheet":"Benefits"},{"cell":"G13","kind":"optional","path":["sites",1,"alternatives",3,"outputs",{"module_id":"RipL"},"values",1],"sheet":"Benefits"},{"cell":"K13","kind":"optional","path":["sites",1,"alternatives",3,"outputs",{"module_id":"RipL"},"quantity",1],"sheet":"Benefits"},{"cell":"H13","kind":"optional","path":["sites",1,"alternatives",3,"outputs",{"module_id":"RipL"},"values",2],"sheet":"Benefits"},{"cell":"L13","kind":"optional","path":["sites",1,"alternatives",3,"outputs",{"module_id":"RipL"},"quantity",2],"sheet":"Benefits"},{"cell":"I13","kind":"optional","path":["sites",1,"alternatives",3,"outputs",{"module_id":"RipL"},"values",3],"sheet":"Benefits"},{"cell":"M13","kind":"optional","path":["sites",1,"alternatives",3,"outputs",{"module_id":"RipL"},"quantity",3],"sheet":"Benefits"},{"cell":"F14","kind":"optional","path":["sites",2,"alternatives",0,"outputs",{"module_id":"RipL"},"values",0],"sheet":"Benefits"},{"cell":"J14","kind":"optional","path":["sites",2,"alternatives",0,"outputs",{"module_id":"RipL"},"quantity",0],"sheet":"Benefits"},{"cell":"G14","kind":"optional","path":["sites",2,"alternatives",0,"outputs",{"module_id":"RipL"},"values",1],"sheet":"Benefits"},{"cell":"K14","kind":"optional","path":["sites",2,"alternatives",0,"outputs",{"module_id":"RipL"},"quantity",1],"sheet":"Benefits"},{"cell":"H14","kind":"optional","path":["sites",2,"alternatives",0,"outputs",{"module_id":"RipL"},"values",2],"sheet":"Benefits"},{"cell":"L14","kind":"optional","path":["sites",2,"alternatives",0,"outputs",{"module_id":"RipL"},"quantity",2],"sheet":"Benefits"},{"cell":"I14","kind":"optional","path":["sites",2,"alternatives",0,"outputs",{"module_id":"RipL"},"values",3],"sheet":"Benefits"},{"cell":"M14","kind":"optional","path":["sites",2,"alternatives",0,"outputs",{"module_id":"RipL"},"quantity",3],"sheet":"Benefits"},{"cell":"F15","kind":"optional","path":["sites",2,"alternatives",1,"outputs",{"module_id":"RipL"},"values",0],"sheet":"Benefits"},{"cell":"J15","kind":"optional","path":["sites",2,"alternatives",1,"outputs",{"module_id":"RipL"},"quantity",0],"sheet":"Benefits"},{"cell":"G15","kind":"optional","path":["sites",2,"alternatives",1,"outputs",{"module_id":"RipL"},"values",1],"sheet":"Benefits"},{"cell":"K15","kind":"optional","path":["sites",2,"alternatives",1,"outputs",{"module_id":"RipL"},"quantity",1],"sheet":"Benefits"},{"cell":"H15","kind":"optional","path":["sites",2,"alternatives",1,"outputs",{"module_id":"RipL"},"values",2],"sheet":"Benefits"},{"cell":"L15","kind":"optional","path":["sites",2,"alternatives",1,"outputs",{"module_id":"RipL"},"quantity",2],"sheet":"Benefits"},{"cell":"I15","kind":"optional","path":["sites",2,"alternatives",1,"outputs",{"module_id":"RipL"},"values",3],"sheet":"Benefits"},{"cell":"M15","kind":"optional","path":["sites",2,"alternatives",1,"outputs",{"module_id":"RipL"},"quantity",3],"sheet":"Benefits"},{"cell":"F16","kind":"optional","path":["sites",2,"alternatives",2,"outputs",{"module_id":"RipL"},"values",0],"sheet":"Benefits"},{"cell":"J16","kind":"optional","path":["sites",2,"alternatives",2,"outputs",{"module_id":"RipL"},"quantity",0],"sheet":"Benefits"},{"cell":"G16","kind":"optional","path":["sites",2,"alternatives",2,"outputs",{"module_id":"RipL"},"values",1],"sheet":"Benefits"},{"cell":"K16","kind":"optional","path":["sites",2,"alternatives",2,"outputs",{"module_id":"RipL"},"quantity",1],"sheet":"Benefits"},{"cell":"H16","kind":"optional","path":["sites",2,"alternatives",2,"outputs",{"module_id":"RipL"},"values",2],"sheet":"Benefits"},{"cell":"L16","kind":"optional","path":["sites",2,"alternatives",2,"outputs",{"module_id":"RipL"},"quantity",2],"sheet":"Benefits"},{"cell":"I16","kind":"optional","path":["sites",2,"alternatives",2,"outputs",{"module_id":"RipL"},"values",3],"sheet":"Benefits"},{"cell":"M16","kind":"optional","path":["sites",2,"alternatives",2,"outputs",{"module_id":"RipL"},"quantity",3],"sheet":"Benefits"},{"cell":"F17","kind":"optional","path":["sites",2,"alternatives",3,"outputs",{"module_id":"RipL"},"values",0],"sheet":"Benefits"},{"cell":"J17","kind":"optional","path":["sites",2,"alternatives",3,"outputs",{"module_id":"RipL"},"quantity",0],"sheet":"Benefits"},{"cell":"G17","kind":"optional","path":["sites",2,"alternatives",3,"outputs",{"module_id":"RipL"},"values",1],"sheet":"Benefits"},{"cell":"K17","kind":"optional","path":["sites",2,"alternatives",3,"outputs",{"module_id":"RipL"},"quantity",1],"sheet":"Benefits"},{"cell":"H17","kind":"optional","path":["sites",2,"alternatives",3,"outputs",{"module_id":"RipL"},"values",2],"sheet":"Benefits"},{"cell":"L17","kind":"optional","path":["sites",2,"alternatives",3,"outputs",{"module_id":"RipL"},"quantity",2],"sheet":"Benefits"},{"cell":"I17","kind":"optional","path":["sites",2,"alternatives",3,"outputs",{"module_id":"RipL"},"values",3],"sheet":"Benefits"},{"cell":"M17","kind":"optional","path":["sites",2,"alternatives",3,"outputs",{"module_id":"RipL"},"quantity",3],"sheet":"Benefits"},{"cell":"F18","kind":"optional","path":["sites",3,"alternatives",0,"outputs",{"module_id":"RipL"},"values",0],"sheet":"Benefits"},{"cell":"J18","kind":"optional","path":["sites",3,"alternatives",0,"outputs",{"module_id":"RipL"},"quantity",0],"sheet":"Benefits"},{"cell":"G18","kind":"optional","path":["sites",3,"alternatives",0,"outputs",{"module_id":"RipL"},"values",1],"sheet":"Benefits"},{"cell":"K18","kind":"optional","path":["sites",3,"alternatives",0,"outputs",{"module_id":"RipL"},"quantity",1],"sheet":"Benefits"},{"cell":"H18","kind":"optional","path":["sites",3,"alternatives",0,"outputs",{"module_id":"RipL"},"values",2],"sheet":"Benefits"},{"cell":"L18","kind":"optional","path":["sites",3,"alternatives",0,"outputs",{"module_id":"RipL"},"quantity",2],"sheet":"Benefits"},{"cell":"I18","kind":"optional","path":["sites",3,"alternatives",0,"outputs",{"module_id":"RipL"},"values",3],"sheet":"Benefits"},{"cell":"M18","kind":"optional","path":["sites",3,"alternatives",0,"outputs",{"module_id":"RipL"},"quantity",3],"sheet":"Benefits"},{"cell":"F19","kind":"optional","path":["sites",3,"alternatives",1,"outputs",{"module_id":"RipL"},"values",0],"sheet":"Benefits"},{"cell":"J19","kind":"optional","path":["sites",3,"alternatives",1,"outputs",{"module_id":"RipL"},"quantity",0],"sheet":"Benefits"},{"cell":"G19","kind":"optional","path":["sites",3,"alternatives",1,"outputs",{"module_id":"RipL"},"values",1],"sheet":"Benefits"},{"cell":"K19","kind":"optional","path":["sites",3,"alternatives",1,"outputs",{"module_id":"RipL"},"quantity",1],"sheet":"Benefits"},{"cell":"H19","kind":"optional","path":["sites",3,"alternatives",1,"outputs",{"module_id":"RipL"},"values",2],"sheet":"Benefits"},{"cell":"L19","kind":"optional","path":["sites",3,"alternatives",1,"outputs",{"module_id":"RipL"},"quantity",2],"sheet":"Benefits"},{"cell":"I19","kind":"optional","path":["sites",3,"alternatives",1,"outputs",{"module_id":"RipL"},"values",3],"sheet":"Benefits"},{"cell":"M19","kind":"optional","path":["sites",3,"alternatives",1,"outputs",{"module_id":"RipL"},"quantity",3],"sheet":"Benefits"},{"cell":"F20","kind":"optional","path":["sites",3,"alternatives",2,"outputs",{"module_id":"RipL"},"values",0],"sheet":"Benefits"},{"cell":"J20","kind":"optional","path":["sites",3,"alternatives",2,"outputs",{"module_id":"RipL"},"quantity",0],"sheet":"Benefits"},{"cell":"G20","kind":"optional","path":["sites",3,"alternatives",2,"outputs",{"module_id":"RipL"},"values",1],"sheet":"Benefits"},{"cell":"K20","kind":"optional","path":["sites",3,"alternatives",2,"outputs",{"module_id":"RipL"},"quantity",1],"sheet":"Benefits"},{"cell":"H20","kind":"optional","path":["sites",3,"alternatives",2,"outputs",{"module_id":"RipL"},"values",2],"sheet":"Benefits"},{"cell":"L20","kind":"optional","path":["sites",3,"alternatives",2,"outputs",{"module_id":"RipL"},"quantity",2],"sheet":"Benefits"},{"cell":"I20","kind":"optional","path":["sites",3,"alternatives",2,"outputs",{"module_id":"RipL"},"values",3],"sheet":"Benefits"},{"cell":"M20","kind":"optional","path":["sites",3,"alternatives",2,"outputs",{"module_id":"RipL"},"quantity",3],"sheet":"Benefits"},{"cell":"F21","kind":"optional","path":["sites",3,"alternatives",3,"outputs",{"module_id":"RipL"},"values",0],"sheet":"Benefits"},{"cell":"J21","kind":"optional","path":["sites",3,"alternatives",3,"outputs",{"module_id":"RipL"},"quantity",0],"sheet":"Benefits"},{"cell":"G21","kind":"optional","path":["sites",3,"alternatives",3,"outputs",{"module_id":"RipL"},"values",1],"sheet":"Benefits"},{"cell":"K21","kind":"optional","path":["sites",3,"alternatives",3,"outputs",{"module_id":"RipL"},"quantity",1],"sheet":"Benefits"},{"cell":"H21","kind":"optional","path":["sites",3,"alternatives",3,"outputs",{"module_id":"RipL"},"values",2],"sheet":"Benefits"},{"cell":"L21","kind":"optional","path":["sites",3,"alternatives",3,"outputs",{"module_id":"RipL"},"quantity",2],"sheet":"Benefits"},{"cell":"I21","kind":"optional","path":["sites",3,"alternatives",3,"outputs",{"module_id":"RipL"},"values",3],"sheet":"Benefits"},{"cell":"M21","kind":"optional","path":["sites",3,"alternatives",3,"outputs",{"module_id":"RipL"},"quantity",3],"sheet":"Benefits"},{"cell":"F22","kind":"optional","path":["sites",4,"alternatives",0,"outputs",{"module_id":"RipL"},"values",0],"sheet":"Benefits"},{"cell":"J22","kind":"optional","path":["sites",4,"alternatives",0,"outputs",{"module_id":"RipL"},"quantity",0],"sheet":"Benefits"},{"cell":"G22","kind":"optional","path":["sites",4,"alternatives",0,"outputs",{"module_id":"RipL"},"values",1],"sheet":"Benefits"},{"cell":"K22","kind":"optional","path":["sites",4,"alternatives",0,"outputs",{"module_id":"RipL"},"quantity",1],"sheet":"Benefits"},{"cell":"H22","kind":"optional","path":["sites",4,"alternatives",0,"outputs",{"module_id":"RipL"},"values",2],"sheet":"Benefits"},{"cell":"L22","kind":"optional","path":["sites",4,"alternatives",0,"outputs",{"module_id":"RipL"},"quantity",2],"sheet":"Benefits"},{"cell":"I22","kind":"optional","path":["sites",4,"alternatives",0,"outputs",{"module_id":"RipL"},"values",3],"sheet":"Benefits"},{"cell":"M22","kind":"optional","path":["sites",4,"alternatives",0,"outputs",{"module_id":"RipL"},"quantity",3],"sheet":"Benefits"},{"cell":"F23","kind":"optional","path":["sites",4,"alternatives",1,"outputs",{"module_id":"RipL"},"values",0],"sheet":"Benefits"},{"cell":"J23","kind":"optional","path":["sites",4,"alternatives",1,"outputs",{"module_id":"RipL"},"quantity",0],"sheet":"Benefits"},{"cell":"G23","kind":"optional","path":["sites",4,"alternatives",1,"outputs",{"module_id":"RipL"},"values",1],"sheet":"Benefits"},{"cell":"K23","kind":"optional","path":["sites",4,"alternatives",1,"outputs",{"module_id":"RipL"},"quantity",1],"sheet":"Benefits"},{"cell":"H23","kind":"optional","path":["sites",4,"alternatives",1,"outputs",{"module_id":"RipL"},"values",2],"sheet":"Benefits"},{"cell":"L23","kind":"optional","path":["sites",4,"alternatives",1,"outputs",{"module_id":"RipL"},"quantity",2],"sheet":"Benefits"},{"cell":"I23","kind":"optional","path":["sites",4,"alternatives",1,"outputs",{"module_id":"RipL"},"values",3],"sheet":"Benefits"},{"cell":"M23","kind":"optional","path":["sites",4,"alternatives",1,"outputs",{"module_id":"RipL"},"quantity",3],"sheet":"Benefits"},{"cell":"F24","kind":"optional","path":["sites",4,"alternatives",2,"outputs",{"module_id":"RipL"},"values",0],"sheet":"Benefits"},{"cell":"J24","kind":"optional","path":["sites",4,"alternatives",2,"outputs",{"module_id":"RipL"},"quantity",0],"sheet":"Benefits"},{"cell":"G24","kind":"optional","path":["sites",4,"alternatives",2,"outputs",{"module_id":"RipL"},"values",1],"sheet":"Benefits"},{"cell":"K24","kind":"optional","path":["sites",4,"alternatives",2,"outputs",{"module_id":"RipL"},"quantity",1],"sheet":"Benefits"},{"cell":"H24","kind":"optional","path":["sites",4,"alternatives",2,"outputs",{"module_id":"RipL"},"values",2],"sheet":"Benefits"},{"cell":"L24","kind":"optional","path":["sites",4,"alternatives",2,"outputs",{"module_id":"RipL"},"quantity",2],"sheet":"Benefits"},{"cell":"I24","kind":"optional","path":["sites",4,"alternatives",2,"outputs",{"module_id":"RipL"},"values",3],"sheet":"Benefits"},{"cell":"M24","kind":"optional","path":["sites",4,"alternatives",2,"outputs",{"module_id":"RipL"},"quantity",3],"sheet":"Benefits"},{"cell":"F25","kind":"optional","path":["sites",4,"alternatives",3,"outputs",{"module_id":"RipL"},"values",0],"sheet":"Benefits"},{"cell":"J25","kind":"optional","path":["sites",4,"alternatives",3,"outputs",{"module_id":"RipL"},"quantity",0],"sheet":"Benefits"},{"cell":"G25","kind":"optional","path":["sites",4,"alternatives",3,"outputs",{"module_id":"RipL"},"values",1],"sheet":"Benefits"},{"cell":"K25","kind":"optional","path":["sites",4,"alternatives",3,"outputs",{"module_id":"RipL"},"quantity",1],"sheet":"Benefits"},{"cell":"H25","kind":"optional","path":["sites",4,"alternatives",3,"outputs",{"module_id":"RipL"},"values",2],"sheet":"Benefits"},{"cell":"L25","kind":"optional","path":["sites",4,"alternatives",3,"outputs",{"module_id":"RipL"},"quantity",2],"sheet":"Benefits"},{"cell":"I25","kind":"optional","path":["sites",4,"alternatives",3,"outputs",{"module_id":"RipL"},"values",3],"sheet":"Benefits"},{"cell":"M25","kind":"optional","path":["sites",4,"alternatives",3,"outputs",{"module_id":"RipL"},"quantity",3],"sheet":"Benefits"},{"cell":"F26","kind":"optional","path":["sites",5,"alternatives",0,"outputs",{"module_id":"RipL"},"values",0],"sheet":"Benefits"},{"cell":"J26","kind":"optional","path":["sites",5,"alternatives",0,"outputs",{"module_id":"RipL"},"quantity",0],"sheet":"Benefits"},{"cell":"G26","kind":"optional","path":["sites",5,"alternatives",0,"outputs",{"module_id":"RipL"},"values",1],"sheet":"Benefits"},{"cell":"K26","kind":"optional","path":["sites",5,"alternatives",0,"outputs",{"module_id":"RipL"},"quantity",1],"sheet":"Benefits"},{"cell":"H26","kind":"optional","path":["sites",5,"alternatives",0,"outputs",{"module_id":"RipL"},"values",2],"sheet":"Benefits"},{"cell":"L26","kind":"optional","path":["sites",5,"alternatives",0,"outputs",{"module_id":"RipL"},"quantity",2],"sheet":"Benefits"},{"cell":"I26","kind":"optional","path":["sites",5,"alternatives",0,"outputs",{"module_id":"RipL"},"values",3],"sheet":"Benefits"},{"cell":"M26","kind":"optional","path":["sites",5,"alternatives",0,"outputs",{"module_id":"RipL"},"quantity",3],"sheet":"Benefits"},{"cell":"F27","kind":"optional","path":["sites",5,"alternatives",1,"outputs",{"module_id":"RipL"},"values",0],"sheet":"Benefits"},{"cell":"J27","kind":"optional","path":["sites",5,"alternatives",1,"outputs",{"module_id":"RipL"},"quantity",0],"sheet":"Benefits"},{"cell":"G27","kind":"optional","path":["sites",5,"alternatives",1,"outputs",{"module_id":"RipL"},"values",1],"sheet":"Benefits"},{"cell":"K27","kind":"optional","path":["sites",5,"alternatives",1,"outputs",{"module_id":"RipL"},"quantity",1],"sheet":"Benefits"},{"cell":"H27","kind":"optional","path":["sites",5,"alternatives",1,"outputs",{"module_id":"RipL"},"values",2],"sheet":"Benefits"},{"cell":"L27","kind":"optional","path":["sites",5,"alternatives",1,"outputs",{"module_id":"RipL"},"quantity",2],"sheet":"Benefits"},{"cell":"I27","kind":"optional","path":["sites",5,"alternatives",1,"outputs",{"module_id":"RipL"},"values",3],"sheet":"Benefits"},{"cell":"M27","kind":"optional","path":["sites",5,"alternatives",1,"outputs",{"module_id":"RipL"},"quantity",3],"sheet":"Benefits"},{"cell":"F28","kind":"optional","path":["sites",5,"alternatives",2,"outputs",{"module_id":"RipL"},"values",0],"sheet":"Benefits"},{"cell":"J28","kind":"optional","path":["sites",5,"alternatives",2,"outputs",{"module_id":"RipL"},"quantity",0],"sheet":"Benefits"},{"cell":"G28","kind":"optional","path":["sites",5,"alternatives",2,"outputs",{"module_id":"RipL"},"values",1],"sheet":"Benefits"},{"cell":"K28","kind":"optional","path":["sites",5,"alternatives",2,"outputs",{"module_id":"RipL"},"quantity",1],"sheet":"Benefits"},{"cell":"H28","kind":"optional","path":["sites",5,"alternatives",2,"outputs",{"module_id":"RipL"},"values",2],"sheet":"Benefits"},{"cell":"L28","kind":"optional","path":["sites",5,"alternatives",2,"outputs",{"module_id":"RipL"},"quantity",2],"sheet":"Benefits"},{"cell":"I28","kind":"optional","path":["sites",5,"alternatives",2,"outputs",{"module_id":"RipL"},"values",3],"sheet":"Benefits"},{"cell":"M28","kind":"optional","path":["sites",5,"alternatives",2,"outputs",{"module_id":"RipL"},"quantity",3],"sheet":"Benefits"},{"cell":"F29","kind":"optional","path":["sites",5,"alternatives",3,"outputs",{"module_id":"RipL"},"values",0],"sheet":"Benefits"},{"cell":"J29","kind":"optional","path":["sites",5,"alternatives",3,"outputs",{"module_id":"RipL"},"quantity",0],"sheet":"Benefits"},{"cell":"G29","kind":"optional","path":["sites",5,"alternatives",3,"outputs",{"module_id":"RipL"},"values",1],"sheet":"Benefits"},{"cell":"K29","kind":"optional","path":["sites",5,"alternatives",3,"outputs",{"module_id":"RipL"},"quantity",1],"sheet":"Benefits"},{"cell":"H29","kind":"optional","path":["sites",5,"alternatives",3,"outputs",{"module_id":"RipL"},"values",2],"sheet":"Benefits"},{"cell":"L29","kind":"optional","path":["sites",5,"alternatives",3,"outputs",{"module_id":"RipL"},"quantity",2],"sheet":"Benefits"},{"cell":"I29","kind":"optional","path":["sites",5,"alternatives",3,"outputs",{"module_id":"RipL"},"values",3],"sheet":"Benefits"},{"cell":"M29","kind":"optional","path":["sites",5,"alternatives",3,"outputs",{"module_id":"RipL"},"quantity",3],"sheet":"Benefits"},{"cell":"F30","kind":"optional","path":["sites",6,"alternatives",0,"outputs",{"module_id":"RipL"},"values",0],"sheet":"Benefits"},{"cell":"J30","kind":"optional","path":["sites",6,"alternatives",0,"outputs",{"module_id":"RipL"},"quantity",0],"sheet":"Benefits"},{"cell":"G30","kind":"optional","path":["sites",6,"alternatives",0,"outputs",{"module_id":"RipL"},"values",1],"sheet":"Benefits"},{"cell":"K30","kind":"optional","path":["sites",6,"alternatives",0,"outputs",{"module_id":"RipL"},"quantity",1],"sheet":"Benefits"},{"cell":"H30","kind":"optional","path":["sites",6,"alternatives",0,"outputs",{"module_id":"RipL"},"values",2],"sheet":"Benefits"},{"cell":"L30","kind":"optional","path":["sites",6,"alternatives",0,"outputs",{"module_id":"RipL"},"quantity",2],"sheet":"Benefits"},{"cell":"I30","kind":"optional","path":["sites",6,"alternatives",0,"outputs",{"module_id":"RipL"},"values",3],"sheet":"Benefits"},{"cell":"M30","kind":"optional","path":["sites",6,"alternatives",0,"outputs",{"module_id":"RipL"},"quantity",3],"sheet":"Benefits"},{"cell":"F31","kind":"optional","path":["sites",6,"alternatives",1,"outputs",{"module_id":"RipL"},"values",0],"sheet":"Benefits"},{"cell":"J31","kind":"optional","path":["sites",6,"alternatives",1,"outputs",{"module_id":"RipL"},"quantity",0],"sheet":"Benefits"},{"cell":"G31","kind":"optional","path":["sites",6,"alternatives",1,"outputs",{"module_id":"RipL"},"values",1],"sheet":"Benefits"},{"cell":"K31","kind":"optional","path":["sites",6,"alternatives",1,"outputs",{"module_id":"RipL"},"quantity",1],"sheet":"Benefits"},{"cell":"H31","kind":"optional","path":["sites",6,"alternatives",1,"outputs",{"module_id":"RipL"},"values",2],"sheet":"Benefits"},{"cell":"L31","kind":"optional","path":["sites",6,"alternatives",1,"outputs",{"module_id":"RipL"},"quantity",2],"sheet":"Benefits"},{"cell":"I31","kind":"optional","path":["sites",6,"alternatives",1,"outputs",{"module_id":"RipL"},"values",3],"sheet":"Benefits"},{"cell":"M31","kind":"optional","path":["sites",6,"alternatives",1,"outputs",{"module_id":"RipL"},"quantity",3],"sheet":"Benefits"},{"cell":"F32","kind":"optional","path":["sites",6,"alternatives",2,"outputs",{"module_id":"RipL"},"values",0],"sheet":"Benefits"},{"cell":"J32","kind":"optional","path":["sites",6,"alternatives",2,"outputs",{"module_id":"RipL"},"quantity",0],"sheet":"Benefits"},{"cell":"G32","kind":"optional","path":["sites",6,"alternatives",2,"outputs",{"module_id":"RipL"},"values",1],"sheet":"Benefits"},{"cell":"K32","kind":"optional","path":["sites",6,"alternatives",2,"outputs",{"module_id":"RipL"},"quantity",1],"sheet":"Benefits"},{"cell":"H32","kind":"optional","path":["sites",6,"alternatives",2,"outputs",{"module_id":"RipL"},"values",2],"sheet":"Benefits"},{"cell":"L32","kind":"optional","path":["sites",6,"alternatives",2,"outputs",{"module_id":"RipL"},"quantity",2],"sheet":"Benefits"},{"cell":"I32","kind":"optional","path":["sites",6,"alternatives",2,"outputs",{"module_id":"RipL"},"values",3],"sheet":"Benefits"},{"cell":"M32","kind":"optional","path":["sites",6,"alternatives",2,"outputs",{"module_id":"RipL"},"quantity",3],"sheet":"Benefits"},{"cell":"F33","kind":"optional","path":["sites",6,"alternatives",3,"outputs",{"module_id":"RipL"},"values",0],"sheet":"Benefits"},{"cell":"J33","kind":"optional","path":["sites",6,"alternatives",3,"outputs",{"module_id":"RipL"},"quantity",0],"sheet":"Benefits"},{"cell":"G33","kind":"optional","path":["sites",6,"alternatives",3,"outputs",{"module_id":"RipL"},"values",1],"sheet":"Benefits"},{"cell":"K33","kind":"optional","path":["sites",6,"alternatives",3,"outputs",{"module_id":"RipL"},"quantity",1],"sheet":"Benefits"},{"cell":"H33","kind":"optional","path":["sites",6,"alternatives",3,"outputs",{"module_id":"RipL"},"values",2],"sheet":"Benefits"},{"cell":</t>
        </is>
      </c>
      <c r="D3" t="inlineStr">
        <is>
          <t>"L33","kind":"optional","path":["sites",6,"alternatives",3,"outputs",{"module_id":"RipL"},"quantity",2],"sheet":"Benefits"},{"cell":"I33","kind":"optional","path":["sites",6,"alternatives",3,"outputs",{"module_id":"RipL"},"values",3],"sheet":"Benefits"},{"cell":"M33","kind":"optional","path":["sites",6,"alternatives",3,"outputs",{"module_id":"RipL"},"quantity",3],"sheet":"Benefits"},{"cell":"F34","kind":"optional","path":["sites",7,"alternatives",0,"outputs",{"module_id":"RipL"},"values",0],"sheet":"Benefits"},{"cell":"J34","kind":"optional","path":["sites",7,"alternatives",0,"outputs",{"module_id":"RipL"},"quantity",0],"sheet":"Benefits"},{"cell":"G34","kind":"optional","path":["sites",7,"alternatives",0,"outputs",{"module_id":"RipL"},"values",1],"sheet":"Benefits"},{"cell":"K34","kind":"optional","path":["sites",7,"alternatives",0,"outputs",{"module_id":"RipL"},"quantity",1],"sheet":"Benefits"},{"cell":"H34","kind":"optional","path":["sites",7,"alternatives",0,"outputs",{"module_id":"RipL"},"values",2],"sheet":"Benefits"},{"cell":"L34","kind":"optional","path":["sites",7,"alternatives",0,"outputs",{"module_id":"RipL"},"quantity",2],"sheet":"Benefits"},{"cell":"I34","kind":"optional","path":["sites",7,"alternatives",0,"outputs",{"module_id":"RipL"},"values",3],"sheet":"Benefits"},{"cell":"M34","kind":"optional","path":["sites",7,"alternatives",0,"outputs",{"module_id":"RipL"},"quantity",3],"sheet":"Benefits"},{"cell":"F35","kind":"optional","path":["sites",7,"alternatives",1,"outputs",{"module_id":"RipL"},"values",0],"sheet":"Benefits"},{"cell":"J35","kind":"optional","path":["sites",7,"alternatives",1,"outputs",{"module_id":"RipL"},"quantity",0],"sheet":"Benefits"},{"cell":"G35","kind":"optional","path":["sites",7,"alternatives",1,"outputs",{"module_id":"RipL"},"values",1],"sheet":"Benefits"},{"cell":"K35","kind":"optional","path":["sites",7,"alternatives",1,"outputs",{"module_id":"RipL"},"quantity",1],"sheet":"Benefits"},{"cell":"H35","kind":"optional","path":["sites",7,"alternatives",1,"outputs",{"module_id":"RipL"},"values",2],"sheet":"Benefits"},{"cell":"L35","kind":"optional","path":["sites",7,"alternatives",1,"outputs",{"module_id":"RipL"},"quantity",2],"sheet":"Benefits"},{"cell":"I35","kind":"optional","path":["sites",7,"alternatives",1,"outputs",{"module_id":"RipL"},"values",3],"sheet":"Benefits"},{"cell":"M35","kind":"optional","path":["sites",7,"alternatives",1,"outputs",{"module_id":"RipL"},"quantity",3],"sheet":"Benefits"},{"cell":"F36","kind":"optional","path":["sites",7,"alternatives",2,"outputs",{"module_id":"RipL"},"values",0],"sheet":"Benefits"},{"cell":"J36","kind":"optional","path":["sites",7,"alternatives",2,"outputs",{"module_id":"RipL"},"quantity",0],"sheet":"Benefits"},{"cell":"G36","kind":"optional","path":["sites",7,"alternatives",2,"outputs",{"module_id":"RipL"},"values",1],"sheet":"Benefits"},{"cell":"K36","kind":"optional","path":["sites",7,"alternatives",2,"outputs",{"module_id":"RipL"},"quantity",1],"sheet":"Benefits"},{"cell":"H36","kind":"optional","path":["sites",7,"alternatives",2,"outputs",{"module_id":"RipL"},"values",2],"sheet":"Benefits"},{"cell":"L36","kind":"optional","path":["sites",7,"alternatives",2,"outputs",{"module_id":"RipL"},"quantity",2],"sheet":"Benefits"},{"cell":"I36","kind":"optional","path":["sites",7,"alternatives",2,"outputs",{"module_id":"RipL"},"values",3],"sheet":"Benefits"},{"cell":"M36","kind":"optional","path":["sites",7,"alternatives",2,"outputs",{"module_id":"RipL"},"quantity",3],"sheet":"Benefits"},{"cell":"F37","kind":"optional","path":["sites",0,"alternatives",0,"outputs",{"module_id":"RipR"},"values",0],"sheet":"Benefits"},{"cell":"J37","kind":"optional","path":["sites",0,"alternatives",0,"outputs",{"module_id":"RipR"},"quantity",0],"sheet":"Benefits"},{"cell":"G37","kind":"optional","path":["sites",0,"alternatives",0,"outputs",{"module_id":"RipR"},"values",1],"sheet":"Benefits"},{"cell":"K37","kind":"optional","path":["sites",0,"alternatives",0,"outputs",{"module_id":"RipR"},"quantity",1],"sheet":"Benefits"},{"cell":"H37","kind":"optional","path":["sites",0,"alternatives",0,"outputs",{"module_id":"RipR"},"values",2],"sheet":"Benefits"},{"cell":"L37","kind":"optional","path":["sites",0,"alternatives",0,"outputs",{"module_id":"RipR"},"quantity",2],"sheet":"Benefits"},{"cell":"I37","kind":"optional","path":["sites",0,"alternatives",0,"outputs",{"module_id":"RipR"},"values",3],"sheet":"Benefits"},{"cell":"M37","kind":"optional","path":["sites",0,"alternatives",0,"outputs",{"module_id":"RipR"},"quantity",3],"sheet":"Benefits"},{"cell":"F38","kind":"optional","path":["sites",0,"alternatives",1,"outputs",{"module_id":"RipR"},"values",0],"sheet":"Benefits"},{"cell":"J38","kind":"optional","path":["sites",0,"alternatives",1,"outputs",{"module_id":"RipR"},"quantity",0],"sheet":"Benefits"},{"cell":"G38","kind":"optional","path":["sites",0,"alternatives",1,"outputs",{"module_id":"RipR"},"values",1],"sheet":"Benefits"},{"cell":"K38","kind":"optional","path":["sites",0,"alternatives",1,"outputs",{"module_id":"RipR"},"quantity",1],"sheet":"Benefits"},{"cell":"H38","kind":"optional","path":["sites",0,"alternatives",1,"outputs",{"module_id":"RipR"},"values",2],"sheet":"Benefits"},{"cell":"L38","kind":"optional","path":["sites",0,"alternatives",1,"outputs",{"module_id":"RipR"},"quantity",2],"sheet":"Benefits"},{"cell":"I38","kind":"optional","path":["sites",0,"alternatives",1,"outputs",{"module_id":"RipR"},"values",3],"sheet":"Benefits"},{"cell":"M38","kind":"optional","path":["sites",0,"alternatives",1,"outputs",{"module_id":"RipR"},"quantity",3],"sheet":"Benefits"},{"cell":"F39","kind":"optional","path":["sites",0,"alternatives",2,"outputs",{"module_id":"RipR"},"values",0],"sheet":"Benefits"},{"cell":"J39","kind":"optional","path":["sites",0,"alternatives",2,"outputs",{"module_id":"RipR"},"quantity",0],"sheet":"Benefits"},{"cell":"G39","kind":"optional","path":["sites",0,"alternatives",2,"outputs",{"module_id":"RipR"},"values",1],"sheet":"Benefits"},{"cell":"K39","kind":"optional","path":["sites",0,"alternatives",2,"outputs",{"module_id":"RipR"},"quantity",1],"sheet":"Benefits"},{"cell":"H39","kind":"optional","path":["sites",0,"alternatives",2,"outputs",{"module_id":"RipR"},"values",2],"sheet":"Benefits"},{"cell":"L39","kind":"optional","path":["sites",0,"alternatives",2,"outputs",{"module_id":"RipR"},"quantity",2],"sheet":"Benefits"},{"cell":"I39","kind":"optional","path":["sites",0,"alternatives",2,"outputs",{"module_id":"RipR"},"values",3],"sheet":"Benefits"},{"cell":"M39","kind":"optional","path":["sites",0,"alternatives",2,"outputs",{"module_id":"RipR"},"quantity",3],"sheet":"Benefits"},{"cell":"F40","kind":"optional","path":["sites",0,"alternatives",3,"outputs",{"module_id":"RipR"},"values",0],"sheet":"Benefits"},{"cell":"J40","kind":"optional","path":["sites",0,"alternatives",3,"outputs",{"module_id":"RipR"},"quantity",0],"sheet":"Benefits"},{"cell":"G40","kind":"optional","path":["sites",0,"alternatives",3,"outputs",{"module_id":"RipR"},"values",1],"sheet":"Benefits"},{"cell":"K40","kind":"optional","path":["sites",0,"alternatives",3,"outputs",{"module_id":"RipR"},"quantity",1],"sheet":"Benefits"},{"cell":"H40","kind":"optional","path":["sites",0,"alternatives",3,"outputs",{"module_id":"RipR"},"values",2],"sheet":"Benefits"},{"cell":"L40","kind":"optional","path":["sites",0,"alternatives",3,"outputs",{"module_id":"RipR"},"quantity",2],"sheet":"Benefits"},{"cell":"I40","kind":"optional","path":["sites",0,"alternatives",3,"outputs",{"module_id":"RipR"},"values",3],"sheet":"Benefits"},{"cell":"M40","kind":"optional","path":["sites",0,"alternatives",3,"outputs",{"module_id":"RipR"},"quantity",3],"sheet":"Benefits"},{"cell":"F41","kind":"optional","path":["sites",1,"alternatives",0,"outputs",{"module_id":"RipR"},"values",0],"sheet":"Benefits"},{"cell":"J41","kind":"optional","path":["sites",1,"alternatives",0,"outputs",{"module_id":"RipR"},"quantity",0],"sheet":"Benefits"},{"cell":"G41","kind":"optional","path":["sites",1,"alternatives",0,"outputs",{"module_id":"RipR"},"values",1],"sheet":"Benefits"},{"cell":"K41","kind":"optional","path":["sites",1,"alternatives",0,"outputs",{"module_id":"RipR"},"quantity",1],"sheet":"Benefits"},{"cell":"H41","kind":"optional","path":["sites",1,"alternatives",0,"outputs",{"module_id":"RipR"},"values",2],"sheet":"Benefits"},{"cell":"L41","kind":"optional","path":["sites",1,"alternatives",0,"outputs",{"module_id":"RipR"},"quantity",2],"sheet":"Benefits"},{"cell":"I41","kind":"optional","path":["sites",1,"alternatives",0,"outputs",{"module_id":"RipR"},"values",3],"sheet":"Benefits"},{"cell":"M41","kind":"optional","path":["sites",1,"alternatives",0,"outputs",{"module_id":"RipR"},"quantity",3],"sheet":"Benefits"},{"cell":"F42","kind":"optional","path":["sites",1,"alternatives",1,"outputs",{"module_id":"RipR"},"values",0],"sheet":"Benefits"},{"cell":"J42","kind":"optional","path":["sites",1,"alternatives",1,"outputs",{"module_id":"RipR"},"quantity",0],"sheet":"Benefits"},{"cell":"G42","kind":"optional","path":["sites",1,"alternatives",1,"outputs",{"module_id":"RipR"},"values",1],"sheet":"Benefits"},{"cell":"K42","kind":"optional","path":["sites",1,"alternatives",1,"outputs",{"module_id":"RipR"},"quantity",1],"sheet":"Benefits"},{"cell":"H42","kind":"optional","path":["sites",1,"alternatives",1,"outputs",{"module_id":"RipR"},"values",2],"sheet":"Benefits"},{"cell":"L42","kind":"optional","path":["sites",1,"alternatives",1,"outputs",{"module_id":"RipR"},"quantity",2],"sheet":"Benefits"},{"cell":"I42","kind":"optional","path":["sites",1,"alternatives",1,"outputs",{"module_id":"RipR"},"values",3],"sheet":"Benefits"},{"cell":"M42","kind":"optional","path":["sites",1,"alternatives",1,"outputs",{"module_id":"RipR"},"quantity",3],"sheet":"Benefits"},{"cell":"F43","kind":"optional","path":["sites",1,"alternatives",2,"outputs",{"module_id":"RipR"},"values",0],"sheet":"Benefits"},{"cell":"J43","kind":"optional","path":["sites",1,"alternatives",2,"outputs",{"module_id":"RipR"},"quantity",0],"sheet":"Benefits"},{"cell":"G43","kind":"optional","path":["sites",1,"alternatives",2,"outputs",{"module_id":"RipR"},"values",1],"sheet":"Benefits"},{"cell":"K43","kind":"optional","path":["sites",1,"alternatives",2,"outputs",{"module_id":"RipR"},"quantity",1],"sheet":"Benefits"},{"cell":"H43","kind":"optional","path":["sites",1,"alternatives",2,"outputs",{"module_id":"RipR"},"values",2],"sheet":"Benefits"},{"cell":"L43","kind":"optional","path":["sites",1,"alternatives",2,"outputs",{"module_id":"RipR"},"quantity",2],"sheet":"Benefits"},{"cell":"I43","kind":"optional","path":["sites",1,"alternatives",2,"outputs",{"module_id":"RipR"},"values",3],"sheet":"Benefits"},{"cell":"M43","kind":"optional","path":["sites",1,"alternatives",2,"outputs",{"module_id":"RipR"},"quantity",3],"sheet":"Benefits"},{"cell":"F44","kind":"optional","path":["sites",1,"alternatives",3,"outputs",{"module_id":"RipR"},"values",0],"sheet":"Benefits"},{"cell":"J44","kind":"optional","path":["sites",1,"alternatives",3,"outputs",{"module_id":"RipR"},"quantity",0],"sheet":"Benefits"},{"cell":"G44","kind":"optional","path":["sites",1,"alternatives",3,"outputs",{"module_id":"RipR"},"values",1],"sheet":"Benefits"},{"cell":"K44","kind":"optional","path":["sites",1,"alternatives",3,"outputs",{"module_id":"RipR"},"quantity",1],"sheet":"Benefits"},{"cell":"H44","kind":"optional","path":["sites",1,"alternatives",3,"outputs",{"module_id":"RipR"},"values",2],"sheet":"Benefits"},{"cell":"L44","kind":"optional","path":["sites",1,"alternatives",3,"outputs",{"module_id":"RipR"},"quantity",2],"sheet":"Benefits"},{"cell":"I44","kind":"optional","path":["sites",1,"alternatives",3,"outputs",{"module_id":"RipR"},"values",3],"sheet":"Benefits"},{"cell":"M44","kind":"optional","path":["sites",1,"alternatives",3,"outputs",{"module_id":"RipR"},"quantity",3],"sheet":"Benefits"},{"cell":"F45","kind":"optional","path":["sites",2,"alternatives",0,"outputs",{"module_id":"RipR"},"values",0],"sheet":"Benefits"},{"cell":"J45","kind":"optional","path":["sites",2,"alternatives",0,"outputs",{"module_id":"RipR"},"quantity",0],"sheet":"Benefits"},{"cell":"G45","kind":"optional","path":["sites",2,"alternatives",0,"outputs",{"module_id":"RipR"},"values",1],"sheet":"Benefits"},{"cell":"K45","kind":"optional","path":["sites",2,"alternatives",0,"outputs",{"module_id":"RipR"},"quantity",1],"sheet":"Benefits"},{"cell":"H45","kind":"optional","path":["sites",2,"alternatives",0,"outputs",{"module_id":"RipR"},"values",2],"sheet":"Benefits"},{"cell":"L45","kind":"optional","path":["sites",2,"alternatives",0,"outputs",{"module_id":"RipR"},"quantity",2],"sheet":"Benefits"},{"cell":"I45","kind":"optional","path":["sites",2,"alternatives",0,"outputs",{"module_id":"RipR"},"values",3],"sheet":"Benefits"},{"cell":"M45","kind":"optional","path":["sites",2,"alternatives",0,"outputs",{"module_id":"RipR"},"quantity",3],"sheet":"Benefits"},{"cell":"F46","kind":"optional","path":["sites",2,"alternatives",1,"outputs",{"module_id":"RipR"},"values",0],"sheet":"Benefits"},{"cell":"J46","kind":"optional","path":["sites",2,"alternatives",1,"outputs",{"module_id":"RipR"},"quantity",0],"sheet":"Benefits"},{"cell":"G46","kind":"optional","path":["sites",2,"alternatives",1,"outputs",{"module_id":"RipR"},"values",1],"sheet":"Benefits"},{"cell":"K46","kind":"optional","path":["sites",2,"alternatives",1,"outputs",{"module_id":"RipR"},"quantity",1],"sheet":"Benefits"},{"cell":"H46","kind":"optional","path":["sites",2,"alternatives",1,"outputs",{"module_id":"RipR"},"values",2],"sheet":"Benefits"},{"cell":"L46","kind":"optional","path":["sites",2,"alternatives",1,"outputs",{"module_id":"RipR"},"quantity",2],"sheet":"Benefits"},{"cell":"I46","kind":"optional","path":["sites",2,"alternatives",1,"outputs",{"module_id":"RipR"},"values",3],"sheet":"Benefits"},{"cell":"M46","kind":"optional","path":["sites",2,"alternatives",1,"outputs",{"module_id":"RipR"},"quantity",3],"sheet":"Benefits"},{"cell":"F47","kind":"optional","path":["sites",2,"alternatives",2,"outputs",{"module_id":"RipR"},"values",0],"sheet":"Benefits"},{"cell":"J47","kind":"optional","path":["sites",2,"alternatives",2,"outputs",{"module_id":"RipR"},"quantity",0],"sheet":"Benefits"},{"cell":"G47","kind":"optional","path":["sites",2,"alternatives",2,"outputs",{"module_id":"RipR"},"values",1],"sheet":"Benefits"},{"cell":"K47","kind":"optional","path":["sites",2,"alternatives",2,"outputs",{"module_id":"RipR"},"quantity",1],"sheet":"Benefits"},{"cell":"H47","kind":"optional","path":["sites",2,"alternatives",2,"outputs",{"module_id":"RipR"},"values",2],"sheet":"Benefits"},{"cell":"L47","kind":"optional","path":["sites",2,"alternatives",2,"outputs",{"module_id":"RipR"},"quantity",2],"sheet":"Benefits"},{"cell":"I47","kind":"optional","path":["sites",2,"alternatives",2,"outputs",{"module_id":"RipR"},"values",3],"sheet":"Benefits"},{"cell":"M47","kind":"optional","path":["sites",2,"alternatives",2,"outputs",{"module_id":"RipR"},"quantity",3],"sheet":"Benefits"},{"cell":"F48","kind":"optional","path":["sites",2,"alternatives",3,"outputs",{"module_id":"RipR"},"values",0],"sheet":"Benefits"},{"cell":"J48","kind":"optional","path":["sites",2,"alternatives",3,"outputs",{"module_id":"RipR"},"quantity",0],"sheet":"Benefits"},{"cell":"G48","kind":"optional","path":["sites",2,"alternatives",3,"outputs",{"module_id":"RipR"},"values",1],"sheet":"Benefits"},{"cell":"K48","kind":"optional","path":["sites",2,"alternatives",3,"outputs",{"module_id":"RipR"},"quantity",1],"sheet":"Benefits"},{"cell":"H48","kind":"optional","path":["sites",2,"alternatives",3,"outputs",{"module_id":"RipR"},"values",2],"sheet":"Benefits"},{"cell":"L48","kind":"optional","path":["sites",2,"alternatives",3,"outputs",{"module_id":"RipR"},"quantity",2],"sheet":"Benefits"},{"cell":"I48","kind":"optional","path":["sites",2,"alternatives",3,"outputs",{"module_id":"RipR"},"values",3],"sheet":"Benefits"},{"cell":"M48","kind":"optional","path":["sites",2,"alternatives",3,"outputs",{"module_id":"RipR"},"quantity",3],"sheet":"Benefits"},{"cell":"F49","kind":"optional","path":["sites",3,"alternatives",0,"outputs",{"module_id":"RipR"},"values",0],"sheet":"Benefits"},{"cell":"J49","kind":"optional","path":["sites",3,"alternatives",0,"outputs",{"module_id":"RipR"},"quantity",0],"sheet":"Benefits"},{"cell":"G49","kind":"optional","path":["sites",3,"alternatives",0,"outputs",{"module_id":"RipR"},"values",1],"sheet":"Benefits"},{"cell":"K49","kind":"optional","path":["sites",3,"alternatives",0,"outputs",{"module_id":"RipR"},"quantity",1],"sheet":"Benefits"},{"cell":"H49","kind":"optional","path":["sites",3,"alternatives",0,"outputs",{"module_id":"RipR"},"values",2],"sheet":"Benefits"},{"cell":"L49","kind":"optional","path":["sites",3,"alternatives",0,"outputs",{"module_id":"RipR"},"quantity",2],"sheet":"Benefits"},{"cell":"I49","kind":"optional","path":["sites",3,"alternatives",0,"outputs",{"module_id":"RipR"},"values",3],"sheet":"Benefits"},{"cell":"M49","kind":"optional","path":["sites",3,"alternatives",0,"outputs",{"module_id":"RipR"},"quantity",3],"sheet":"Benefits"},{"cell":"F50","kind":"optional","path":["sites",3,"alternatives",1,"outputs",{"module_id":"RipR"},"values",0],"sheet":"Benefits"},{"cell":"J50","kind":"optional","path":["sites",3,"alternatives",1,"outputs",{"module_id":"RipR"},"quantity",0],"sheet":"Benefits"},{"cell":"G50","kind":"optional","path":["sites",3,"alternatives",1,"outputs",{"module_id":"RipR"},"values",1],"sheet":"Benefits"},{"cell":"K50","kind":"optional","path":["sites",3,"alternatives",1,"outputs",{"module_id":"RipR"},"quantity",1],"sheet":"Benefits"},{"cell":"H50","kind":"optional","path":["sites",3,"alternatives",1,"outputs",{"module_id":"RipR"},"values",2],"sheet":"Benefits"},{"cell":"L50","kind":"optional","path":["sites",3,"alternatives",1,"outputs",{"module_id":"RipR"},"quantity",2],"sheet":"Benefits"},{"cell":"I50","kind":"optional","path":["sites",3,"alternatives",1,"outputs",{"module_id":"RipR"},"values",3],"sheet":"Benefits"},{"cell":"M50","kind":"optional","path":["sites",3,"alternatives",1,"outputs",{"module_id":"RipR"},"quantity",3],"sheet":"Benefits"},{"cell":"F51","kind":"optional","path":["sites",3,"alternatives",2,"outputs",{"module_id":"RipR"},"values",0],"sheet":"Benefits"},{"cell":"J51","kind":"optional","path":["sites",3,"alternatives",2,"outputs",{"module_id":"RipR"},"quantity",0],"sheet":"Benefits"},{"cell":"G51","kind":"optional","path":["sites",3,"alternatives",2,"outputs",{"module_id":"RipR"},"values",1],"sheet":"Benefits"},{"cell":"K51","kind":"optional","path":["sites",3,"alternatives",2,"outputs",{"module_id":"RipR"},"quantity",1],"sheet":"Benefits"},{"cell":"H51","kind":"optional","path":["sites",3,"alternatives",2,"outputs",{"module_id":"RipR"},"values",2],"sheet":"Benefits"},{"cell":"L51","kind":"optional","path":["sites",3,"alternatives",2,"outputs",{"module_id":"RipR"},"quantity",2],"sheet":"Benefits"},{"cell":"I51","kind":"optional","path":["sites",3,"alternatives",2,"outputs",{"module_id":"RipR"},"values",3],"sheet":"Benefits"},{"cell":"M51","kind":"optional","path":["sites",3,"alternatives",2,"outputs",{"module_id":"RipR"},"quantity",3],"sheet":"Benefits"},{"cell":"F52","kind":"optional","path":["sites",3,"alternatives",3,"outputs",{"module_id":"RipR"},"values",0],"sheet":"Benefits"},{"cell":"J52","kind":"optional","path":["sites",3,"alternatives",3,"outputs",{"module_id":"RipR"},"quantity",0],"sheet":"Benefits"},{"cell":"G52","kind":"optional","path":["sites",3,"alternatives",3,"outputs",{"module_id":"RipR"},"values",1],"sheet":"Benefits"},{"cell":"K52","kind":"optional","path":["sites",3,"alternatives",3,"outputs",{"module_id":"RipR"},"quantity",1],"sheet":"Benefits"},{"cell":"H52","kind":"optional","path":["sites",3,"alternatives",3,"outputs",{"module_id":"RipR"},"values",2],"sheet":"Benefits"},{"cell":"L52","kind":"optional","path":["sites",3,"alternatives",3,"outputs",{"module_id":"RipR"},"quantity",2],"sheet":"Benefits"},{"cell":"I52","kind":"optional","path":["sites",3,"alternatives",3,"outputs",{"module_id":"RipR"},"values",3],"sheet":"Benefits"},{"cell":"M52","kind":"optional","path":["sites",3,"alternatives",3,"outputs",{"module_id":"RipR"},"quantity",3],"sheet":"Benefits"},{"cell":"F53","kind":"optional","path":["sites",4,"alternatives",0,"outputs",{"module_id":"RipR"},"values",0],"sheet":"Benefits"},{"cell":"J53","kind":"optional","path":["sites",4,"alternatives",0,"outputs",{"module_id":"RipR"},"quantity",0],"sheet":"Benefits"},{"cell":"G53","kind":"optional","path":["sites",4,"alternatives",0,"outputs",{"module_id":"RipR"},"values",1],"sheet":"Benefits"},{"cell":"K53","kind":"optional","path":["sites",4,"alternatives",0,"outputs",{"module_id":"RipR"},"quantity",1],"sheet":"Benefits"},{"cell":"H53","kind":"optional","path":["sites",4,"alternatives",0,"outputs",{"module_id":"RipR"},"values",2],"sheet":"Benefits"},{"cell":"L53","kind":"optional","path":["sites",4,"alternatives",0,"outputs",{"module_id":"RipR"},"quantity",2],"sheet":"Benefits"},{"cell":"I53","kind":"optional","path":["sites",4,"alternatives",0,"outputs",{"module_id":"RipR"},"values",3],"sheet":"Benefits"},{"cell":"M53","kind":"optional","path":["sites",4,"alternatives",0,"outputs",{"module_id":"RipR"},"quantity",3],"sheet":"Benefits"},{"cell":"F54","kind":"optional","path":["sites",4,"alternatives",1,"outputs",{"module_id":"RipR"},"values",0],"sheet":"Benefits"},{"cell":"J54","kind":"optional","path":["sites",4,"alternatives",1,"outputs",{"module_id":"RipR"},"quantity",0],"sheet":"Benefits"},{"cell":"G54","kind":"optional","path":["sites",4,"alternatives",1,"outputs",{"module_id":"RipR"},"values",1],"sheet":"Benefits"},{"cell":"K54","kind":"optional","path":["sites",4,"alternatives",1,"outputs",{"module_id":"RipR"},"quantity",1],"sheet":"Benefits"},{"cell":"H54","kind":"optional","path":["sites",4,"alternatives",1,"outputs",{"module_id":"RipR"},"values",2],"sheet":"Benefits"},{"cell":"L54","kind":"optional","path":["sites",4,"alternatives",1,"outputs",{"module_id":"RipR"},"quantity",2],"sheet":"Benefits"},{"cell":"I54","kind":"optional","path":["sites",4,"alternatives",1,"outputs",{"module_id":"RipR"},"values",3],"sheet":"Benefits"},{"cell":"M54","kind":"optional","path":["sites",4,"alternatives",1,"outputs",{"module_id":"RipR"},"quantity",3],"sheet":"Benefits"},{"cell":"F55","kind":"optional","path":["sites",4,"alternatives",2,"outputs",{"module_id":"RipR"},"values",0],"sheet":"Benefits"},{"cell":"J55","kind":"optional","path":["sites",4,"alternatives",2,"outputs",{"module_id":"RipR"},"quantity",0],"sheet":"Benefits"},{"cell":"G55","kind":"optional","path":["sites",4,"alternatives",2,"outputs",{"module_id":"RipR"},"values",1],"sheet":"Benefits"},{"cell":"K55","kind":"optional","path":["sites",4,"alternatives",2,"outputs",{"module_id":"RipR"},"quantity",1],"sheet":"Benefits"},{"cell":"H55","kind":"optional","path":["sites",4,"alternatives",2,"outputs",{"module_id":"RipR"},"values",2],"sheet":"Benefits"},{"cell":"L55","kind":"optional","path":["sites",4,"alternatives",2,"outputs",{"module_id":"RipR"},"quantity",2],"sheet":"Benefits"},{"cell":"I55","kind":"optional","path":["sites",4,"alternatives",2,"outputs",{"module_id":"RipR"},"values",3],"sheet":"Benefits"},{"cell":"M55","kind":"optional","path":["sites",4,"alternatives",2,"outputs",{"module_id":"RipR"},"quantity",3],"sheet":"Benefits"},{"cell":"F56","kind":"optional","path":["sites",4,"alternatives",3,"outputs",{"module_id":"RipR"},"values",0],"sheet":"Benefits"},{"cell":"J56","kind":"optional","path":["sites",4,"alternatives",3,"outputs",{"module_id":"RipR"},"quantity",0],"sheet":"Benefits"},{"cell":"G56","kind":"optional","path":["sites",4,"alternatives",3,"outputs",{"module_id":"RipR"},"values",1],"sheet":"Benefits"},{"cell":"K56","kind":"optional","path":["sites",4,"alternatives",3,"outputs",{"module_id":"RipR"},"quantity",1],"sheet":"Benefits"},{"cell":"H56","kind":"optional","path":["sites",4,"alternatives",3,"outputs",{"module_id":"RipR"},"values",2],"sheet":"Benefits"},{"cell":"L56","kind":"optional","path":["sites",4,"alternatives",3,"outputs",{"module_id":"RipR"},"quantity",2],"sheet":"Benefits"},{"cell":"I56","kind":"optional","path":["sites",4,"alternatives",3,"outputs",{"module_id":"RipR"},"values",3],"sheet":"Benefits"},{"cell":"M56","kind":"optional","path":["sites",4,"alternatives",3,"outputs",{"module_id":"RipR"},"quantity",3],"sheet":"Benefits"},{"cell":"F57","kind":"optional","path":["sites",5,"alternatives",0,"outputs",{"module_id":"RipR"},"values",0],"sheet":"Benefits"},{"cell":"J57","kind":"optional","path":["sites",5,"alternatives",0,"outputs",{"module_id":"RipR"},"quantity",0],"sheet":"Benefits"},{"cell":"G57","kind":"optional","path":["sites",5,"alternatives",0,"outputs",{"module_id":"RipR"},"values",1],"sheet":"Benefits"},{"cell":"K57","kind":"optional","path":["sites",5,"alternatives",0,"outputs",{"module_id":"RipR"},"quantity",1],"sheet":"Benefits"},{"cell":"H57","kind":"optional","path":["sites",5,"alternatives",0,"outputs",{"module_id":"RipR"},"values",2],"sheet":"Benefits"},{"cell":"L57","kind":"optional","path":["sites",5,"alternatives",0,"outputs",{"module_id":"RipR"},"quantity",2],"sheet":"Benefits"},{"cell":"I57","kind":"optional","path":["sites",5,"alternatives",0,"outputs",{"module_id":"RipR"},"values",3],"sheet":"Benefits"},{"cell":"M57","kind":"optional","path":["sites",5,"alternatives",0,"outputs",{"module_id":"RipR"},"quantity",3],"sheet":"Benefits"},{"cell":"F58","kind":"optional","path":["sites",5,"alternatives",1,"outputs",{"module_id":"RipR"},"values",0],"sheet":"Benefits"},{"cell":"J58","kind":"optional","path":["sites",5,"alternatives",1,"outputs",{"module_id":"RipR"},"quantity",0],"sheet":"Benefits"},{"cell":"G58","kind":"optional","path":["sites",5,"alternatives",1,"outputs",{"module_id":"RipR"},"values",1],"sheet":"Benefits"},{"cell":"K58","kind":"optional","path":["sites",5,"alternatives",1,"outputs",{"module_id":"RipR"},"quantity",1],"sheet":"Benefits"},{"cell":"H58","kind":"optional","path":["sites",5,"alternatives",1,"outputs",{"module_id":"RipR"},"values",2],"sheet":"Benefits"},{"cell":"L58","kind":"optional","path":["sites",5,"alternatives",1,"outputs",{"module_id":"RipR"},"quantity",2],"sheet":"Benefits"},{"cell":"I58","kind":"optional","path":["sites",5,"alternatives",1,"outputs",{"module_id":"RipR"},"values",3],"sheet":"Benefits"},{"cell":"M58","kind":"optional","path":["sites",5,"alternatives",1,"outputs",{"module_id":"RipR"},"quantity",3],"sheet":"Benefits"},{"cell":"F59","kind":"optional","path":["sites",5,"alternatives",2,"outputs",{"module_id":"RipR"},"values",0],"sheet":"Benefits"},{"cell":"J59","kind":"optional","path":["sites",5,"alternatives",2,"outputs",{"module_id":"RipR"},"quantity",0],"sheet":"Benefits"},{"cell":"G59","kind":"optional","path":["sites",5,"alternatives",2,"outputs",{"module_id":"RipR"},"values",1],"sheet":"Benefits"},{"cell":"K59","kind":"optional","path":["sites",5,"alternatives",2,"outputs",{"module_id":"RipR"},"quantity",1],"sheet":"Benefits"},{"cell":"H59","kind":"optional","path":["sites",5,"alternatives",2,"outputs",{"module_id":"RipR"},"values",2],"sheet":"Benefits"},{"cell":"L59","kind":"optional","path":["sites",5,"alternatives",2,"outputs",{"module_id":"RipR"},"quantity",2],"sheet":"Benefits"},{"cell":"I59","kind":"optional","path":["sites",5,"alternatives",2,"outputs",{"module_id":"RipR"},"values",3],"sheet":"Benefits"},{"cell":"M59","kind":"optional","path":["sites",5,"alternatives",2,"outputs",{"module_id":"RipR"},"quantity",3],"sheet":"Benefits"},{"cell":"F60","kind":"optional","path":["sites",5,"alternatives",3,"outputs",{"module_id":"RipR"},"values",0],"sheet":"Benefits"},{"cell":"J60","kind":"optional","path":["sites",5,"alternatives",3,"outputs",{"module_id":"RipR"},"quantity",0],"sheet":"Benefits"},{"cell":"G60","kind":"optional","path":["sites",5,"alternatives",3,"outputs",{"module_id":"RipR"},"values",1],"sheet":"Benefits"},{"cell":"K60","kind":"optional","path":["sites",5,"alternatives",3,"outputs",{"module_id":"RipR"},"quantity",1],"sheet":"Benefits"},{"cell":"H60","kind":"optional","path":["sites",5,"alternatives",3,"outputs",{"module_id":"RipR"},"values",2],"sheet":"Benefits"},{"cell":"L60","kind":"optional","path":["sites",5,"alternatives",3,"outputs",{"module_id":"RipR"},"quantity",2],"sheet":"Benefits"},{"cell":"I60","kind":"optional","path":["sites",5,"alternatives",3,"outputs",{"module_id":"RipR"},"values",3],"sheet":"Benefits"},{"cell":"M60","kind":"optional","path":["sites",5,"alternatives",3,"outputs",{"module_id":"RipR"},"quantity",3],"sheet":"Benefits"},{"cell":"F61","kind":"optional","path":["sites",6,"alternatives",0,"outputs",{"module_id":"RipR"},"values",0],"sheet":"Benefits"},{"cell":"J61","kind":"optional","path":["sites",6,"alternatives",0,"outputs",{"module_id":"RipR"},"quantity",0],"sheet":"Benefits"},{"cell":"G61","kind":"optional","path":["sites",6,"alternatives",0,"outputs",{"module_id":"RipR"},"values",1],"sheet":"Benefits"},{"cell":"K61","kind":"optional","path":["sites",6,"alternatives",0,"outputs",{"module_id":"RipR"},"quantity",1],"sheet":"Benefits"},{"cell":"H61","kind":"optional","path":["sites",6,"alternatives",0,"outputs",{"module_id":"RipR"},"values",2],"sheet":"Benefits"},{"cell":"L61","kind":"optional","path":["sites",6,"alternatives",0,"outputs",{"module_id":"RipR"},"quantity",2],"sheet":"Benefits"},{"cell":"I61","kind":"optional","path":["sites",6,"alternatives",0,"outputs",{"module_id":"RipR"},"values",3],"sheet":"Benefits"},{"cell":"M61","kind":"optional","path":["sites",6,"alternatives",0,"outputs",{"module_id":"RipR"},"quantity",3],"sheet":"Benefits"},{"cell":"F62","kind":"optional","path":["sites",6,"alternatives",1,"outputs",{"module_id":"RipR"},"values",0],"sheet":"Benefits"},{"cell":"J62","kind":"optional","path":["sites",6,"alternatives",1,"outputs",{"module_id":"RipR"},"quantity",0],"sheet":"Benefits"},{"cell":</t>
        </is>
      </c>
      <c r="E3" t="inlineStr">
        <is>
          <t>"G62","kind":"optional","path":["sites",6,"alternatives",1,"outputs",{"module_id":"RipR"},"values",1],"sheet":"Benefits"},{"cell":"K62","kind":"optional","path":["sites",6,"alternatives",1,"outputs",{"module_id":"RipR"},"quantity",1],"sheet":"Benefits"},{"cell":"H62","kind":"optional","path":["sites",6,"alternatives",1,"outputs",{"module_id":"RipR"},"values",2],"sheet":"Benefits"},{"cell":"L62","kind":"optional","path":["sites",6,"alternatives",1,"outputs",{"module_id":"RipR"},"quantity",2],"sheet":"Benefits"},{"cell":"I62","kind":"optional","path":["sites",6,"alternatives",1,"outputs",{"module_id":"RipR"},"values",3],"sheet":"Benefits"},{"cell":"M62","kind":"optional","path":["sites",6,"alternatives",1,"outputs",{"module_id":"RipR"},"quantity",3],"sheet":"Benefits"},{"cell":"F63","kind":"optional","path":["sites",6,"alternatives",2,"outputs",{"module_id":"RipR"},"values",0],"sheet":"Benefits"},{"cell":"J63","kind":"optional","path":["sites",6,"alternatives",2,"outputs",{"module_id":"RipR"},"quantity",0],"sheet":"Benefits"},{"cell":"G63","kind":"optional","path":["sites",6,"alternatives",2,"outputs",{"module_id":"RipR"},"values",1],"sheet":"Benefits"},{"cell":"K63","kind":"optional","path":["sites",6,"alternatives",2,"outputs",{"module_id":"RipR"},"quantity",1],"sheet":"Benefits"},{"cell":"H63","kind":"optional","path":["sites",6,"alternatives",2,"outputs",{"module_id":"RipR"},"values",2],"sheet":"Benefits"},{"cell":"L63","kind":"optional","path":["sites",6,"alternatives",2,"outputs",{"module_id":"RipR"},"quantity",2],"sheet":"Benefits"},{"cell":"I63","kind":"optional","path":["sites",6,"alternatives",2,"outputs",{"module_id":"RipR"},"values",3],"sheet":"Benefits"},{"cell":"M63","kind":"optional","path":["sites",6,"alternatives",2,"outputs",{"module_id":"RipR"},"quantity",3],"sheet":"Benefits"},{"cell":"F64","kind":"optional","path":["sites",6,"alternatives",3,"outputs",{"module_id":"RipR"},"values",0],"sheet":"Benefits"},{"cell":"J64","kind":"optional","path":["sites",6,"alternatives",3,"outputs",{"module_id":"RipR"},"quantity",0],"sheet":"Benefits"},{"cell":"G64","kind":"optional","path":["sites",6,"alternatives",3,"outputs",{"module_id":"RipR"},"values",1],"sheet":"Benefits"},{"cell":"K64","kind":"optional","path":["sites",6,"alternatives",3,"outputs",{"module_id":"RipR"},"quantity",1],"sheet":"Benefits"},{"cell":"H64","kind":"optional","path":["sites",6,"alternatives",3,"outputs",{"module_id":"RipR"},"values",2],"sheet":"Benefits"},{"cell":"L64","kind":"optional","path":["sites",6,"alternatives",3,"outputs",{"module_id":"RipR"},"quantity",2],"sheet":"Benefits"},{"cell":"I64","kind":"optional","path":["sites",6,"alternatives",3,"outputs",{"module_id":"RipR"},"values",3],"sheet":"Benefits"},{"cell":"M64","kind":"optional","path":["sites",6,"alternatives",3,"outputs",{"module_id":"RipR"},"quantity",3],"sheet":"Benefits"},{"cell":"F65","kind":"optional","path":["sites",7,"alternatives",0,"outputs",{"module_id":"RipR"},"values",0],"sheet":"Benefits"},{"cell":"J65","kind":"optional","path":["sites",7,"alternatives",0,"outputs",{"module_id":"RipR"},"quantity",0],"sheet":"Benefits"},{"cell":"G65","kind":"optional","path":["sites",7,"alternatives",0,"outputs",{"module_id":"RipR"},"values",1],"sheet":"Benefits"},{"cell":"K65","kind":"optional","path":["sites",7,"alternatives",0,"outputs",{"module_id":"RipR"},"quantity",1],"sheet":"Benefits"},{"cell":"H65","kind":"optional","path":["sites",7,"alternatives",0,"outputs",{"module_id":"RipR"},"values",2],"sheet":"Benefits"},{"cell":"L65","kind":"optional","path":["sites",7,"alternatives",0,"outputs",{"module_id":"RipR"},"quantity",2],"sheet":"Benefits"},{"cell":"I65","kind":"optional","path":["sites",7,"alternatives",0,"outputs",{"module_id":"RipR"},"values",3],"sheet":"Benefits"},{"cell":"M65","kind":"optional","path":["sites",7,"alternatives",0,"outputs",{"module_id":"RipR"},"quantity",3],"sheet":"Benefits"},{"cell":"F66","kind":"optional","path":["sites",7,"alternatives",1,"outputs",{"module_id":"RipR"},"values",0],"sheet":"Benefits"},{"cell":"J66","kind":"optional","path":["sites",7,"alternatives",1,"outputs",{"module_id":"RipR"},"quantity",0],"sheet":"Benefits"},{"cell":"G66","kind":"optional","path":["sites",7,"alternatives",1,"outputs",{"module_id":"RipR"},"values",1],"sheet":"Benefits"},{"cell":"K66","kind":"optional","path":["sites",7,"alternatives",1,"outputs",{"module_id":"RipR"},"quantity",1],"sheet":"Benefits"},{"cell":"H66","kind":"optional","path":["sites",7,"alternatives",1,"outputs",{"module_id":"RipR"},"values",2],"sheet":"Benefits"},{"cell":"L66","kind":"optional","path":["sites",7,"alternatives",1,"outputs",{"module_id":"RipR"},"quantity",2],"sheet":"Benefits"},{"cell":"I66","kind":"optional","path":["sites",7,"alternatives",1,"outputs",{"module_id":"RipR"},"values",3],"sheet":"Benefits"},{"cell":"M66","kind":"optional","path":["sites",7,"alternatives",1,"outputs",{"module_id":"RipR"},"quantity",3],"sheet":"Benefits"},{"cell":"F67","kind":"optional","path":["sites",7,"alternatives",2,"outputs",{"module_id":"RipR"},"values",0],"sheet":"Benefits"},{"cell":"J67","kind":"optional","path":["sites",7,"alternatives",2,"outputs",{"module_id":"RipR"},"quantity",0],"sheet":"Benefits"},{"cell":"G67","kind":"optional","path":["sites",7,"alternatives",2,"outputs",{"module_id":"RipR"},"values",1],"sheet":"Benefits"},{"cell":"K67","kind":"optional","path":["sites",7,"alternatives",2,"outputs",{"module_id":"RipR"},"quantity",1],"sheet":"Benefits"},{"cell":"H67","kind":"optional","path":["sites",7,"alternatives",2,"outputs",{"module_id":"RipR"},"values",2],"sheet":"Benefits"},{"cell":"L67","kind":"optional","path":["sites",7,"alternatives",2,"outputs",{"module_id":"RipR"},"quantity",2],"sheet":"Benefits"},{"cell":"I67","kind":"optional","path":["sites",7,"alternatives",2,"outputs",{"module_id":"RipR"},"values",3],"sheet":"Benefits"},{"cell":"M67","kind":"optional","path":["sites",7,"alternatives",2,"outputs",{"module_id":"RipR"},"quantity",3],"sheet":"Benefits"},{"cell":"F68","kind":"optional","path":["sites",0,"alternatives",0,"outputs",{"module_id":"Ins"},"values",0],"sheet":"Benefits"},{"cell":"J68","kind":"optional","path":["sites",0,"alternatives",0,"outputs",{"module_id":"Ins"},"quantity",0],"sheet":"Benefits"},{"cell":"G68","kind":"optional","path":["sites",0,"alternatives",0,"outputs",{"module_id":"Ins"},"values",1],"sheet":"Benefits"},{"cell":"K68","kind":"optional","path":["sites",0,"alternatives",0,"outputs",{"module_id":"Ins"},"quantity",1],"sheet":"Benefits"},{"cell":"H68","kind":"optional","path":["sites",0,"alternatives",0,"outputs",{"module_id":"Ins"},"values",2],"sheet":"Benefits"},{"cell":"L68","kind":"optional","path":["sites",0,"alternatives",0,"outputs",{"module_id":"Ins"},"quantity",2],"sheet":"Benefits"},{"cell":"I68","kind":"optional","path":["sites",0,"alternatives",0,"outputs",{"module_id":"Ins"},"values",3],"sheet":"Benefits"},{"cell":"M68","kind":"optional","path":["sites",0,"alternatives",0,"outputs",{"module_id":"Ins"},"quantity",3],"sheet":"Benefits"},{"cell":"F69","kind":"optional","path":["sites",0,"alternatives",1,"outputs",{"module_id":"Ins"},"values",0],"sheet":"Benefits"},{"cell":"J69","kind":"optional","path":["sites",0,"alternatives",1,"outputs",{"module_id":"Ins"},"quantity",0],"sheet":"Benefits"},{"cell":"G69","kind":"optional","path":["sites",0,"alternatives",1,"outputs",{"module_id":"Ins"},"values",1],"sheet":"Benefits"},{"cell":"K69","kind":"optional","path":["sites",0,"alternatives",1,"outputs",{"module_id":"Ins"},"quantity",1],"sheet":"Benefits"},{"cell":"H69","kind":"optional","path":["sites",0,"alternatives",1,"outputs",{"module_id":"Ins"},"values",2],"sheet":"Benefits"},{"cell":"L69","kind":"optional","path":["sites",0,"alternatives",1,"outputs",{"module_id":"Ins"},"quantity",2],"sheet":"Benefits"},{"cell":"I69","kind":"optional","path":["sites",0,"alternatives",1,"outputs",{"module_id":"Ins"},"values",3],"sheet":"Benefits"},{"cell":"M69","kind":"optional","path":["sites",0,"alternatives",1,"outputs",{"module_id":"Ins"},"quantity",3],"sheet":"Benefits"},{"cell":"F70","kind":"optional","path":["sites",0,"alternatives",2,"outputs",{"module_id":"Ins"},"values",0],"sheet":"Benefits"},{"cell":"J70","kind":"optional","path":["sites",0,"alternatives",2,"outputs",{"module_id":"Ins"},"quantity",0],"sheet":"Benefits"},{"cell":"G70","kind":"optional","path":["sites",0,"alternatives",2,"outputs",{"module_id":"Ins"},"values",1],"sheet":"Benefits"},{"cell":"K70","kind":"optional","path":["sites",0,"alternatives",2,"outputs",{"module_id":"Ins"},"quantity",1],"sheet":"Benefits"},{"cell":"H70","kind":"optional","path":["sites",0,"alternatives",2,"outputs",{"module_id":"Ins"},"values",2],"sheet":"Benefits"},{"cell":"L70","kind":"optional","path":["sites",0,"alternatives",2,"outputs",{"module_id":"Ins"},"quantity",2],"sheet":"Benefits"},{"cell":"I70","kind":"optional","path":["sites",0,"alternatives",2,"outputs",{"module_id":"Ins"},"values",3],"sheet":"Benefits"},{"cell":"M70","kind":"optional","path":["sites",0,"alternatives",2,"outputs",{"module_id":"Ins"},"quantity",3],"sheet":"Benefits"},{"cell":"F71","kind":"optional","path":["sites",0,"alternatives",3,"outputs",{"module_id":"Ins"},"values",0],"sheet":"Benefits"},{"cell":"J71","kind":"optional","path":["sites",0,"alternatives",3,"outputs",{"module_id":"Ins"},"quantity",0],"sheet":"Benefits"},{"cell":"G71","kind":"optional","path":["sites",0,"alternatives",3,"outputs",{"module_id":"Ins"},"values",1],"sheet":"Benefits"},{"cell":"K71","kind":"optional","path":["sites",0,"alternatives",3,"outputs",{"module_id":"Ins"},"quantity",1],"sheet":"Benefits"},{"cell":"H71","kind":"optional","path":["sites",0,"alternatives",3,"outputs",{"module_id":"Ins"},"values",2],"sheet":"Benefits"},{"cell":"L71","kind":"optional","path":["sites",0,"alternatives",3,"outputs",{"module_id":"Ins"},"quantity",2],"sheet":"Benefits"},{"cell":"I71","kind":"optional","path":["sites",0,"alternatives",3,"outputs",{"module_id":"Ins"},"values",3],"sheet":"Benefits"},{"cell":"M71","kind":"optional","path":["sites",0,"alternatives",3,"outputs",{"module_id":"Ins"},"quantity",3],"sheet":"Benefits"},{"cell":"F72","kind":"optional","path":["sites",1,"alternatives",0,"outputs",{"module_id":"Ins"},"values",0],"sheet":"Benefits"},{"cell":"J72","kind":"optional","path":["sites",1,"alternatives",0,"outputs",{"module_id":"Ins"},"quantity",0],"sheet":"Benefits"},{"cell":"G72","kind":"optional","path":["sites",1,"alternatives",0,"outputs",{"module_id":"Ins"},"values",1],"sheet":"Benefits"},{"cell":"K72","kind":"optional","path":["sites",1,"alternatives",0,"outputs",{"module_id":"Ins"},"quantity",1],"sheet":"Benefits"},{"cell":"H72","kind":"optional","path":["sites",1,"alternatives",0,"outputs",{"module_id":"Ins"},"values",2],"sheet":"Benefits"},{"cell":"L72","kind":"optional","path":["sites",1,"alternatives",0,"outputs",{"module_id":"Ins"},"quantity",2],"sheet":"Benefits"},{"cell":"I72","kind":"optional","path":["sites",1,"alternatives",0,"outputs",{"module_id":"Ins"},"values",3],"sheet":"Benefits"},{"cell":"M72","kind":"optional","path":["sites",1,"alternatives",0,"outputs",{"module_id":"Ins"},"quantity",3],"sheet":"Benefits"},{"cell":"F73","kind":"optional","path":["sites",1,"alternatives",1,"outputs",{"module_id":"Ins"},"values",0],"sheet":"Benefits"},{"cell":"J73","kind":"optional","path":["sites",1,"alternatives",1,"outputs",{"module_id":"Ins"},"quantity",0],"sheet":"Benefits"},{"cell":"G73","kind":"optional","path":["sites",1,"alternatives",1,"outputs",{"module_id":"Ins"},"values",1],"sheet":"Benefits"},{"cell":"K73","kind":"optional","path":["sites",1,"alternatives",1,"outputs",{"module_id":"Ins"},"quantity",1],"sheet":"Benefits"},{"cell":"H73","kind":"optional","path":["sites",1,"alternatives",1,"outputs",{"module_id":"Ins"},"values",2],"sheet":"Benefits"},{"cell":"L73","kind":"optional","path":["sites",1,"alternatives",1,"outputs",{"module_id":"Ins"},"quantity",2],"sheet":"Benefits"},{"cell":"I73","kind":"optional","path":["sites",1,"alternatives",1,"outputs",{"module_id":"Ins"},"values",3],"sheet":"Benefits"},{"cell":"M73","kind":"optional","path":["sites",1,"alternatives",1,"outputs",{"module_id":"Ins"},"quantity",3],"sheet":"Benefits"},{"cell":"F74","kind":"optional","path":["sites",1,"alternatives",2,"outputs",{"module_id":"Ins"},"values",0],"sheet":"Benefits"},{"cell":"J74","kind":"optional","path":["sites",1,"alternatives",2,"outputs",{"module_id":"Ins"},"quantity",0],"sheet":"Benefits"},{"cell":"G74","kind":"optional","path":["sites",1,"alternatives",2,"outputs",{"module_id":"Ins"},"values",1],"sheet":"Benefits"},{"cell":"K74","kind":"optional","path":["sites",1,"alternatives",2,"outputs",{"module_id":"Ins"},"quantity",1],"sheet":"Benefits"},{"cell":"H74","kind":"optional","path":["sites",1,"alternatives",2,"outputs",{"module_id":"Ins"},"values",2],"sheet":"Benefits"},{"cell":"L74","kind":"optional","path":["sites",1,"alternatives",2,"outputs",{"module_id":"Ins"},"quantity",2],"sheet":"Benefits"},{"cell":"I74","kind":"optional","path":["sites",1,"alternatives",2,"outputs",{"module_id":"Ins"},"values",3],"sheet":"Benefits"},{"cell":"M74","kind":"optional","path":["sites",1,"alternatives",2,"outputs",{"module_id":"Ins"},"quantity",3],"sheet":"Benefits"},{"cell":"F75","kind":"optional","path":["sites",1,"alternatives",3,"outputs",{"module_id":"Ins"},"values",0],"sheet":"Benefits"},{"cell":"J75","kind":"optional","path":["sites",1,"alternatives",3,"outputs",{"module_id":"Ins"},"quantity",0],"sheet":"Benefits"},{"cell":"G75","kind":"optional","path":["sites",1,"alternatives",3,"outputs",{"module_id":"Ins"},"values",1],"sheet":"Benefits"},{"cell":"K75","kind":"optional","path":["sites",1,"alternatives",3,"outputs",{"module_id":"Ins"},"quantity",1],"sheet":"Benefits"},{"cell":"H75","kind":"optional","path":["sites",1,"alternatives",3,"outputs",{"module_id":"Ins"},"values",2],"sheet":"Benefits"},{"cell":"L75","kind":"optional","path":["sites",1,"alternatives",3,"outputs",{"module_id":"Ins"},"quantity",2],"sheet":"Benefits"},{"cell":"I75","kind":"optional","path":["sites",1,"alternatives",3,"outputs",{"module_id":"Ins"},"values",3],"sheet":"Benefits"},{"cell":"M75","kind":"optional","path":["sites",1,"alternatives",3,"outputs",{"module_id":"Ins"},"quantity",3],"sheet":"Benefits"},{"cell":"F76","kind":"optional","path":["sites",2,"alternatives",0,"outputs",{"module_id":"Ins"},"values",0],"sheet":"Benefits"},{"cell":"J76","kind":"optional","path":["sites",2,"alternatives",0,"outputs",{"module_id":"Ins"},"quantity",0],"sheet":"Benefits"},{"cell":"G76","kind":"optional","path":["sites",2,"alternatives",0,"outputs",{"module_id":"Ins"},"values",1],"sheet":"Benefits"},{"cell":"K76","kind":"optional","path":["sites",2,"alternatives",0,"outputs",{"module_id":"Ins"},"quantity",1],"sheet":"Benefits"},{"cell":"H76","kind":"optional","path":["sites",2,"alternatives",0,"outputs",{"module_id":"Ins"},"values",2],"sheet":"Benefits"},{"cell":"L76","kind":"optional","path":["sites",2,"alternatives",0,"outputs",{"module_id":"Ins"},"quantity",2],"sheet":"Benefits"},{"cell":"I76","kind":"optional","path":["sites",2,"alternatives",0,"outputs",{"module_id":"Ins"},"values",3],"sheet":"Benefits"},{"cell":"M76","kind":"optional","path":["sites",2,"alternatives",0,"outputs",{"module_id":"Ins"},"quantity",3],"sheet":"Benefits"},{"cell":"F77","kind":"optional","path":["sites",2,"alternatives",1,"outputs",{"module_id":"Ins"},"values",0],"sheet":"Benefits"},{"cell":"J77","kind":"optional","path":["sites",2,"alternatives",1,"outputs",{"module_id":"Ins"},"quantity",0],"sheet":"Benefits"},{"cell":"G77","kind":"optional","path":["sites",2,"alternatives",1,"outputs",{"module_id":"Ins"},"values",1],"sheet":"Benefits"},{"cell":"K77","kind":"optional","path":["sites",2,"alternatives",1,"outputs",{"module_id":"Ins"},"quantity",1],"sheet":"Benefits"},{"cell":"H77","kind":"optional","path":["sites",2,"alternatives",1,"outputs",{"module_id":"Ins"},"values",2],"sheet":"Benefits"},{"cell":"L77","kind":"optional","path":["sites",2,"alternatives",1,"outputs",{"module_id":"Ins"},"quantity",2],"sheet":"Benefits"},{"cell":"I77","kind":"optional","path":["sites",2,"alternatives",1,"outputs",{"module_id":"Ins"},"values",3],"sheet":"Benefits"},{"cell":"M77","kind":"optional","path":["sites",2,"alternatives",1,"outputs",{"module_id":"Ins"},"quantity",3],"sheet":"Benefits"},{"cell":"F78","kind":"optional","path":["sites",2,"alternatives",2,"outputs",{"module_id":"Ins"},"values",0],"sheet":"Benefits"},{"cell":"J78","kind":"optional","path":["sites",2,"alternatives",2,"outputs",{"module_id":"Ins"},"quantity",0],"sheet":"Benefits"},{"cell":"G78","kind":"optional","path":["sites",2,"alternatives",2,"outputs",{"module_id":"Ins"},"values",1],"sheet":"Benefits"},{"cell":"K78","kind":"optional","path":["sites",2,"alternatives",2,"outputs",{"module_id":"Ins"},"quantity",1],"sheet":"Benefits"},{"cell":"H78","kind":"optional","path":["sites",2,"alternatives",2,"outputs",{"module_id":"Ins"},"values",2],"sheet":"Benefits"},{"cell":"L78","kind":"optional","path":["sites",2,"alternatives",2,"outputs",{"module_id":"Ins"},"quantity",2],"sheet":"Benefits"},{"cell":"I78","kind":"optional","path":["sites",2,"alternatives",2,"outputs",{"module_id":"Ins"},"values",3],"sheet":"Benefits"},{"cell":"M78","kind":"optional","path":["sites",2,"alternatives",2,"outputs",{"module_id":"Ins"},"quantity",3],"sheet":"Benefits"},{"cell":"F79","kind":"optional","path":["sites",2,"alternatives",3,"outputs",{"module_id":"Ins"},"values",0],"sheet":"Benefits"},{"cell":"J79","kind":"optional","path":["sites",2,"alternatives",3,"outputs",{"module_id":"Ins"},"quantity",0],"sheet":"Benefits"},{"cell":"G79","kind":"optional","path":["sites",2,"alternatives",3,"outputs",{"module_id":"Ins"},"values",1],"sheet":"Benefits"},{"cell":"K79","kind":"optional","path":["sites",2,"alternatives",3,"outputs",{"module_id":"Ins"},"quantity",1],"sheet":"Benefits"},{"cell":"H79","kind":"optional","path":["sites",2,"alternatives",3,"outputs",{"module_id":"Ins"},"values",2],"sheet":"Benefits"},{"cell":"L79","kind":"optional","path":["sites",2,"alternatives",3,"outputs",{"module_id":"Ins"},"quantity",2],"sheet":"Benefits"},{"cell":"I79","kind":"optional","path":["sites",2,"alternatives",3,"outputs",{"module_id":"Ins"},"values",3],"sheet":"Benefits"},{"cell":"M79","kind":"optional","path":["sites",2,"alternatives",3,"outputs",{"module_id":"Ins"},"quantity",3],"sheet":"Benefits"},{"cell":"F80","kind":"optional","path":["sites",3,"alternatives",0,"outputs",{"module_id":"Ins"},"values",0],"sheet":"Benefits"},{"cell":"J80","kind":"optional","path":["sites",3,"alternatives",0,"outputs",{"module_id":"Ins"},"quantity",0],"sheet":"Benefits"},{"cell":"G80","kind":"optional","path":["sites",3,"alternatives",0,"outputs",{"module_id":"Ins"},"values",1],"sheet":"Benefits"},{"cell":"K80","kind":"optional","path":["sites",3,"alternatives",0,"outputs",{"module_id":"Ins"},"quantity",1],"sheet":"Benefits"},{"cell":"H80","kind":"optional","path":["sites",3,"alternatives",0,"outputs",{"module_id":"Ins"},"values",2],"sheet":"Benefits"},{"cell":"L80","kind":"optional","path":["sites",3,"alternatives",0,"outputs",{"module_id":"Ins"},"quantity",2],"sheet":"Benefits"},{"cell":"I80","kind":"optional","path":["sites",3,"alternatives",0,"outputs",{"module_id":"Ins"},"values",3],"sheet":"Benefits"},{"cell":"M80","kind":"optional","path":["sites",3,"alternatives",0,"outputs",{"module_id":"Ins"},"quantity",3],"sheet":"Benefits"},{"cell":"F81","kind":"optional","path":["sites",3,"alternatives",1,"outputs",{"module_id":"Ins"},"values",0],"sheet":"Benefits"},{"cell":"J81","kind":"optional","path":["sites",3,"alternatives",1,"outputs",{"module_id":"Ins"},"quantity",0],"sheet":"Benefits"},{"cell":"G81","kind":"optional","path":["sites",3,"alternatives",1,"outputs",{"module_id":"Ins"},"values",1],"sheet":"Benefits"},{"cell":"K81","kind":"optional","path":["sites",3,"alternatives",1,"outputs",{"module_id":"Ins"},"quantity",1],"sheet":"Benefits"},{"cell":"H81","kind":"optional","path":["sites",3,"alternatives",1,"outputs",{"module_id":"Ins"},"values",2],"sheet":"Benefits"},{"cell":"L81","kind":"optional","path":["sites",3,"alternatives",1,"outputs",{"module_id":"Ins"},"quantity",2],"sheet":"Benefits"},{"cell":"I81","kind":"optional","path":["sites",3,"alternatives",1,"outputs",{"module_id":"Ins"},"values",3],"sheet":"Benefits"},{"cell":"M81","kind":"optional","path":["sites",3,"alternatives",1,"outputs",{"module_id":"Ins"},"quantity",3],"sheet":"Benefits"},{"cell":"F82","kind":"optional","path":["sites",3,"alternatives",2,"outputs",{"module_id":"Ins"},"values",0],"sheet":"Benefits"},{"cell":"J82","kind":"optional","path":["sites",3,"alternatives",2,"outputs",{"module_id":"Ins"},"quantity",0],"sheet":"Benefits"},{"cell":"G82","kind":"optional","path":["sites",3,"alternatives",2,"outputs",{"module_id":"Ins"},"values",1],"sheet":"Benefits"},{"cell":"K82","kind":"optional","path":["sites",3,"alternatives",2,"outputs",{"module_id":"Ins"},"quantity",1],"sheet":"Benefits"},{"cell":"H82","kind":"optional","path":["sites",3,"alternatives",2,"outputs",{"module_id":"Ins"},"values",2],"sheet":"Benefits"},{"cell":"L82","kind":"optional","path":["sites",3,"alternatives",2,"outputs",{"module_id":"Ins"},"quantity",2],"sheet":"Benefits"},{"cell":"I82","kind":"optional","path":["sites",3,"alternatives",2,"outputs",{"module_id":"Ins"},"values",3],"sheet":"Benefits"},{"cell":"M82","kind":"optional","path":["sites",3,"alternatives",2,"outputs",{"module_id":"Ins"},"quantity",3],"sheet":"Benefits"},{"cell":"F83","kind":"optional","path":["sites",3,"alternatives",3,"outputs",{"module_id":"Ins"},"values",0],"sheet":"Benefits"},{"cell":"J83","kind":"optional","path":["sites",3,"alternatives",3,"outputs",{"module_id":"Ins"},"quantity",0],"sheet":"Benefits"},{"cell":"G83","kind":"optional","path":["sites",3,"alternatives",3,"outputs",{"module_id":"Ins"},"values",1],"sheet":"Benefits"},{"cell":"K83","kind":"optional","path":["sites",3,"alternatives",3,"outputs",{"module_id":"Ins"},"quantity",1],"sheet":"Benefits"},{"cell":"H83","kind":"optional","path":["sites",3,"alternatives",3,"outputs",{"module_id":"Ins"},"values",2],"sheet":"Benefits"},{"cell":"L83","kind":"optional","path":["sites",3,"alternatives",3,"outputs",{"module_id":"Ins"},"quantity",2],"sheet":"Benefits"},{"cell":"I83","kind":"optional","path":["sites",3,"alternatives",3,"outputs",{"module_id":"Ins"},"values",3],"sheet":"Benefits"},{"cell":"M83","kind":"optional","path":["sites",3,"alternatives",3,"outputs",{"module_id":"Ins"},"quantity",3],"sheet":"Benefits"},{"cell":"F84","kind":"optional","path":["sites",4,"alternatives",0,"outputs",{"module_id":"Ins"},"values",0],"sheet":"Benefits"},{"cell":"J84","kind":"optional","path":["sites",4,"alternatives",0,"outputs",{"module_id":"Ins"},"quantity",0],"sheet":"Benefits"},{"cell":"G84","kind":"optional","path":["sites",4,"alternatives",0,"outputs",{"module_id":"Ins"},"values",1],"sheet":"Benefits"},{"cell":"K84","kind":"optional","path":["sites",4,"alternatives",0,"outputs",{"module_id":"Ins"},"quantity",1],"sheet":"Benefits"},{"cell":"H84","kind":"optional","path":["sites",4,"alternatives",0,"outputs",{"module_id":"Ins"},"values",2],"sheet":"Benefits"},{"cell":"L84","kind":"optional","path":["sites",4,"alternatives",0,"outputs",{"module_id":"Ins"},"quantity",2],"sheet":"Benefits"},{"cell":"I84","kind":"optional","path":["sites",4,"alternatives",0,"outputs",{"module_id":"Ins"},"values",3],"sheet":"Benefits"},{"cell":"M84","kind":"optional","path":["sites",4,"alternatives",0,"outputs",{"module_id":"Ins"},"quantity",3],"sheet":"Benefits"},{"cell":"F85","kind":"optional","path":["sites",4,"alternatives",1,"outputs",{"module_id":"Ins"},"values",0],"sheet":"Benefits"},{"cell":"J85","kind":"optional","path":["sites",4,"alternatives",1,"outputs",{"module_id":"Ins"},"quantity",0],"sheet":"Benefits"},{"cell":"G85","kind":"optional","path":["sites",4,"alternatives",1,"outputs",{"module_id":"Ins"},"values",1],"sheet":"Benefits"},{"cell":"K85","kind":"optional","path":["sites",4,"alternatives",1,"outputs",{"module_id":"Ins"},"quantity",1],"sheet":"Benefits"},{"cell":"H85","kind":"optional","path":["sites",4,"alternatives",1,"outputs",{"module_id":"Ins"},"values",2],"sheet":"Benefits"},{"cell":"L85","kind":"optional","path":["sites",4,"alternatives",1,"outputs",{"module_id":"Ins"},"quantity",2],"sheet":"Benefits"},{"cell":"I85","kind":"optional","path":["sites",4,"alternatives",1,"outputs",{"module_id":"Ins"},"values",3],"sheet":"Benefits"},{"cell":"M85","kind":"optional","path":["sites",4,"alternatives",1,"outputs",{"module_id":"Ins"},"quantity",3],"sheet":"Benefits"},{"cell":"F86","kind":"optional","path":["sites",4,"alternatives",2,"outputs",{"module_id":"Ins"},"values",0],"sheet":"Benefits"},{"cell":"J86","kind":"optional","path":["sites",4,"alternatives",2,"outputs",{"module_id":"Ins"},"quantity",0],"sheet":"Benefits"},{"cell":"G86","kind":"optional","path":["sites",4,"alternatives",2,"outputs",{"module_id":"Ins"},"values",1],"sheet":"Benefits"},{"cell":"K86","kind":"optional","path":["sites",4,"alternatives",2,"outputs",{"module_id":"Ins"},"quantity",1],"sheet":"Benefits"},{"cell":"H86","kind":"optional","path":["sites",4,"alternatives",2,"outputs",{"module_id":"Ins"},"values",2],"sheet":"Benefits"},{"cell":"L86","kind":"optional","path":["sites",4,"alternatives",2,"outputs",{"module_id":"Ins"},"quantity",2],"sheet":"Benefits"},{"cell":"I86","kind":"optional","path":["sites",4,"alternatives",2,"outputs",{"module_id":"Ins"},"values",3],"sheet":"Benefits"},{"cell":"M86","kind":"optional","path":["sites",4,"alternatives",2,"outputs",{"module_id":"Ins"},"quantity",3],"sheet":"Benefits"},{"cell":"F87","kind":"optional","path":["sites",4,"alternatives",3,"outputs",{"module_id":"Ins"},"values",0],"sheet":"Benefits"},{"cell":"J87","kind":"optional","path":["sites",4,"alternatives",3,"outputs",{"module_id":"Ins"},"quantity",0],"sheet":"Benefits"},{"cell":"G87","kind":"optional","path":["sites",4,"alternatives",3,"outputs",{"module_id":"Ins"},"values",1],"sheet":"Benefits"},{"cell":"K87","kind":"optional","path":["sites",4,"alternatives",3,"outputs",{"module_id":"Ins"},"quantity",1],"sheet":"Benefits"},{"cell":"H87","kind":"optional","path":["sites",4,"alternatives",3,"outputs",{"module_id":"Ins"},"values",2],"sheet":"Benefits"},{"cell":"L87","kind":"optional","path":["sites",4,"alternatives",3,"outputs",{"module_id":"Ins"},"quantity",2],"sheet":"Benefits"},{"cell":"I87","kind":"optional","path":["sites",4,"alternatives",3,"outputs",{"module_id":"Ins"},"values",3],"sheet":"Benefits"},{"cell":"M87","kind":"optional","path":["sites",4,"alternatives",3,"outputs",{"module_id":"Ins"},"quantity",3],"sheet":"Benefits"},{"cell":"F88","kind":"optional","path":["sites",5,"alternatives",0,"outputs",{"module_id":"Ins"},"values",0],"sheet":"Benefits"},{"cell":"J88","kind":"optional","path":["sites",5,"alternatives",0,"outputs",{"module_id":"Ins"},"quantity",0],"sheet":"Benefits"},{"cell":"G88","kind":"optional","path":["sites",5,"alternatives",0,"outputs",{"module_id":"Ins"},"values",1],"sheet":"Benefits"},{"cell":"K88","kind":"optional","path":["sites",5,"alternatives",0,"outputs",{"module_id":"Ins"},"quantity",1],"sheet":"Benefits"},{"cell":"H88","kind":"optional","path":["sites",5,"alternatives",0,"outputs",{"module_id":"Ins"},"values",2],"sheet":"Benefits"},{"cell":"L88","kind":"optional","path":["sites",5,"alternatives",0,"outputs",{"module_id":"Ins"},"quantity",2],"sheet":"Benefits"},{"cell":"I88","kind":"optional","path":["sites",5,"alternatives",0,"outputs",{"module_id":"Ins"},"values",3],"sheet":"Benefits"},{"cell":"M88","kind":"optional","path":["sites",5,"alternatives",0,"outputs",{"module_id":"Ins"},"quantity",3],"sheet":"Benefits"},{"cell":"F89","kind":"optional","path":["sites",5,"alternatives",1,"outputs",{"module_id":"Ins"},"values",0],"sheet":"Benefits"},{"cell":"J89","kind":"optional","path":["sites",5,"alternatives",1,"outputs",{"module_id":"Ins"},"quantity",0],"sheet":"Benefits"},{"cell":"G89","kind":"optional","path":["sites",5,"alternatives",1,"outputs",{"module_id":"Ins"},"values",1],"sheet":"Benefits"},{"cell":"K89","kind":"optional","path":["sites",5,"alternatives",1,"outputs",{"module_id":"Ins"},"quantity",1],"sheet":"Benefits"},{"cell":"H89","kind":"optional","path":["sites",5,"alternatives",1,"outputs",{"module_id":"Ins"},"values",2],"sheet":"Benefits"},{"cell":"L89","kind":"optional","path":["sites",5,"alternatives",1,"outputs",{"module_id":"Ins"},"quantity",2],"sheet":"Benefits"},{"cell":"I89","kind":"optional","path":["sites",5,"alternatives",1,"outputs",{"module_id":"Ins"},"values",3],"sheet":"Benefits"},{"cell":"M89","kind":"optional","path":["sites",5,"alternatives",1,"outputs",{"module_id":"Ins"},"quantity",3],"sheet":"Benefits"},{"cell":"F90","kind":"optional","path":["sites",5,"alternatives",2,"outputs",{"module_id":"Ins"},"values",0],"sheet":"Benefits"},{"cell":"J90","kind":"optional","path":["sites",5,"alternatives",2,"outputs",{"module_id":"Ins"},"quantity",0],"sheet":"Benefits"},{"cell":"G90","kind":"optional","path":["sites",5,"alternatives",2,"outputs",{"module_id":"Ins"},"values",1],"sheet":"Benefits"},{"cell":"K90","kind":"optional","path":["sites",5,"alternatives",2,"outputs",{"module_id":"Ins"},"quantity",1],"sheet":"Benefits"},{"cell":"H90","kind":"optional","path":["sites",5,"alternatives",2,"outputs",{"module_id":"Ins"},"values",2],"sheet":"Benefits"},{"cell":"L90","kind":"optional","path":["sites",5,"alternatives",2,"outputs",{"module_id":"Ins"},"quantity",2],"sheet":"Benefits"},{"cell":"I90","kind":"optional","path":["sites",5,"alternatives",2,"outputs",{"module_id":"Ins"},"values",3],"sheet":"Benefits"},{"cell":"M90","kind":"optional","path":["sites",5,"alternatives",2,"outputs",{"module_id":"Ins"},"quantity",3],"sheet":"Benefits"},{"cell":"F91","kind":"optional","path":["sites",5,"alternative</t>
        </is>
      </c>
      <c r="F3" t="inlineStr">
        <is>
          <t>s",3,"outputs",{"module_id":"Ins"},"values",0],"sheet":"Benefits"},{"cell":"J91","kind":"optional","path":["sites",5,"alternatives",3,"outputs",{"module_id":"Ins"},"quantity",0],"sheet":"Benefits"},{"cell":"G91","kind":"optional","path":["sites",5,"alternatives",3,"outputs",{"module_id":"Ins"},"values",1],"sheet":"Benefits"},{"cell":"K91","kind":"optional","path":["sites",5,"alternatives",3,"outputs",{"module_id":"Ins"},"quantity",1],"sheet":"Benefits"},{"cell":"H91","kind":"optional","path":["sites",5,"alternatives",3,"outputs",{"module_id":"Ins"},"values",2],"sheet":"Benefits"},{"cell":"L91","kind":"optional","path":["sites",5,"alternatives",3,"outputs",{"module_id":"Ins"},"quantity",2],"sheet":"Benefits"},{"cell":"I91","kind":"optional","path":["sites",5,"alternatives",3,"outputs",{"module_id":"Ins"},"values",3],"sheet":"Benefits"},{"cell":"M91","kind":"optional","path":["sites",5,"alternatives",3,"outputs",{"module_id":"Ins"},"quantity",3],"sheet":"Benefits"},{"cell":"F92","kind":"optional","path":["sites",6,"alternatives",0,"outputs",{"module_id":"Ins"},"values",0],"sheet":"Benefits"},{"cell":"J92","kind":"optional","path":["sites",6,"alternatives",0,"outputs",{"module_id":"Ins"},"quantity",0],"sheet":"Benefits"},{"cell":"G92","kind":"optional","path":["sites",6,"alternatives",0,"outputs",{"module_id":"Ins"},"values",1],"sheet":"Benefits"},{"cell":"K92","kind":"optional","path":["sites",6,"alternatives",0,"outputs",{"module_id":"Ins"},"quantity",1],"sheet":"Benefits"},{"cell":"H92","kind":"optional","path":["sites",6,"alternatives",0,"outputs",{"module_id":"Ins"},"values",2],"sheet":"Benefits"},{"cell":"L92","kind":"optional","path":["sites",6,"alternatives",0,"outputs",{"module_id":"Ins"},"quantity",2],"sheet":"Benefits"},{"cell":"I92","kind":"optional","path":["sites",6,"alternatives",0,"outputs",{"module_id":"Ins"},"values",3],"sheet":"Benefits"},{"cell":"M92","kind":"optional","path":["sites",6,"alternatives",0,"outputs",{"module_id":"Ins"},"quantity",3],"sheet":"Benefits"},{"cell":"F93","kind":"optional","path":["sites",6,"alternatives",1,"outputs",{"module_id":"Ins"},"values",0],"sheet":"Benefits"},{"cell":"J93","kind":"optional","path":["sites",6,"alternatives",1,"outputs",{"module_id":"Ins"},"quantity",0],"sheet":"Benefits"},{"cell":"G93","kind":"optional","path":["sites",6,"alternatives",1,"outputs",{"module_id":"Ins"},"values",1],"sheet":"Benefits"},{"cell":"K93","kind":"optional","path":["sites",6,"alternatives",1,"outputs",{"module_id":"Ins"},"quantity",1],"sheet":"Benefits"},{"cell":"H93","kind":"optional","path":["sites",6,"alternatives",1,"outputs",{"module_id":"Ins"},"values",2],"sheet":"Benefits"},{"cell":"L93","kind":"optional","path":["sites",6,"alternatives",1,"outputs",{"module_id":"Ins"},"quantity",2],"sheet":"Benefits"},{"cell":"I93","kind":"optional","path":["sites",6,"alternatives",1,"outputs",{"module_id":"Ins"},"values",3],"sheet":"Benefits"},{"cell":"M93","kind":"optional","path":["sites",6,"alternatives",1,"outputs",{"module_id":"Ins"},"quantity",3],"sheet":"Benefits"},{"cell":"F94","kind":"optional","path":["sites",6,"alternatives",2,"outputs",{"module_id":"Ins"},"values",0],"sheet":"Benefits"},{"cell":"J94","kind":"optional","path":["sites",6,"alternatives",2,"outputs",{"module_id":"Ins"},"quantity",0],"sheet":"Benefits"},{"cell":"G94","kind":"optional","path":["sites",6,"alternatives",2,"outputs",{"module_id":"Ins"},"values",1],"sheet":"Benefits"},{"cell":"K94","kind":"optional","path":["sites",6,"alternatives",2,"outputs",{"module_id":"Ins"},"quantity",1],"sheet":"Benefits"},{"cell":"H94","kind":"optional","path":["sites",6,"alternatives",2,"outputs",{"module_id":"Ins"},"values",2],"sheet":"Benefits"},{"cell":"L94","kind":"optional","path":["sites",6,"alternatives",2,"outputs",{"module_id":"Ins"},"quantity",2],"sheet":"Benefits"},{"cell":"I94","kind":"optional","path":["sites",6,"alternatives",2,"outputs",{"module_id":"Ins"},"values",3],"sheet":"Benefits"},{"cell":"M94","kind":"optional","path":["sites",6,"alternatives",2,"outputs",{"module_id":"Ins"},"quantity",3],"sheet":"Benefits"},{"cell":"F95","kind":"optional","path":["sites",6,"alternatives",3,"outputs",{"module_id":"Ins"},"values",0],"sheet":"Benefits"},{"cell":"J95","kind":"optional","path":["sites",6,"alternatives",3,"outputs",{"module_id":"Ins"},"quantity",0],"sheet":"Benefits"},{"cell":"G95","kind":"optional","path":["sites",6,"alternatives",3,"outputs",{"module_id":"Ins"},"values",1],"sheet":"Benefits"},{"cell":"K95","kind":"optional","path":["sites",6,"alternatives",3,"outputs",{"module_id":"Ins"},"quantity",1],"sheet":"Benefits"},{"cell":"H95","kind":"optional","path":["sites",6,"alternatives",3,"outputs",{"module_id":"Ins"},"values",2],"sheet":"Benefits"},{"cell":"L95","kind":"optional","path":["sites",6,"alternatives",3,"outputs",{"module_id":"Ins"},"quantity",2],"sheet":"Benefits"},{"cell":"I95","kind":"optional","path":["sites",6,"alternatives",3,"outputs",{"module_id":"Ins"},"values",3],"sheet":"Benefits"},{"cell":"M95","kind":"optional","path":["sites",6,"alternatives",3,"outputs",{"module_id":"Ins"},"quantity",3],"sheet":"Benefits"},{"cell":"F96","kind":"optional","path":["sites",7,"alternatives",0,"outputs",{"module_id":"Ins"},"values",0],"sheet":"Benefits"},{"cell":"J96","kind":"optional","path":["sites",7,"alternatives",0,"outputs",{"module_id":"Ins"},"quantity",0],"sheet":"Benefits"},{"cell":"G96","kind":"optional","path":["sites",7,"alternatives",0,"outputs",{"module_id":"Ins"},"values",1],"sheet":"Benefits"},{"cell":"K96","kind":"optional","path":["sites",7,"alternatives",0,"outputs",{"module_id":"Ins"},"quantity",1],"sheet":"Benefits"},{"cell":"H96","kind":"optional","path":["sites",7,"alternatives",0,"outputs",{"module_id":"Ins"},"values",2],"sheet":"Benefits"},{"cell":"L96","kind":"optional","path":["sites",7,"alternatives",0,"outputs",{"module_id":"Ins"},"quantity",2],"sheet":"Benefits"},{"cell":"I96","kind":"optional","path":["sites",7,"alternatives",0,"outputs",{"module_id":"Ins"},"values",3],"sheet":"Benefits"},{"cell":"M96","kind":"optional","path":["sites",7,"alternatives",0,"outputs",{"module_id":"Ins"},"quantity",3],"sheet":"Benefits"},{"cell":"F97","kind":"optional","path":["sites",7,"alternatives",1,"outputs",{"module_id":"Ins"},"values",0],"sheet":"Benefits"},{"cell":"J97","kind":"optional","path":["sites",7,"alternatives",1,"outputs",{"module_id":"Ins"},"quantity",0],"sheet":"Benefits"},{"cell":"G97","kind":"optional","path":["sites",7,"alternatives",1,"outputs",{"module_id":"Ins"},"values",1],"sheet":"Benefits"},{"cell":"K97","kind":"optional","path":["sites",7,"alternatives",1,"outputs",{"module_id":"Ins"},"quantity",1],"sheet":"Benefits"},{"cell":"H97","kind":"optional","path":["sites",7,"alternatives",1,"outputs",{"module_id":"Ins"},"values",2],"sheet":"Benefits"},{"cell":"L97","kind":"optional","path":["sites",7,"alternatives",1,"outputs",{"module_id":"Ins"},"quantity",2],"sheet":"Benefits"},{"cell":"I97","kind":"optional","path":["sites",7,"alternatives",1,"outputs",{"module_id":"Ins"},"values",3],"sheet":"Benefits"},{"cell":"M97","kind":"optional","path":["sites",7,"alternatives",1,"outputs",{"module_id":"Ins"},"quantity",3],"sheet":"Benefits"},{"cell":"F98","kind":"optional","path":["sites",7,"alternatives",2,"outputs",{"module_id":"Ins"},"values",0],"sheet":"Benefits"},{"cell":"J98","kind":"optional","path":["sites",7,"alternatives",2,"outputs",{"module_id":"Ins"},"quantity",0],"sheet":"Benefits"},{"cell":"G98","kind":"optional","path":["sites",7,"alternatives",2,"outputs",{"module_id":"Ins"},"values",1],"sheet":"Benefits"},{"cell":"K98","kind":"optional","path":["sites",7,"alternatives",2,"outputs",{"module_id":"Ins"},"quantity",1],"sheet":"Benefits"},{"cell":"H98","kind":"optional","path":["sites",7,"alternatives",2,"outputs",{"module_id":"Ins"},"values",2],"sheet":"Benefits"},{"cell":"L98","kind":"optional","path":["sites",7,"alternatives",2,"outputs",{"module_id":"Ins"},"quantity",2],"sheet":"Benefits"},{"cell":"I98","kind":"optional","path":["sites",7,"alternatives",2,"outputs",{"module_id":"Ins"},"values",3],"sheet":"Benefits"},{"cell":"M98","kind":"optional","path":["sites",7,"alternatives",2,"outputs",{"module_id":"Ins"},"quantity",3],"sheet":"Benefits"},{"cell":"D6","kind":"number","path":["sites",0,"alternatives",0,"costs","first_costs","construction"],"sheet":"Costs"},{"cell":"E6","kind":"number","path":["sites",0,"alternatives",0,"costs","first_costs","monitoring"],"sheet":"Costs"},{"cell":"F6","kind":"number","path":["sites",0,"alternatives",0,"costs","first_costs","adaptive_management"],"sheet":"Costs"},{"cell":"G6","kind":"number","path":["sites",0,"alternatives",0,"costs","construction_months"],"sheet":"Costs"},{"cell":"L6","kind":"optional","path":["sites",0,"alternatives",0,"costs","annual_override"],"sheet":"Costs"},{"cell":"D7","kind":"number","path":["sites",0,"alternatives",1,"costs","first_costs","construction"],"sheet":"Costs"},{"cell":"E7","kind":"number","path":["sites",0,"alternatives",1,"costs","first_costs","monitoring"],"sheet":"Costs"},{"cell":"F7","kind":"number","path":["sites",0,"alternatives",1,"costs","first_costs","adaptive_management"],"sheet":"Costs"},{"cell":"G7","kind":"number","path":["sites",0,"alternatives",1,"costs","construction_months"],"sheet":"Costs"},{"cell":"L7","kind":"optional","path":["sites",0,"alternatives",1,"costs","annual_override"],"sheet":"Costs"},{"cell":"D8","kind":"number","path":["sites",0,"alternatives",2,"costs","first_costs","construction"],"sheet":"Costs"},{"cell":"E8","kind":"number","path":["sites",0,"alternatives",2,"costs","first_costs","monitoring"],"sheet":"Costs"},{"cell":"F8","kind":"number","path":["sites",0,"alternatives",2,"costs","first_costs","adaptive_management"],"sheet":"Costs"},{"cell":"G8","kind":"number","path":["sites",0,"alternatives",2,"costs","construction_months"],"sheet":"Costs"},{"cell":"L8","kind":"optional","path":["sites",0,"alternatives",2,"costs","annual_override"],"sheet":"Costs"},{"cell":"D9","kind":"number","path":["sites",0,"alternatives",3,"costs","first_costs","construction"],"sheet":"Costs"},{"cell":"E9","kind":"number","path":["sites",0,"alternatives",3,"costs","first_costs","monitoring"],"sheet":"Costs"},{"cell":"F9","kind":"number","path":["sites",0,"alternatives",3,"costs","first_costs","adaptive_management"],"sheet":"Costs"},{"cell":"G9","kind":"number","path":["sites",0,"alternatives",3,"costs","construction_months"],"sheet":"Costs"},{"cell":"L9","kind":"optional","path":["sites",0,"alternatives",3,"costs","annual_override"],"sheet":"Costs"},{"cell":"D10","kind":"number","path":["sites",1,"alternatives",0,"costs","first_costs","construction"],"sheet":"Costs"},{"cell":"E10","kind":"number","path":["sites",1,"alternatives",0,"costs","first_costs","monitoring"],"sheet":"Costs"},{"cell":"F10","kind":"number","path":["sites",1,"alternatives",0,"costs","first_costs","adaptive_management"],"sheet":"Costs"},{"cell":"G10","kind":"number","path":["sites",1,"alternatives",0,"costs","construction_months"],"sheet":"Costs"},{"cell":"L10","kind":"optional","path":["sites",1,"alternatives",0,"costs","annual_override"],"sheet":"Costs"},{"cell":"D11","kind":"number","path":["sites",1,"alternatives",1,"costs","first_costs","construction"],"sheet":"Costs"},{"cell":"E11","kind":"number","path":["sites",1,"alternatives",1,"costs","first_costs","monitoring"],"sheet":"Costs"},{"cell":"F11","kind":"number","path":["sites",1,"alternatives",1,"costs","first_costs","adaptive_management"],"sheet":"Costs"},{"cell":"G11","kind":"number","path":["sites",1,"alternatives",1,"costs","construction_months"],"sheet":"Costs"},{"cell":"L11","kind":"optional","path":["sites",1,"alternatives",1,"costs","annual_override"],"sheet":"Costs"},{"cell":"D12","kind":"number","path":["sites",1,"alternatives",2,"costs","first_costs","construction"],"sheet":"Costs"},{"cell":"E12","kind":"number","path":["sites",1,"alternatives",2,"costs","first_costs","monitoring"],"sheet":"Costs"},{"cell":"F12","kind":"number","path":["sites",1,"alternatives",2,"costs","first_costs","adaptive_management"],"sheet":"Costs"},{"cell":"G12","kind":"number","path":["sites",1,"alternatives",2,"costs","construction_months"],"sheet":"Costs"},{"cell":"L12","kind":"optional","path":["sites",1,"alternatives",2,"costs","annual_override"],"sheet":"Costs"},{"cell":"D13","kind":"number","path":["sites",1,"alternatives",3,"costs","first_costs","construction"],"sheet":"Costs"},{"cell":"E13","kind":"number","path":["sites",1,"alternatives",3,"costs","first_costs","monitoring"],"sheet":"Costs"},{"cell":"F13","kind":"number","path":["sites",1,"alternatives",3,"costs","first_costs","adaptive_management"],"sheet":"Costs"},{"cell":"G13","kind":"number","path":["sites",1,"alternatives",3,"costs","construction_months"],"sheet":"Costs"},{"cell":"L13","kind":"optional","path":["sites",1,"alternatives",3,"costs","annual_override"],"sheet":"Costs"},{"cell":"D14","kind":"number","path":["sites",2,"alternatives",0,"costs","first_costs","construction"],"sheet":"Costs"},{"cell":"E14","kind":"number","path":["sites",2,"alternatives",0,"costs","first_costs","monitoring"],"sheet":"Costs"},{"cell":"F14","kind":"number","path":["sites",2,"alternatives",0,"costs","first_costs","adaptive_management"],"sheet":"Costs"},{"cell":"G14","kind":"number","path":["sites",2,"alternatives",0,"costs","construction_months"],"sheet":"Costs"},{"cell":"L14","kind":"optional","path":["sites",2,"alternatives",0,"costs","annual_override"],"sheet":"Costs"},{"cell":"D15","kind":"number","path":["sites",2,"alternatives",1,"costs","first_costs","construction"],"sheet":"Costs"},{"cell":"E15","kind":"number","path":["sites",2,"alternatives",1,"costs","first_costs","monitoring"],"sheet":"Costs"},{"cell":"F15","kind":"number","path":["sites",2,"alternatives",1,"costs","first_costs","adaptive_management"],"sheet":"Costs"},{"cell":"G15","kind":"number","path":["sites",2,"alternatives",1,"costs","construction_months"],"sheet":"Costs"},{"cell":"L15","kind":"optional","path":["sites",2,"alternatives",1,"costs","annual_override"],"sheet":"Costs"},{"cell":"D16","kind":"number","path":["sites",2,"alternatives",2,"costs","first_costs","construction"],"sheet":"Costs"},{"cell":"E16","kind":"number","path":["sites",2,"alternatives",2,"costs","first_costs","monitoring"],"sheet":"Costs"},{"cell":"F16","kind":"number","path":["sites",2,"alternatives",2,"costs","first_costs","adaptive_management"],"sheet":"Costs"},{"cell":"G16","kind":"number","path":["sites",2,"alternatives",2,"costs","construction_months"],"sheet":"Costs"},{"cell":"L16","kind":"optional","path":["sites",2,"alternatives",2,"costs","annual_override"],"sheet":"Costs"},{"cell":"D17","kind":"number","path":["sites",2,"alternatives",3,"costs","first_costs","construction"],"sheet":"Costs"},{"cell":"E17","kind":"number","path":["sites",2,"alternatives",3,"costs","first_costs","monitoring"],"sheet":"Costs"},{"cell":"F17","kind":"number","path":["sites",2,"alternatives",3,"costs","first_costs","adaptive_management"],"sheet":"Costs"},{"cell":"G17","kind":"number","path":["sites",2,"alternatives",3,"costs","construction_months"],"sheet":"Costs"},{"cell":"L17","kind":"optional","path":["sites",2,"alternatives",3,"costs","annual_override"],"sheet":"Costs"},{"cell":"D18","kind":"number","path":["sites",3,"alternatives",0,"costs","first_costs","construction"],"sheet":"Costs"},{"cell":"E18","kind":"number","path":["sites",3,"alternatives",0,"costs","first_costs","monitoring"],"sheet":"Costs"},{"cell":"F18","kind":"number","path":["sites",3,"alternatives",0,"costs","first_costs","adaptive_management"],"sheet":"Costs"},{"cell":"G18","kind":"number","path":["sites",3,"alternatives",0,"costs","construction_months"],"sheet":"Costs"},{"cell":"L18","kind":"optional","path":["sites",3,"alternatives",0,"costs","annual_override"],"sheet":"Costs"},{"cell":"D19","kind":"number","path":["sites",3,"alternatives",1,"costs","first_costs","construction"],"sheet":"Costs"},{"cell":"E19","kind":"number","path":["sites",3,"alternatives",1,"costs","first_costs","monitoring"],"sheet":"Costs"},{"cell":"F19","kind":"number","path":["sites",3,"alternatives",1,"costs","first_costs","adaptive_management"],"sheet":"Costs"},{"cell":"G19","kind":"number","path":["sites",3,"alternatives",1,"costs","construction_months"],"sheet":"Costs"},{"cell":"L19","kind":"optional","path":["sites",3,"alternatives",1,"costs","annual_override"],"sheet":"Costs"},{"cell":"D20","kind":"number","path":["sites",3,"alternatives",2,"costs","first_costs","construction"],"sheet":"Costs"},{"cell":"E20","kind":"number","path":["sites",3,"alternatives",2,"costs","first_costs","monitoring"],"sheet":"Costs"},{"cell":"F20","kind":"number","path":["sites",3,"alternatives",2,"costs","first_costs","adaptive_management"],"sheet":"Costs"},{"cell":"G20","kind":"number","path":["sites",3,"alternatives",2,"costs","construction_months"],"sheet":"Costs"},{"cell":"L20","kind":"optional","path":["sites",3,"alternatives",2,"costs","annual_override"],"sheet":"Costs"},{"cell":"D21","kind":"number","path":["sites",3,"alternatives",3,"costs","first_costs","construction"],"sheet":"Costs"},{"cell":"E21","kind":"number","path":["sites",3,"alternatives",3,"costs","first_costs","monitoring"],"sheet":"Costs"},{"cell":"F21","kind":"number","path":["sites",3,"alternatives",3,"costs","first_costs","adaptive_management"],"sheet":"Costs"},{"cell":"G21","kind":"number","path":["sites",3,"alternatives",3,"costs","construction_months"],"sheet":"Costs"},{"cell":"L21","kind":"optional","path":["sites",3,"alternatives",3,"costs","annual_override"],"sheet":"Costs"},{"cell":"D22","kind":"number","path":["sites",4,"alternatives",0,"costs","first_costs","construction"],"sheet":"Costs"},{"cell":"E22","kind":"number","path":["sites",4,"alternatives",0,"costs","first_costs","monitoring"],"sheet":"Costs"},{"cell":"F22","kind":"number","path":["sites",4,"alternatives",0,"costs","first_costs","adaptive_management"],"sheet":"Costs"},{"cell":"G22","kind":"number","path":["sites",4,"alternatives",0,"costs","construction_months"],"sheet":"Costs"},{"cell":"L22","kind":"optional","path":["sites",4,"alternatives",0,"costs","annual_override"],"sheet":"Costs"},{"cell":"D23","kind":"number","path":["sites",4,"alternatives",1,"costs","first_costs","construction"],"sheet":"Costs"},{"cell":"E23","kind":"number","path":["sites",4,"alternatives",1,"costs","first_costs","monitoring"],"sheet":"Costs"},{"cell":"F23","kind":"number","path":["sites",4,"alternatives",1,"costs","first_costs","adaptive_management"],"sheet":"Costs"},{"cell":"G23","kind":"number","path":["sites",4,"alternatives",1,"costs","construction_months"],"sheet":"Costs"},{"cell":"L23","kind":"optional","path":["sites",4,"alternatives",1,"costs","annual_override"],"sheet":"Costs"},{"cell":"D24","kind":"number","path":["sites",4,"alternatives",2,"costs","first_costs","construction"],"sheet":"Costs"},{"cell":"E24","kind":"number","path":["sites",4,"alternatives",2,"costs","first_costs","monitoring"],"sheet":"Costs"},{"cell":"F24","kind":"number","path":["sites",4,"alternatives",2,"costs","first_costs","adaptive_management"],"sheet":"Costs"},{"cell":"G24","kind":"number","path":["sites",4,"alternatives",2,"costs","construction_months"],"sheet":"Costs"},{"cell":"L24","kind":"optional","path":["sites",4,"alternatives",2,"costs","annual_override"],"sheet":"Costs"},{"cell":"D25","kind":"number","path":["sites",4,"alternatives",3,"costs","first_costs","construction"],"sheet":"Costs"},{"cell":"E25","kind":"number","path":["sites",4,"alternatives",3,"costs","first_costs","monitoring"],"sheet":"Costs"},{"cell":"F25","kind":"number","path":["sites",4,"alternatives",3,"costs","first_costs","adaptive_management"],"sheet":"Costs"},{"cell":"G25","kind":"number","path":["sites",4,"alternatives",3,"costs","construction_months"],"sheet":"Costs"},{"cell":"L25","kind":"optional","path":["sites",4,"alternatives",3,"costs","annual_override"],"sheet":"Costs"},{"cell":"D26","kind":"number","path":["sites",5,"alternatives",0,"costs","first_costs","construction"],"sheet":"Costs"},{"cell":"E26","kind":"number","path":["sites",5,"alternatives",0,"costs","first_costs","monitoring"],"sheet":"Costs"},{"cell":"F26","kind":"number","path":["sites",5,"alternatives",0,"costs","first_costs","adaptive_management"],"sheet":"Costs"},{"cell":"G26","kind":"number","path":["sites",5,"alternatives",0,"costs","construction_months"],"sheet":"Costs"},{"cell":"L26","kind":"optional","path":["sites",5,"alternatives",0,"costs","annual_override"],"sheet":"Costs"},{"cell":"D27","kind":"number","path":["sites",5,"alternatives",1,"costs","first_costs","construction"],"sheet":"Costs"},{"cell":"E27","kind":"number","path":["sites",5,"alternatives",1,"costs","first_costs","monitoring"],"sheet":"Costs"},{"cell":"F27","kind":"number","path":["sites",5,"alternatives",1,"costs","first_costs","adaptive_management"],"sheet":"Costs"},{"cell":"G27","kind":"number","path":["sites",5,"alternatives",1,"costs","construction_months"],"sheet":"Costs"},{"cell":"L27","kind":"optional","path":["sites",5,"alternatives",1,"costs","annual_override"],"sheet":"Costs"},{"cell":"D28","kind":"number","path":["sites",5,"alternatives",2,"costs","first_costs","construction"],"sheet":"Costs"},{"cell":"E28","kind":"number","path":["sites",5,"alternatives",2,"costs","first_costs","monitoring"],"sheet":"Costs"},{"cell":"F28","kind":"number","path":["sites",5,"alternatives",2,"costs","first_costs","adaptive_management"],"sheet":"Costs"},{"cell":"G28","kind":"number","path":["sites",5,"alternatives",2,"costs","construction_months"],"sheet":"Costs"},{"cell":"L28","kind":"optional","path":["sites",5,"alternatives",2,"costs","annual_override"],"sheet":"Costs"},{"cell":"D29","kind":"number","path":["sites",5,"alternatives",3,"costs","first_costs","construction"],"sheet":"Costs"},{"cell":"E29","kind":"number","path":["sites",5,"alternatives",3,"costs","first_costs","monitoring"],"sheet":"Costs"},{"cell":"F29","kind":"number","path":["sites",5,"alternatives",3,"costs","first_costs","adaptive_management"],"sheet":"Costs"},{"cell":"G29","kind":"number","path":["sites",5,"alternatives",3,"costs","construction_months"],"sheet":"Costs"},{"cell":"L29","kind":"optional","path":["sites",5,"alternatives",3,"costs","annual_override"],"sheet":"Costs"},{"cell":"D30","kind":"number","path":["sites",6,"alternatives",0,"costs","first_costs","construction"],"sheet":"Costs"},{"cell":"E30","kind":"number","path":["sites",6,"alternatives",0,"costs","first_costs","monitoring"],"sheet":"Costs"},{"cell":"F30","kind":"number","path":["sites",6,"alternatives",0,"costs","first_costs","adaptive_management"],"sheet":"Costs"},{"cell":"G30","kind":"number","path":["sites",6,"alternatives",0,"costs","construction_months"],"sheet":"Costs"},{"cell":"L30","kind":"optional","path":["sites",6,"alternatives",0,"costs","annual_override"],"sheet":"Costs"},{"cell":"D31","kind":"number","path":["sites",6,"alternatives",1,"costs","first_costs","construction"],"sheet":"Costs"},{"cell":"E31","kind":"number","path":["sites",6,"alternatives",1,"costs","first_costs","monitoring"],"sheet":"Costs"},{"cell":"F31","kind":"number","path":["sites",6,"alternatives",1,"costs","first_costs","adaptive_management"],"sheet":"Costs"},{"cell":"G31","kind":"number","path":["sites",6,"alternatives",1,"costs","construction_months"],"sheet":"Costs"},{"cell":"L31","kind":"optional","path":["sites",6,"alternatives",1,"costs","annual_override"],"sheet":"Costs"},{"cell":"D32","kind":"number","path":["sites",6,"alternatives",2,"costs","first_costs","construction"],"sheet":"Costs"},{"cell":"E32","kind":"number","path":["sites",6,"alternatives",2,"costs","first_costs","monitoring"],"sheet":"Costs"},{"cell":"F32","kind":"number","path":["sites",6,"alternatives",2,"costs","first_costs","adaptive_management"],"sheet":"Costs"},{"cell":"G32","kind":"number","path":["sites",6,"alternatives",2,"costs","construction_months"],"sheet":"Costs"},{"cell":"L32","kind":"optional","path":["sites",6,"alternatives",2,"costs","annual_override"],"sheet":"Costs"},{"cell":"D33","kind":"number","path":["sites",6,"alternatives",3,"costs","first_costs","construction"],"sheet":"Costs"},{"cell":"E33","kind":"number","path":["sites",6,"alternatives",3,"costs","first_costs","monitoring"],"sheet":"Costs"},{"cell":"F33","kind":"number","path":["sites",6,"alternatives",3,"costs","first_costs","adaptive_management"],"sheet":"Costs"},{"cell":"G33","kind":"number","path":["sites",6,"alternatives",3,"costs","construction_months"],"sheet":"Costs"},{"cell":"L33","kind":"optional","path":["sites",6,"alternatives",3,"costs","annual_override"],"sheet":"Costs"},{"cell":"D34","kind":"number","path":["sites",7,"alternatives",0,"costs","first_costs","construction"],"sheet":"Costs"},{"cell":"E34","kind":"number","path":["sites",7,"alternatives",0,"costs","first_costs","monitoring"],"sheet":"Costs"},{"cell":"F34","kind":"number","path":["sites",7,"alternatives",0,"costs","first_costs","adaptive_management"],"sheet":"Costs"},{"cell":"G34","kind":"number","path":["sites",7,"alternatives",0,"costs","construction_months"],"sheet":"Costs"},{"cell":"L34","kind":"optional","path":["sites",7,"alternatives",0,"costs","annual_override"],"sheet":"Costs"},{"cell":"D35","kind":"number","path":["sites",7,"alternatives",1,"costs","first_costs","construction"],"sheet":"Costs"},{"cell":"E35","kind":"number","path":["sites",7,"alternatives",1,"costs","first_costs","monitoring"],"sheet":"Costs"},{"cell":"F35","kind":"number","path":["sites",7,"alternatives",1,"costs","first_costs","adaptive_management"],"sheet":"Costs"},{"cell":"G35","kind":"number","path":["sites",7,"alternatives",1,"costs","construction_months"],"sheet":"Costs"},{"cell":"L35","kind":"optional","path":["sites",7,"alternatives",1,"costs","annual_override"],"sheet":"Costs"},{"cell":"D36","kind":"number","path":["sites",7,"alternatives",2,"costs","first_costs","construction"],"sheet":"Costs"},{"cell":"E36","kind":"number","path":["sites",7,"alternatives",2,"costs","first_costs","monitoring"],"sheet":"Costs"},{"cell":"F36","kind":"number","path":["sites",7,"alternatives",2,"costs","first_costs","adaptive_management"],"sheet":"Costs"},{"cell":"G36","kind":"number","path":["sites",7,"alternatives",2,"costs","construction_months"],"sheet":"Costs"},{"cell":"L36","kind":"optional","path":["sites",7,"alternatives",2,"costs","annual_override"],"sheet":"Costs"},{"cell":"F5","kind":"number","path":["sites",0,"alternatives",1,"costs","recurring",0,"amount"],"sheet":"OMRRR"},{"cell":"K5","kind":"int","path":["sites",0,"alternatives",1,"costs","recurring",0,"every_years"],"sheet":"OMRRR"},{"cell":"L5","kind":"optional_int","path":["sites",0,"alternatives",1,"costs","recurring",0,"first_year"],"sheet":"OMRRR"},{"cell":"M5","kind":"optional_int","path":["sites",0,"alternatives",1,"costs","recurring",0,"last_year"],"sheet":"OMRRR"},{"cell":"I6","kind":"number","path":["sites",0,"alternatives",1,"costs","recurring",1,"unit_rate"],"sheet":"OMRRR"},{"cell":"J6","kind":"number","path":["sites",0,"alternatives",1,"costs","recurring",1,"quantity"],"sheet":"OMRRR"},{"cell":"K6","kind":"int","path":["sites",0,"alternatives",1,"costs","recurring",1,"every_years"],"sheet":"OMRRR"},{"cell":"L6","kind":"optional_int","path":["sites",0,"alternatives",1,"costs","recurring",1,"first_year"],"sheet":"OMRRR"},{"cell":"M6","kind":"optional_int","path":["sites",0,"alternatives",1,"costs","recurring",1,"last_year"],"sheet":"OMRRR"},{"cell":"F7","kind":"number","path":["sites",0,"alternatives",1,"costs","recurring",2,"amount"],"sheet":"OMRRR"},{"cell":"K7","kind":"int","path":["sites",0,"alternatives",1,"costs","recurring",2,"every_years"],"sheet":"OMRRR"},{"cell":"L7","kind":"optional_int","path":["sites",0,"alternatives",1,"costs","recurring",2,"first_year"],"sheet":"OMRRR"},{"cell":"M7","kind":"optional_int","path":["sites",0,"alternatives",1,"costs","recurring",2,"last_year"],"sheet":"OMRRR"},{"cell":"G8","kind":"number","path":["sites",0,"alternatives",1,"costs","recurring",3,"percent"],"sheet":"OMRRR"},{"cell":"K8","kind":"int","path":["sites",0,"alternatives",1,"costs","recurring",3,"every_years"],"sheet":"OMRRR"},{"cell":"L8","kind":"optional_int","path":["sites",0,"alternatives",1,"costs","recurring",3,"first_year"],"sheet":"OMRRR"},{"cell":"M8","kind":"optional_int","path":["sites",0,"alternatives",1,"costs","recurring",3,"last_year"],"sheet":"OMRRR"},{"cell":"F9","kind":"number","path":["sites",0,"alternatives",2,"costs","recurring",0,"amount"],"sheet":"OMRRR"},{"cell":"K9","kind":"int","path":["sites",0,"alternatives",2,"costs","recurring",0,"every_years"],"sheet":"OMRRR"},{"cell":"L9","kind":"optional_int","path":["sites",0,"alternatives",2,"costs","recurring",0,"first_year"],"sheet":"OMRRR"},{"cell":"M9","kind":"optional_int","path":["sites",0,"alternatives",2,"costs","recurring",0,"last_year"],"sheet":"OMRRR"},{"cell":"I10","kind":"number","path":["sites",0,"alternatives",2,"costs","recurring",1,"unit_rate"],"sheet":"OMRRR"},{"cell":"J10","kind":"number","path":["sites",0,"alternatives",2,"costs","recurring",1,"quantity"],"sheet":"OMRRR"},{"cell":"K10","kind":"int","path":["sites",0,"alternatives",2,"costs","recurring",1,"every_years"],"sheet":"OMRRR"},{"cell":"L10","kind":"optional_int","path":["sites",0,"alternatives",2,"costs","recurring",1,"first_year"],"sheet":"OMRRR"},{"cell":"M10","kind":"optional_int","path":["sites",0,"alternatives",2,"costs","recurring",1,"last_year"],"sheet":"OMRRR"},{"cell":"F11","kind":"number","path":["sites",0,"alternatives",2,"costs","recurring",2,"amount"],"sheet":"OMRRR"},{"cell":"K11","kind":"int","path":["sites",0,"alternatives",2,"costs","recurring",2,"every_years"],"sheet":"OMRRR"},{"cell":"L11","kind":"optional_int","path":["sites",0,"alternatives",2,"costs","recurring",2,"first_year"],"sheet":"OMRRR"},{"cell":"M11","kind":"optional_int","path":["sites",0,"alternatives",</t>
        </is>
      </c>
      <c r="G3" t="inlineStr">
        <is>
          <t>2,"costs","recurring",2,"last_year"],"sheet":"OMRRR"},{"cell":"G12","kind":"number","path":["sites",0,"alternatives",2,"costs","recurring",3,"percent"],"sheet":"OMRRR"},{"cell":"K12","kind":"int","path":["sites",0,"alternatives",2,"costs","recurring",3,"every_years"],"sheet":"OMRRR"},{"cell":"L12","kind":"optional_int","path":["sites",0,"alternatives",2,"costs","recurring",3,"first_year"],"sheet":"OMRRR"},{"cell":"M12","kind":"optional_int","path":["sites",0,"alternatives",2,"costs","recurring",3,"last_year"],"sheet":"OMRRR"},{"cell":"F13","kind":"number","path":["sites",0,"alternatives",3,"costs","recurring",0,"amount"],"sheet":"OMRRR"},{"cell":"K13","kind":"int","path":["sites",0,"alternatives",3,"costs","recurring",0,"every_years"],"sheet":"OMRRR"},{"cell":"L13","kind":"optional_int","path":["sites",0,"alternatives",3,"costs","recurring",0,"first_year"],"sheet":"OMRRR"},{"cell":"M13","kind":"optional_int","path":["sites",0,"alternatives",3,"costs","recurring",0,"last_year"],"sheet":"OMRRR"},{"cell":"I14","kind":"number","path":["sites",0,"alternatives",3,"costs","recurring",1,"unit_rate"],"sheet":"OMRRR"},{"cell":"J14","kind":"number","path":["sites",0,"alternatives",3,"costs","recurring",1,"quantity"],"sheet":"OMRRR"},{"cell":"K14","kind":"int","path":["sites",0,"alternatives",3,"costs","recurring",1,"every_years"],"sheet":"OMRRR"},{"cell":"L14","kind":"optional_int","path":["sites",0,"alternatives",3,"costs","recurring",1,"first_year"],"sheet":"OMRRR"},{"cell":"M14","kind":"optional_int","path":["sites",0,"alternatives",3,"costs","recurring",1,"last_year"],"sheet":"OMRRR"},{"cell":"F15","kind":"number","path":["sites",0,"alternatives",3,"costs","recurring",2,"amount"],"sheet":"OMRRR"},{"cell":"K15","kind":"int","path":["sites",0,"alternatives",3,"costs","recurring",2,"every_years"],"sheet":"OMRRR"},{"cell":"L15","kind":"optional_int","path":["sites",0,"alternatives",3,"costs","recurring",2,"first_year"],"sheet":"OMRRR"},{"cell":"M15","kind":"optional_int","path":["sites",0,"alternatives",3,"costs","recurring",2,"last_year"],"sheet":"OMRRR"},{"cell":"G16","kind":"number","path":["sites",0,"alternatives",3,"costs","recurring",3,"percent"],"sheet":"OMRRR"},{"cell":"K16","kind":"int","path":["sites",0,"alternatives",3,"costs","recurring",3,"every_years"],"sheet":"OMRRR"},{"cell":"L16","kind":"optional_int","path":["sites",0,"alternatives",3,"costs","recurring",3,"first_year"],"sheet":"OMRRR"},{"cell":"M16","kind":"optional_int","path":["sites",0,"alternatives",3,"costs","recurring",3,"last_year"],"sheet":"OMRRR"},{"cell":"F17","kind":"number","path":["sites",1,"alternatives",1,"costs","recurring",0,"amount"],"sheet":"OMRRR"},{"cell":"K17","kind":"int","path":["sites",1,"alternatives",1,"costs","recurring",0,"every_years"],"sheet":"OMRRR"},{"cell":"L17","kind":"optional_int","path":["sites",1,"alternatives",1,"costs","recurring",0,"first_year"],"sheet":"OMRRR"},{"cell":"M17","kind":"optional_int","path":["sites",1,"alternatives",1,"costs","recurring",0,"last_year"],"sheet":"OMRRR"},{"cell":"I18","kind":"number","path":["sites",1,"alternatives",1,"costs","recurring",1,"unit_rate"],"sheet":"OMRRR"},{"cell":"J18","kind":"number","path":["sites",1,"alternatives",1,"costs","recurring",1,"quantity"],"sheet":"OMRRR"},{"cell":"K18","kind":"int","path":["sites",1,"alternatives",1,"costs","recurring",1,"every_years"],"sheet":"OMRRR"},{"cell":"L18","kind":"optional_int","path":["sites",1,"alternatives",1,"costs","recurring",1,"first_year"],"sheet":"OMRRR"},{"cell":"M18","kind":"optional_int","path":["sites",1,"alternatives",1,"costs","recurring",1,"last_year"],"sheet":"OMRRR"},{"cell":"F19","kind":"number","path":["sites",1,"alternatives",1,"costs","recurring",2,"amount"],"sheet":"OMRRR"},{"cell":"K19","kind":"int","path":["sites",1,"alternatives",1,"costs","recurring",2,"every_years"],"sheet":"OMRRR"},{"cell":"L19","kind":"optional_int","path":["sites",1,"alternatives",1,"costs","recurring",2,"first_year"],"sheet":"OMRRR"},{"cell":"M19","kind":"optional_int","path":["sites",1,"alternatives",1,"costs","recurring",2,"last_year"],"sheet":"OMRRR"},{"cell":"G20","kind":"number","path":["sites",1,"alternatives",1,"costs","recurring",3,"percent"],"sheet":"OMRRR"},{"cell":"K20","kind":"int","path":["sites",1,"alternatives",1,"costs","recurring",3,"every_years"],"sheet":"OMRRR"},{"cell":"L20","kind":"optional_int","path":["sites",1,"alternatives",1,"costs","recurring",3,"first_year"],"sheet":"OMRRR"},{"cell":"M20","kind":"optional_int","path":["sites",1,"alternatives",1,"costs","recurring",3,"last_year"],"sheet":"OMRRR"},{"cell":"F21","kind":"number","path":["sites",1,"alternatives",2,"costs","recurring",0,"amount"],"sheet":"OMRRR"},{"cell":"K21","kind":"int","path":["sites",1,"alternatives",2,"costs","recurring",0,"every_years"],"sheet":"OMRRR"},{"cell":"L21","kind":"optional_int","path":["sites",1,"alternatives",2,"costs","recurring",0,"first_year"],"sheet":"OMRRR"},{"cell":"M21","kind":"optional_int","path":["sites",1,"alternatives",2,"costs","recurring",0,"last_year"],"sheet":"OMRRR"},{"cell":"I22","kind":"number","path":["sites",1,"alternatives",2,"costs","recurring",1,"unit_rate"],"sheet":"OMRRR"},{"cell":"J22","kind":"number","path":["sites",1,"alternatives",2,"costs","recurring",1,"quantity"],"sheet":"OMRRR"},{"cell":"K22","kind":"int","path":["sites",1,"alternatives",2,"costs","recurring",1,"every_years"],"sheet":"OMRRR"},{"cell":"L22","kind":"optional_int","path":["sites",1,"alternatives",2,"costs","recurring",1,"first_year"],"sheet":"OMRRR"},{"cell":"M22","kind":"optional_int","path":["sites",1,"alternatives",2,"costs","recurring",1,"last_year"],"sheet":"OMRRR"},{"cell":"F23","kind":"number","path":["sites",1,"alternatives",2,"costs","recurring",2,"amount"],"sheet":"OMRRR"},{"cell":"K23","kind":"int","path":["sites",1,"alternatives",2,"costs","recurring",2,"every_years"],"sheet":"OMRRR"},{"cell":"L23","kind":"optional_int","path":["sites",1,"alternatives",2,"costs","recurring",2,"first_year"],"sheet":"OMRRR"},{"cell":"M23","kind":"optional_int","path":["sites",1,"alternatives",2,"costs","recurring",2,"last_year"],"sheet":"OMRRR"},{"cell":"G24","kind":"number","path":["sites",1,"alternatives",2,"costs","recurring",3,"percent"],"sheet":"OMRRR"},{"cell":"K24","kind":"int","path":["sites",1,"alternatives",2,"costs","recurring",3,"every_years"],"sheet":"OMRRR"},{"cell":"L24","kind":"optional_int","path":["sites",1,"alternatives",2,"costs","recurring",3,"first_year"],"sheet":"OMRRR"},{"cell":"M24","kind":"optional_int","path":["sites",1,"alternatives",2,"costs","recurring",3,"last_year"],"sheet":"OMRRR"},{"cell":"F25","kind":"number","path":["sites",1,"alternatives",3,"costs","recurring",0,"amount"],"sheet":"OMRRR"},{"cell":"K25","kind":"int","path":["sites",1,"alternatives",3,"costs","recurring",0,"every_years"],"sheet":"OMRRR"},{"cell":"L25","kind":"optional_int","path":["sites",1,"alternatives",3,"costs","recurring",0,"first_year"],"sheet":"OMRRR"},{"cell":"M25","kind":"optional_int","path":["sites",1,"alternatives",3,"costs","recurring",0,"last_year"],"sheet":"OMRRR"},{"cell":"I26","kind":"number","path":["sites",1,"alternatives",3,"costs","recurring",1,"unit_rate"],"sheet":"OMRRR"},{"cell":"J26","kind":"number","path":["sites",1,"alternatives",3,"costs","recurring",1,"quantity"],"sheet":"OMRRR"},{"cell":"K26","kind":"int","path":["sites",1,"alternatives",3,"costs","recurring",1,"every_years"],"sheet":"OMRRR"},{"cell":"L26","kind":"optional_int","path":["sites",1,"alternatives",3,"costs","recurring",1,"first_year"],"sheet":"OMRRR"},{"cell":"M26","kind":"optional_int","path":["sites",1,"alternatives",3,"costs","recurring",1,"last_year"],"sheet":"OMRRR"},{"cell":"F27","kind":"number","path":["sites",1,"alternatives",3,"costs","recurring",2,"amount"],"sheet":"OMRRR"},{"cell":"K27","kind":"int","path":["sites",1,"alternatives",3,"costs","recurring",2,"every_years"],"sheet":"OMRRR"},{"cell":"L27","kind":"optional_int","path":["sites",1,"alternatives",3,"costs","recurring",2,"first_year"],"sheet":"OMRRR"},{"cell":"M27","kind":"optional_int","path":["sites",1,"alternatives",3,"costs","recurring",2,"last_year"],"sheet":"OMRRR"},{"cell":"G28","kind":"number","path":["sites",1,"alternatives",3,"costs","recurring",3,"percent"],"sheet":"OMRRR"},{"cell":"K28","kind":"int","path":["sites",1,"alternatives",3,"costs","recurring",3,"every_years"],"sheet":"OMRRR"},{"cell":"L28","kind":"optional_int","path":["sites",1,"alternatives",3,"costs","recurring",3,"first_year"],"sheet":"OMRRR"},{"cell":"M28","kind":"optional_int","path":["sites",1,"alternatives",3,"costs","recurring",3,"last_year"],"sheet":"OMRRR"},{"cell":"F29","kind":"number","path":["sites",2,"alternatives",1,"costs","recurring",0,"amount"],"sheet":"OMRRR"},{"cell":"K29","kind":"int","path":["sites",2,"alternatives",1,"costs","recurring",0,"every_years"],"sheet":"OMRRR"},{"cell":"L29","kind":"optional_int","path":["sites",2,"alternatives",1,"costs","recurring",0,"first_year"],"sheet":"OMRRR"},{"cell":"M29","kind":"optional_int","path":["sites",2,"alternatives",1,"costs","recurring",0,"last_year"],"sheet":"OMRRR"},{"cell":"I30","kind":"number","path":["sites",2,"alternatives",1,"costs","recurring",1,"unit_rate"],"sheet":"OMRRR"},{"cell":"J30","kind":"number","path":["sites",2,"alternatives",1,"costs","recurring",1,"quantity"],"sheet":"OMRRR"},{"cell":"K30","kind":"int","path":["sites",2,"alternatives",1,"costs","recurring",1,"every_years"],"sheet":"OMRRR"},{"cell":"L30","kind":"optional_int","path":["sites",2,"alternatives",1,"costs","recurring",1,"first_year"],"sheet":"OMRRR"},{"cell":"M30","kind":"optional_int","path":["sites",2,"alternatives",1,"costs","recurring",1,"last_year"],"sheet":"OMRRR"},{"cell":"F31","kind":"number","path":["sites",2,"alternatives",1,"costs","recurring",2,"amount"],"sheet":"OMRRR"},{"cell":"K31","kind":"int","path":["sites",2,"alternatives",1,"costs","recurring",2,"every_years"],"sheet":"OMRRR"},{"cell":"L31","kind":"optional_int","path":["sites",2,"alternatives",1,"costs","recurring",2,"first_year"],"sheet":"OMRRR"},{"cell":"M31","kind":"optional_int","path":["sites",2,"alternatives",1,"costs","recurring",2,"last_year"],"sheet":"OMRRR"},{"cell":"G32","kind":"number","path":["sites",2,"alternatives",1,"costs","recurring",3,"percent"],"sheet":"OMRRR"},{"cell":"K32","kind":"int","path":["sites",2,"alternatives",1,"costs","recurring",3,"every_years"],"sheet":"OMRRR"},{"cell":"L32","kind":"optional_int","path":["sites",2,"alternatives",1,"costs","recurring",3,"first_year"],"sheet":"OMRRR"},{"cell":"M32","kind":"optional_int","path":["sites",2,"alternatives",1,"costs","recurring",3,"last_year"],"sheet":"OMRRR"},{"cell":"F33","kind":"number","path":["sites",2,"alternatives",2,"costs","recurring",0,"amount"],"sheet":"OMRRR"},{"cell":"K33","kind":"int","path":["sites",2,"alternatives",2,"costs","recurring",0,"every_years"],"sheet":"OMRRR"},{"cell":"L33","kind":"optional_int","path":["sites",2,"alternatives",2,"costs","recurring",0,"first_year"],"sheet":"OMRRR"},{"cell":"M33","kind":"optional_int","path":["sites",2,"alternatives",2,"costs","recurring",0,"last_year"],"sheet":"OMRRR"},{"cell":"I34","kind":"number","path":["sites",2,"alternatives",2,"costs","recurring",1,"unit_rate"],"sheet":"OMRRR"},{"cell":"J34","kind":"number","path":["sites",2,"alternatives",2,"costs","recurring",1,"quantity"],"sheet":"OMRRR"},{"cell":"K34","kind":"int","path":["sites",2,"alternatives",2,"costs","recurring",1,"every_years"],"sheet":"OMRRR"},{"cell":"L34","kind":"optional_int","path":["sites",2,"alternatives",2,"costs","recurring",1,"first_year"],"sheet":"OMRRR"},{"cell":"M34","kind":"optional_int","path":["sites",2,"alternatives",2,"costs","recurring",1,"last_year"],"sheet":"OMRRR"},{"cell":"F35","kind":"number","path":["sites",2,"alternatives",2,"costs","recurring",2,"amount"],"sheet":"OMRRR"},{"cell":"K35","kind":"int","path":["sites",2,"alternatives",2,"costs","recurring",2,"every_years"],"sheet":"OMRRR"},{"cell":"L35","kind":"optional_int","path":["sites",2,"alternatives",2,"costs","recurring",2,"first_year"],"sheet":"OMRRR"},{"cell":"M35","kind":"optional_int","path":["sites",2,"alternatives",2,"costs","recurring",2,"last_year"],"sheet":"OMRRR"},{"cell":"G36","kind":"number","path":["sites",2,"alternatives",2,"costs","recurring",3,"percent"],"sheet":"OMRRR"},{"cell":"K36","kind":"int","path":["sites",2,"alternatives",2,"costs","recurring",3,"every_years"],"sheet":"OMRRR"},{"cell":"L36","kind":"optional_int","path":["sites",2,"alternatives",2,"costs","recurring",3,"first_year"],"sheet":"OMRRR"},{"cell":"M36","kind":"optional_int","path":["sites",2,"alternatives",2,"costs","recurring",3,"last_year"],"sheet":"OMRRR"},{"cell":"F37","kind":"number","path":["sites",2,"alternatives",3,"costs","recurring",0,"amount"],"sheet":"OMRRR"},{"cell":"K37","kind":"int","path":["sites",2,"alternatives",3,"costs","recurring",0,"every_years"],"sheet":"OMRRR"},{"cell":"L37","kind":"optional_int","path":["sites",2,"alternatives",3,"costs","recurring",0,"first_year"],"sheet":"OMRRR"},{"cell":"M37","kind":"optional_int","path":["sites",2,"alternatives",3,"costs","recurring",0,"last_year"],"sheet":"OMRRR"},{"cell":"I38","kind":"number","path":["sites",2,"alternatives",3,"costs","recurring",1,"unit_rate"],"sheet":"OMRRR"},{"cell":"J38","kind":"number","path":["sites",2,"alternatives",3,"costs","recurring",1,"quantity"],"sheet":"OMRRR"},{"cell":"K38","kind":"int","path":["sites",2,"alternatives",3,"costs","recurring",1,"every_years"],"sheet":"OMRRR"},{"cell":"L38","kind":"optional_int","path":["sites",2,"alternatives",3,"costs","recurring",1,"first_year"],"sheet":"OMRRR"},{"cell":"M38","kind":"optional_int","path":["sites",2,"alternatives",3,"costs","recurring",1,"last_year"],"sheet":"OMRRR"},{"cell":"F39","kind":"number","path":["sites",2,"alternatives",3,"costs","recurring",2,"amount"],"sheet":"OMRRR"},{"cell":"K39","kind":"int","path":["sites",2,"alternatives",3,"costs","recurring",2,"every_years"],"sheet":"OMRRR"},{"cell":"L39","kind":"optional_int","path":["sites",2,"alternatives",3,"costs","recurring",2,"first_year"],"sheet":"OMRRR"},{"cell":"M39","kind":"optional_int","path":["sites",2,"alternatives",3,"costs","recurring",2,"last_year"],"sheet":"OMRRR"},{"cell":"G40","kind":"number","path":["sites",2,"alternatives",3,"costs","recurring",3,"percent"],"sheet":"OMRRR"},{"cell":"K40","kind":"int","path":["sites",2,"alternatives",3,"costs","recurring",3,"every_years"],"sheet":"OMRRR"},{"cell":"L40","kind":"optional_int","path":["sites",2,"alternatives",3,"costs","recurring",3,"first_year"],"sheet":"OMRRR"},{"cell":"M40","kind":"optional_int","path":["sites",2,"alternatives",3,"costs","recurring",3,"last_year"],"sheet":"OMRRR"},{"cell":"F41","kind":"number","path":["sites",3,"alternatives",1,"costs","recurring",0,"amount"],"sheet":"OMRRR"},{"cell":"K41","kind":"int","path":["sites",3,"alternatives",1,"costs","recurring",0,"every_years"],"sheet":"OMRRR"},{"cell":"L41","kind":"optional_int","path":["sites",3,"alternatives",1,"costs","recurring",0,"first_year"],"sheet":"OMRRR"},{"cell":"M41","kind":"optional_int","path":["sites",3,"alternatives",1,"costs","recurring",0,"last_year"],"sheet":"OMRRR"},{"cell":"I42","kind":"number","path":["sites",3,"alternatives",1,"costs","recurring",1,"unit_rate"],"sheet":"OMRRR"},{"cell":"J42","kind":"number","path":["sites",3,"alternatives",1,"costs","recurring",1,"quantity"],"sheet":"OMRRR"},{"cell":"K42","kind":"int","path":["sites",3,"alternatives",1,"costs","recurring",1,"every_years"],"sheet":"OMRRR"},{"cell":"L42","kind":"optional_int","path":["sites",3,"alternatives",1,"costs","recurring",1,"first_year"],"sheet":"OMRRR"},{"cell":"M42","kind":"optional_int","path":["sites",3,"alternatives",1,"costs","recurring",1,"last_year"],"sheet":"OMRRR"},{"cell":"F43","kind":"number","path":["sites",3,"alternatives",1,"costs","recurring",2,"amount"],"sheet":"OMRRR"},{"cell":"K43","kind":"int","path":["sites",3,"alternatives",1,"costs","recurring",2,"every_years"],"sheet":"OMRRR"},{"cell":"L43","kind":"optional_int","path":["sites",3,"alternatives",1,"costs","recurring",2,"first_year"],"sheet":"OMRRR"},{"cell":"M43","kind":"optional_int","path":["sites",3,"alternatives",1,"costs","recurring",2,"last_year"],"sheet":"OMRRR"},{"cell":"G44","kind":"number","path":["sites",3,"alternatives",1,"costs","recurring",3,"percent"],"sheet":"OMRRR"},{"cell":"K44","kind":"int","path":["sites",3,"alternatives",1,"costs","recurring",3,"every_years"],"sheet":"OMRRR"},{"cell":"L44","kind":"optional_int","path":["sites",3,"alternatives",1,"costs","recurring",3,"first_year"],"sheet":"OMRRR"},{"cell":"M44","kind":"optional_int","path":["sites",3,"alternatives",1,"costs","recurring",3,"last_year"],"sheet":"OMRRR"},{"cell":"F45","kind":"number","path":["sites",3,"alternatives",2,"costs","recurring",0,"amount"],"sheet":"OMRRR"},{"cell":"K45","kind":"int","path":["sites",3,"alternatives",2,"costs","recurring",0,"every_years"],"sheet":"OMRRR"},{"cell":"L45","kind":"optional_int","path":["sites",3,"alternatives",2,"costs","recurring",0,"first_year"],"sheet":"OMRRR"},{"cell":"M45","kind":"optional_int","path":["sites",3,"alternatives",2,"costs","recurring",0,"last_year"],"sheet":"OMRRR"},{"cell":"I46","kind":"number","path":["sites",3,"alternatives",2,"costs","recurring",1,"unit_rate"],"sheet":"OMRRR"},{"cell":"J46","kind":"number","path":["sites",3,"alternatives",2,"costs","recurring",1,"quantity"],"sheet":"OMRRR"},{"cell":"K46","kind":"int","path":["sites",3,"alternatives",2,"costs","recurring",1,"every_years"],"sheet":"OMRRR"},{"cell":"L46","kind":"optional_int","path":["sites",3,"alternatives",2,"costs","recurring",1,"first_year"],"sheet":"OMRRR"},{"cell":"M46","kind":"optional_int","path":["sites",3,"alternatives",2,"costs","recurring",1,"last_year"],"sheet":"OMRRR"},{"cell":"F47","kind":"number","path":["sites",3,"alternatives",2,"costs","recurring",2,"amount"],"sheet":"OMRRR"},{"cell":"K47","kind":"int","path":["sites",3,"alternatives",2,"costs","recurring",2,"every_years"],"sheet":"OMRRR"},{"cell":"L47","kind":"optional_int","path":["sites",3,"alternatives",2,"costs","recurring",2,"first_year"],"sheet":"OMRRR"},{"cell":"M47","kind":"optional_int","path":["sites",3,"alternatives",2,"costs","recurring",2,"last_year"],"sheet":"OMRRR"},{"cell":"G48","kind":"number","path":["sites",3,"alternatives",2,"costs","recurring",3,"percent"],"sheet":"OMRRR"},{"cell":"K48","kind":"int","path":["sites",3,"alternatives",2,"costs","recurring",3,"every_years"],"sheet":"OMRRR"},{"cell":"L48","kind":"optional_int","path":["sites",3,"alternatives",2,"costs","recurring",3,"first_year"],"sheet":"OMRRR"},{"cell":"M48","kind":"optional_int","path":["sites",3,"alternatives",2,"costs","recurring",3,"last_year"],"sheet":"OMRRR"},{"cell":"F49","kind":"number","path":["sites",3,"alternatives",3,"costs","recurring",0,"amount"],"sheet":"OMRRR"},{"cell":"K49","kind":"int","path":["sites",3,"alternatives",3,"costs","recurring",0,"every_years"],"sheet":"OMRRR"},{"cell":"L49","kind":"optional_int","path":["sites",3,"alternatives",3,"costs","recurring",0,"first_year"],"sheet":"OMRRR"},{"cell":"M49","kind":"optional_int","path":["sites",3,"alternatives",3,"costs","recurring",0,"last_year"],"sheet":"OMRRR"},{"cell":"I50","kind":"number","path":["sites",3,"alternatives",3,"costs","recurring",1,"unit_rate"],"sheet":"OMRRR"},{"cell":"J50","kind":"number","path":["sites",3,"alternatives",3,"costs","recurring",1,"quantity"],"sheet":"OMRRR"},{"cell":"K50","kind":"int","path":["sites",3,"alternatives",3,"costs","recurring",1,"every_years"],"sheet":"OMRRR"},{"cell":"L50","kind":"optional_int","path":["sites",3,"alternatives",3,"costs","recurring",1,"first_year"],"sheet":"OMRRR"},{"cell":"M50","kind":"optional_int","path":["sites",3,"alternatives",3,"costs","recurring",1,"last_year"],"sheet":"OMRRR"},{"cell":"F51","kind":"number","path":["sites",3,"alternatives",3,"costs","recurring",2,"amount"],"sheet":"OMRRR"},{"cell":"K51","kind":"int","path":["sites",3,"alternatives",3,"costs","recurring",2,"every_years"],"sheet":"OMRRR"},{"cell":"L51","kind":"optional_int","path":["sites",3,"alternatives",3,"costs","recurring",2,"first_year"],"sheet":"OMRRR"},{"cell":"M51","kind":"optional_int","path":["sites",3,"alternatives",3,"costs","recurring",2,"last_year"],"sheet":"OMRRR"},{"cell":"G52","kind":"number","path":["sites",3,"alternatives",3,"costs","recurring",3,"percent"],"sheet":"OMRRR"},{"cell":"K52","kind":"int","path":["sites",3,"alternatives",3,"costs","recurring",3,"every_years"],"sheet":"OMRRR"},{"cell":"L52","kind":"optional_int","path":["sites",3,"alternatives",3,"costs","recurring",3,"first_year"],"sheet":"OMRRR"},{"cell":"M52","kind":"optional_int","path":["sites",3,"alternatives",3,"costs","recurring",3,"last_year"],"sheet":"OMRRR"},{"cell":"F53","kind":"number","path":["sites",4,"alternatives",1,"costs","recurring",0,"amount"],"sheet":"OMRRR"},{"cell":"K53","kind":"int","path":["sites",4,"alternatives",1,"costs","recurring",0,"every_years"],"sheet":"OMRRR"},{"cell":"L53","kind":"optional_int","path":["sites",4,"alternatives",1,"costs","recurring",0,"first_year"],"sheet":"OMRRR"},{"cell":"M53","kind":"optional_int","path":["sites",4,"alternatives",1,"costs","recurring",0,"last_year"],"sheet":"OMRRR"},{"cell":"I54","kind":"number","path":["sites",4,"alternatives",1,"costs","recurring",1,"unit_rate"],"sheet":"OMRRR"},{"cell":"J54","kind":"number","path":["sites",4,"alternatives",1,"costs","recurring",1,"quantity"],"sheet":"OMRRR"},{"cell":"K54","kind":"int","path":["sites",4,"alternatives",1,"costs","recurring",1,"every_years"],"sheet":"OMRRR"},{"cell":"L54","kind":"optional_int","path":["sites",4,"alternatives",1,"costs","recurring",1,"first_year"],"sheet":"OMRRR"},{"cell":"M54","kind":"optional_int","path":["sites",4,"alternatives",1,"costs","recurring",1,"last_year"],"sheet":"OMRRR"},{"cell":"F55","kind":"number","path":["sites",4,"alternatives",1,"costs","recurring",2,"amount"],"sheet":"OMRRR"},{"cell":"K55","kind":"int","path":["sites",4,"alternatives",1,"costs","recurring",2,"every_years"],"sheet":"OMRRR"},{"cell":"L55","kind":"optional_int","path":["sites",4,"alternatives",1,"costs","recurring",2,"first_year"],"sheet":"OMRRR"},{"cell":"M55","kind":"optional_int","path":["sites",4,"alternatives",1,"costs","recurring",2,"last_year"],"sheet":"OMRRR"},{"cell":"G56","kind":"number","path":["sites",4,"alternatives",1,"costs","recurring",3,"percent"],"sheet":"OMRRR"},{"cell":"K56","kind":"int","path":["sites",4,"alternatives",1,"costs","recurring",3,"every_years"],"sheet":"OMRRR"},{"cell":"L56","kind":"optional_int","path":["sites",4,"alternatives",1,"costs","recurring",3,"first_year"],"sheet":"OMRRR"},{"cell":"M56","kind":"optional_int","path":["sites",4,"alternatives",1,"costs","recurring",3,"last_year"],"sheet":"OMRRR"},{"cell":"F57","kind":"number","path":["sites",4,"alternatives",2,"costs","recurring",0,"amount"],"sheet":"OMRRR"},{"cell":"K57","kind":"int","path":["sites",4,"alternatives",2,"costs","recurring",0,"every_years"],"sheet":"OMRRR"},{"cell":"L57","kind":"optional_int","path":["sites",4,"alternatives",2,"costs","recurring",0,"first_year"],"sheet":"OMRRR"},{"cell":"M57","kind":"optional_int","path":["sites",4,"alternatives",2,"costs","recurring",0,"last_year"],"sheet":"OMRRR"},{"cell":"I58","kind":"number","path":["sites",4,"alternatives",2,"costs","recurring",1,"unit_rate"],"sheet":"OMRRR"},{"cell":"J58","kind":"number","path":["sites",4,"alternatives",2,"costs","recurring",1,"quantity"],"sheet":"OMRRR"},{"cell":"K58","kind":"int","path":["sites",4,"alternatives",2,"costs","recurring",1,"every_years"],"sheet":"OMRRR"},{"cell":"L58","kind":"optional_int","path":["sites",4,"alternatives",2,"costs","recurring",1,"first_year"],"sheet":"OMRRR"},{"cell":"M58","kind":"optional_int","path":["sites",4,"alternatives",2,"costs","recurring",1,"last_year"],"sheet":"OMRRR"},{"cell":"F59","kind":"number","path":["sites",4,"alternatives",2,"costs","recurring",2,"amount"],"sheet":"OMRRR"},{"cell":"K59","kind":"int","path":["sites",4,"alternatives",2,"costs","recurring",2,"every_years"],"sheet":"OMRRR"},{"cell":"L59","kind":"optional_int","path":["sites",4,"alternatives",2,"costs","recurring",2,"first_year"],"sheet":"OMRRR"},{"cell":"M59","kind":"optional_int","path":["sites",4,"alternatives",2,"costs","recurring",2,"last_year"],"sheet":"OMRRR"},{"cell":"G60","kind":"number","path":["sites",4,"alternatives",2,"costs","recurring",3,"percent"],"sheet":"OMRRR"},{"cell":"K60","kind":"int","path":["sites",4,"alternatives",2,"costs","recurring",3,"every_years"],"sheet":"OMRRR"},{"cell":"L60","kind":"optional_int","path":["sites",4,"alternatives",2,"costs","recurring",3,"first_year"],"sheet":"OMRRR"},{"cell":"M60","kind":"optional_int","path":["sites",4,"alternatives",2,"costs","recurring",3,"last_year"],"sheet":"OMRRR"},{"cell":"F61","kind":"number","path":["sites",4,"alternatives",3,"costs","recurring",0,"amount"],"sheet":"OMRRR"},{"cell":"K61","kind":"int","path":["sites",4,"alternatives",3,"costs","recurring",0,"every_years"],"sheet":"OMRRR"},{"cell":"L61","kind":"optional_int","path":["sites",4,"alternatives",3,"costs","recurring",0,"first_year"],"sheet":"OMRRR"},{"cell":"M61","kind":"optional_int","path":["sites",4,"alternatives",3,"costs","recurring",0,"last_year"],"sheet":"OMRRR"},{"cell":"I62","kind":"number","path":["sites",4,"alternatives",3,"costs","recurring",1,"unit_rate"],"sheet":"OMRRR"},{"cell":"J62","kind":"number","path":["sites",4,"alternatives",3,"costs","recurring",1,"quantity"],"sheet":"OMRRR"},{"cell":"K62","kind":"int","path":["sites",4,"alternatives",3,"costs","recurring",1,"every_years"],"sheet":"OMRRR"},{"cell":"L62","kind":"optional_int","path":["sites",4,"alternatives",3,"costs","recurring",1,"first_year"],"sheet":"OMRRR"},{"cell":"M62","kind":"optional_int","path":["sites",4,"alternatives",3,"costs","recurring",1,"last_year"],"sheet":"OMRRR"},{"cell":"F63","kind":"number","path":["sites",4,"alternatives",3,"costs","recurring",2,"amount"],"sheet":"OMRRR"},{"cell":"K63","kind":"int","path":["sites",4,"alternatives",3,"costs","recurring",2,"every_years"],"sheet":"OMRRR"},{"cell":"L63","kind":"optional_int","path":["sites",4,"alternatives",3,"costs","recurring",2,"first_year"],"sheet":"OMRRR"},{"cell":"M63","kind":"optional_int","path":["sites",4,"alternatives",3,"costs","recurring",2,"last_year"],"sheet":"OMRRR"},{"cell":"G64","kind":"number","path":["sites",4,"alternatives",3,"costs","recurring",3,"percent"],"sheet":"OMRRR"},{"cell":"K64","kind":"int","path":["sites",4,"alternatives",3,"costs","recurring",3,"every_years"],"sheet":"OMRRR"},{"cell":"L64","kind":"optional_int","path":["sites",4,"alternatives",3,"costs","recurring",3,"first_year"],"sheet":"OMRRR"},{"cell":"M64","kind":"optional_int","path":["sites",4,"alternatives",3,"costs","recurring",3,"last_year"],"sheet":"OMRRR"},{"cell":"F65","kind":"number","path":["sites",5,"alternatives",1,"costs","recurring",0,"amount"],"sheet":"OMRRR"},{"cell":"K65","kind":"int","path":["sites",5,"alternatives",1,"costs","recurring",0,"every_years"],"sheet":"OMRRR"},{"cell":"L65","kind":"optional_int","path":["sites",5,"alternatives",1,"costs","recurring",0,"first_year"],"sheet":"OMRRR"},{"cell":"M65","kind":"optional_int","path":["sites",5,"alternatives",1,"costs","recurring",0,"last_year"],"sheet":"OMRRR"},{"cell":"I66","kind":"number","path":["sites",5,"alternatives",1,"costs","recurring",1,"unit_rate"],"sheet":"OMRRR"},{"cell":"J66","kind":"number","path":["sites",5,"alternatives",1,"costs","recurring",1,"quantity"],"sheet":"OMRRR"},{"cell":"K66","kind":"int","path":["sites",5,"alternatives",1,"costs","recurring",1,"every_years"],"sheet":"OMRRR"},{"cell":"L66","kind":"optional_int","path":["sites",5,"alternatives",1,"costs","recurring",1,"first_year"],"sheet":"OMRRR"},{"cell":"M66","kind":"optional_int","path":["sites",5,"alternatives",1,"costs","recurring",1,"last_year"],"sheet":"OMRRR"},{"cell":"F67","kind":"number","path":["sites",5,"alternatives",1,"costs","recurring",2,"amount"],"sheet":"OMRRR"},{"cell":"K67","kind":"int","path":["sites",5,"alternatives",1,"costs","recurring",2,"every_years"],"sheet":"OMRRR"},{"cell":"L67","kind":"optional_int","path":["sites",5,"alternatives",1,"costs","recurring",2,"first_year"],"sheet":"OMRRR"},{"cell":"M67","kind":"optional_int","path":["sites",5,"alternatives",1,"costs","recurring",2,"last_year"],"sheet":"OMRRR"},{"cell":"G68","kind":"number","path":["sites",5,"alternatives",1,"costs","recurring",3,"percent"],"sheet":"OMRRR"},{"cell":"K68","kind":"int","path":["sites",5,"alternatives",1,"costs","recurring",3,"every_years"],"sheet":"OMRRR"},{"cell":"L68","kind":"optional_int","path":["sites",5,"alternatives",1,"costs","recurring",3,"first_year"],"sheet":"OMRRR"},{"cell":"M68","kind":"optional_int","path":["sites",5,"alternatives",1,"costs","recurring",3,"last_year"],"sheet":"OMRRR"},{"cell":"F69","kind":"number","path":["sites",5,"alternatives",2,"costs","recurring",0,"amount"],"sheet":"OMRRR"},{"cell":"K69","kind":"int","path":["sites",5,"alternatives",2,"costs","recurring",0,"every_years"],"sheet":"OMRRR"},{"cell":"L69","kind":"optional_int","path":["sites",5,"alternatives",2,"costs","recurring",0,"first_year"],"sheet":"OMRRR"},{"cell":"M69","kind":"optional_int","path":["sites",5,"alternatives",2,"costs","recurring",0,"last_year"],"sheet":"OMRRR"},{"cell":"I70","kind":"number","path":["sites",5,"alternatives",2,"costs","recurring",1,"unit_rate"],"sheet":"OMRRR"},{"cell":"J70","kind":"number","path":["sites",5,"alternatives",2,"costs","recurring",1,"quantity"],"sheet":"OMRRR"},{"cell":"K70","kind":"int","path":["sites",5,"alternatives",2,"costs","recurring",1,"every_years"],"sheet":"OMRRR"},{"cell":"L70","kind":"optional_int","path":["sites",5,"alternatives",2,"costs","recurring",1,"first_year"],"sheet":"OMRRR"},{"cell":"M70","kind":"optional_int","path":["sites",5,"alternatives",2,"costs","recurring",1,"last_year"],"sheet":"OMRRR"},{"c</t>
        </is>
      </c>
      <c r="H3" t="inlineStr">
        <is>
          <t>ell":"F71","kind":"number","path":["sites",5,"alternatives",2,"costs","recurring",2,"amount"],"sheet":"OMRRR"},{"cell":"K71","kind":"int","path":["sites",5,"alternatives",2,"costs","recurring",2,"every_years"],"sheet":"OMRRR"},{"cell":"L71","kind":"optional_int","path":["sites",5,"alternatives",2,"costs","recurring",2,"first_year"],"sheet":"OMRRR"},{"cell":"M71","kind":"optional_int","path":["sites",5,"alternatives",2,"costs","recurring",2,"last_year"],"sheet":"OMRRR"},{"cell":"G72","kind":"number","path":["sites",5,"alternatives",2,"costs","recurring",3,"percent"],"sheet":"OMRRR"},{"cell":"K72","kind":"int","path":["sites",5,"alternatives",2,"costs","recurring",3,"every_years"],"sheet":"OMRRR"},{"cell":"L72","kind":"optional_int","path":["sites",5,"alternatives",2,"costs","recurring",3,"first_year"],"sheet":"OMRRR"},{"cell":"M72","kind":"optional_int","path":["sites",5,"alternatives",2,"costs","recurring",3,"last_year"],"sheet":"OMRRR"},{"cell":"F73","kind":"number","path":["sites",5,"alternatives",3,"costs","recurring",0,"amount"],"sheet":"OMRRR"},{"cell":"K73","kind":"int","path":["sites",5,"alternatives",3,"costs","recurring",0,"every_years"],"sheet":"OMRRR"},{"cell":"L73","kind":"optional_int","path":["sites",5,"alternatives",3,"costs","recurring",0,"first_year"],"sheet":"OMRRR"},{"cell":"M73","kind":"optional_int","path":["sites",5,"alternatives",3,"costs","recurring",0,"last_year"],"sheet":"OMRRR"},{"cell":"I74","kind":"number","path":["sites",5,"alternatives",3,"costs","recurring",1,"unit_rate"],"sheet":"OMRRR"},{"cell":"J74","kind":"number","path":["sites",5,"alternatives",3,"costs","recurring",1,"quantity"],"sheet":"OMRRR"},{"cell":"K74","kind":"int","path":["sites",5,"alternatives",3,"costs","recurring",1,"every_years"],"sheet":"OMRRR"},{"cell":"L74","kind":"optional_int","path":["sites",5,"alternatives",3,"costs","recurring",1,"first_year"],"sheet":"OMRRR"},{"cell":"M74","kind":"optional_int","path":["sites",5,"alternatives",3,"costs","recurring",1,"last_year"],"sheet":"OMRRR"},{"cell":"F75","kind":"number","path":["sites",5,"alternatives",3,"costs","recurring",2,"amount"],"sheet":"OMRRR"},{"cell":"K75","kind":"int","path":["sites",5,"alternatives",3,"costs","recurring",2,"every_years"],"sheet":"OMRRR"},{"cell":"L75","kind":"optional_int","path":["sites",5,"alternatives",3,"costs","recurring",2,"first_year"],"sheet":"OMRRR"},{"cell":"M75","kind":"optional_int","path":["sites",5,"alternatives",3,"costs","recurring",2,"last_year"],"sheet":"OMRRR"},{"cell":"G76","kind":"number","path":["sites",5,"alternatives",3,"costs","recurring",3,"percent"],"sheet":"OMRRR"},{"cell":"K76","kind":"int","path":["sites",5,"alternatives",3,"costs","recurring",3,"every_years"],"sheet":"OMRRR"},{"cell":"L76","kind":"optional_int","path":["sites",5,"alternatives",3,"costs","recurring",3,"first_year"],"sheet":"OMRRR"},{"cell":"M76","kind":"optional_int","path":["sites",5,"alternatives",3,"costs","recurring",3,"last_year"],"sheet":"OMRRR"},{"cell":"F77","kind":"number","path":["sites",6,"alternatives",1,"costs","recurring",0,"amount"],"sheet":"OMRRR"},{"cell":"K77","kind":"int","path":["sites",6,"alternatives",1,"costs","recurring",0,"every_years"],"sheet":"OMRRR"},{"cell":"L77","kind":"optional_int","path":["sites",6,"alternatives",1,"costs","recurring",0,"first_year"],"sheet":"OMRRR"},{"cell":"M77","kind":"optional_int","path":["sites",6,"alternatives",1,"costs","recurring",0,"last_year"],"sheet":"OMRRR"},{"cell":"I78","kind":"number","path":["sites",6,"alternatives",1,"costs","recurring",1,"unit_rate"],"sheet":"OMRRR"},{"cell":"J78","kind":"number","path":["sites",6,"alternatives",1,"costs","recurring",1,"quantity"],"sheet":"OMRRR"},{"cell":"K78","kind":"int","path":["sites",6,"alternatives",1,"costs","recurring",1,"every_years"],"sheet":"OMRRR"},{"cell":"L78","kind":"optional_int","path":["sites",6,"alternatives",1,"costs","recurring",1,"first_year"],"sheet":"OMRRR"},{"cell":"M78","kind":"optional_int","path":["sites",6,"alternatives",1,"costs","recurring",1,"last_year"],"sheet":"OMRRR"},{"cell":"F79","kind":"number","path":["sites",6,"alternatives",1,"costs","recurring",2,"amount"],"sheet":"OMRRR"},{"cell":"K79","kind":"int","path":["sites",6,"alternatives",1,"costs","recurring",2,"every_years"],"sheet":"OMRRR"},{"cell":"L79","kind":"optional_int","path":["sites",6,"alternatives",1,"costs","recurring",2,"first_year"],"sheet":"OMRRR"},{"cell":"M79","kind":"optional_int","path":["sites",6,"alternatives",1,"costs","recurring",2,"last_year"],"sheet":"OMRRR"},{"cell":"G80","kind":"number","path":["sites",6,"alternatives",1,"costs","recurring",3,"percent"],"sheet":"OMRRR"},{"cell":"K80","kind":"int","path":["sites",6,"alternatives",1,"costs","recurring",3,"every_years"],"sheet":"OMRRR"},{"cell":"L80","kind":"optional_int","path":["sites",6,"alternatives",1,"costs","recurring",3,"first_year"],"sheet":"OMRRR"},{"cell":"M80","kind":"optional_int","path":["sites",6,"alternatives",1,"costs","recurring",3,"last_year"],"sheet":"OMRRR"},{"cell":"F81","kind":"number","path":["sites",6,"alternatives",2,"costs","recurring",0,"amount"],"sheet":"OMRRR"},{"cell":"K81","kind":"int","path":["sites",6,"alternatives",2,"costs","recurring",0,"every_years"],"sheet":"OMRRR"},{"cell":"L81","kind":"optional_int","path":["sites",6,"alternatives",2,"costs","recurring",0,"first_year"],"sheet":"OMRRR"},{"cell":"M81","kind":"optional_int","path":["sites",6,"alternatives",2,"costs","recurring",0,"last_year"],"sheet":"OMRRR"},{"cell":"I82","kind":"number","path":["sites",6,"alternatives",2,"costs","recurring",1,"unit_rate"],"sheet":"OMRRR"},{"cell":"J82","kind":"number","path":["sites",6,"alternatives",2,"costs","recurring",1,"quantity"],"sheet":"OMRRR"},{"cell":"K82","kind":"int","path":["sites",6,"alternatives",2,"costs","recurring",1,"every_years"],"sheet":"OMRRR"},{"cell":"L82","kind":"optional_int","path":["sites",6,"alternatives",2,"costs","recurring",1,"first_year"],"sheet":"OMRRR"},{"cell":"M82","kind":"optional_int","path":["sites",6,"alternatives",2,"costs","recurring",1,"last_year"],"sheet":"OMRRR"},{"cell":"F83","kind":"number","path":["sites",6,"alternatives",2,"costs","recurring",2,"amount"],"sheet":"OMRRR"},{"cell":"K83","kind":"int","path":["sites",6,"alternatives",2,"costs","recurring",2,"every_years"],"sheet":"OMRRR"},{"cell":"L83","kind":"optional_int","path":["sites",6,"alternatives",2,"costs","recurring",2,"first_year"],"sheet":"OMRRR"},{"cell":"M83","kind":"optional_int","path":["sites",6,"alternatives",2,"costs","recurring",2,"last_year"],"sheet":"OMRRR"},{"cell":"G84","kind":"number","path":["sites",6,"alternatives",2,"costs","recurring",3,"percent"],"sheet":"OMRRR"},{"cell":"K84","kind":"int","path":["sites",6,"alternatives",2,"costs","recurring",3,"every_years"],"sheet":"OMRRR"},{"cell":"L84","kind":"optional_int","path":["sites",6,"alternatives",2,"costs","recurring",3,"first_year"],"sheet":"OMRRR"},{"cell":"M84","kind":"optional_int","path":["sites",6,"alternatives",2,"costs","recurring",3,"last_year"],"sheet":"OMRRR"},{"cell":"F85","kind":"number","path":["sites",6,"alternatives",3,"costs","recurring",0,"amount"],"sheet":"OMRRR"},{"cell":"K85","kind":"int","path":["sites",6,"alternatives",3,"costs","recurring",0,"every_years"],"sheet":"OMRRR"},{"cell":"L85","kind":"optional_int","path":["sites",6,"alternatives",3,"costs","recurring",0,"first_year"],"sheet":"OMRRR"},{"cell":"M85","kind":"optional_int","path":["sites",6,"alternatives",3,"costs","recurring",0,"last_year"],"sheet":"OMRRR"},{"cell":"I86","kind":"number","path":["sites",6,"alternatives",3,"costs","recurring",1,"unit_rate"],"sheet":"OMRRR"},{"cell":"J86","kind":"number","path":["sites",6,"alternatives",3,"costs","recurring",1,"quantity"],"sheet":"OMRRR"},{"cell":"K86","kind":"int","path":["sites",6,"alternatives",3,"costs","recurring",1,"every_years"],"sheet":"OMRRR"},{"cell":"L86","kind":"optional_int","path":["sites",6,"alternatives",3,"costs","recurring",1,"first_year"],"sheet":"OMRRR"},{"cell":"M86","kind":"optional_int","path":["sites",6,"alternatives",3,"costs","recurring",1,"last_year"],"sheet":"OMRRR"},{"cell":"F87","kind":"number","path":["sites",6,"alternatives",3,"costs","recurring",2,"amount"],"sheet":"OMRRR"},{"cell":"K87","kind":"int","path":["sites",6,"alternatives",3,"costs","recurring",2,"every_years"],"sheet":"OMRRR"},{"cell":"L87","kind":"optional_int","path":["sites",6,"alternatives",3,"costs","recurring",2,"first_year"],"sheet":"OMRRR"},{"cell":"M87","kind":"optional_int","path":["sites",6,"alternatives",3,"costs","recurring",2,"last_year"],"sheet":"OMRRR"},{"cell":"G88","kind":"number","path":["sites",6,"alternatives",3,"costs","recurring",3,"percent"],"sheet":"OMRRR"},{"cell":"K88","kind":"int","path":["sites",6,"alternatives",3,"costs","recurring",3,"every_years"],"sheet":"OMRRR"},{"cell":"L88","kind":"optional_int","path":["sites",6,"alternatives",3,"costs","recurring",3,"first_year"],"sheet":"OMRRR"},{"cell":"M88","kind":"optional_int","path":["sites",6,"alternatives",3,"costs","recurring",3,"last_year"],"sheet":"OMRRR"},{"cell":"F89","kind":"number","path":["sites",7,"alternatives",1,"costs","recurring",0,"amount"],"sheet":"OMRRR"},{"cell":"K89","kind":"int","path":["sites",7,"alternatives",1,"costs","recurring",0,"every_years"],"sheet":"OMRRR"},{"cell":"L89","kind":"optional_int","path":["sites",7,"alternatives",1,"costs","recurring",0,"first_year"],"sheet":"OMRRR"},{"cell":"M89","kind":"optional_int","path":["sites",7,"alternatives",1,"costs","recurring",0,"last_year"],"sheet":"OMRRR"},{"cell":"I90","kind":"number","path":["sites",7,"alternatives",1,"costs","recurring",1,"unit_rate"],"sheet":"OMRRR"},{"cell":"J90","kind":"number","path":["sites",7,"alternatives",1,"costs","recurring",1,"quantity"],"sheet":"OMRRR"},{"cell":"K90","kind":"int","path":["sites",7,"alternatives",1,"costs","recurring",1,"every_years"],"sheet":"OMRRR"},{"cell":"L90","kind":"optional_int","path":["sites",7,"alternatives",1,"costs","recurring",1,"first_year"],"sheet":"OMRRR"},{"cell":"M90","kind":"optional_int","path":["sites",7,"alternatives",1,"costs","recurring",1,"last_year"],"sheet":"OMRRR"},{"cell":"F91","kind":"number","path":["sites",7,"alternatives",1,"costs","recurring",2,"amount"],"sheet":"OMRRR"},{"cell":"K91","kind":"int","path":["sites",7,"alternatives",1,"costs","recurring",2,"every_years"],"sheet":"OMRRR"},{"cell":"L91","kind":"optional_int","path":["sites",7,"alternatives",1,"costs","recurring",2,"first_year"],"sheet":"OMRRR"},{"cell":"M91","kind":"optional_int","path":["sites",7,"alternatives",1,"costs","recurring",2,"last_year"],"sheet":"OMRRR"},{"cell":"G92","kind":"number","path":["sites",7,"alternatives",1,"costs","recurring",3,"percent"],"sheet":"OMRRR"},{"cell":"K92","kind":"int","path":["sites",7,"alternatives",1,"costs","recurring",3,"every_years"],"sheet":"OMRRR"},{"cell":"L92","kind":"optional_int","path":["sites",7,"alternatives",1,"costs","recurring",3,"first_year"],"sheet":"OMRRR"},{"cell":"M92","kind":"optional_int","path":["sites",7,"alternatives",1,"costs","recurring",3,"last_year"],"sheet":"OMRRR"},{"cell":"F93","kind":"number","path":["sites",7,"alternatives",2,"costs","recurring",0,"amount"],"sheet":"OMRRR"},{"cell":"K93","kind":"int","path":["sites",7,"alternatives",2,"costs","recurring",0,"every_years"],"sheet":"OMRRR"},{"cell":"L93","kind":"optional_int","path":["sites",7,"alternatives",2,"costs","recurring",0,"first_year"],"sheet":"OMRRR"},{"cell":"M93","kind":"optional_int","path":["sites",7,"alternatives",2,"costs","recurring",0,"last_year"],"sheet":"OMRRR"},{"cell":"I94","kind":"number","path":["sites",7,"alternatives",2,"costs","recurring",1,"unit_rate"],"sheet":"OMRRR"},{"cell":"J94","kind":"number","path":["sites",7,"alternatives",2,"costs","recurring",1,"quantity"],"sheet":"OMRRR"},{"cell":"K94","kind":"int","path":["sites",7,"alternatives",2,"costs","recurring",1,"every_years"],"sheet":"OMRRR"},{"cell":"L94","kind":"optional_int","path":["sites",7,"alternatives",2,"costs","recurring",1,"first_year"],"sheet":"OMRRR"},{"cell":"M94","kind":"optional_int","path":["sites",7,"alternatives",2,"costs","recurring",1,"last_year"],"sheet":"OMRRR"},{"cell":"F95","kind":"number","path":["sites",7,"alternatives",2,"costs","recurring",2,"amount"],"sheet":"OMRRR"},{"cell":"K95","kind":"int","path":["sites",7,"alternatives",2,"costs","recurring",2,"every_years"],"sheet":"OMRRR"},{"cell":"L95","kind":"optional_int","path":["sites",7,"alternatives",2,"costs","recurring",2,"first_year"],"sheet":"OMRRR"},{"cell":"M95","kind":"optional_int","path":["sites",7,"alternatives",2,"costs","recurring",2,"last_year"],"sheet":"OMRRR"},{"cell":"G96","kind":"number","path":["sites",7,"alternatives",2,"costs","recurring",3,"percent"],"sheet":"OMRRR"},{"cell":"K96","kind":"int","path":["sites",7,"alternatives",2,"costs","recurring",3,"every_years"],"sheet":"OMRRR"},{"cell":"L96","kind":"optional_int","path":["sites",7,"alternatives",2,"costs","recurring",3,"first_year"],"sheet":"OMRRR"},{"cell":"M96","kind":"optional_int","path":["sites",7,"alternatives",2,"costs","recurring",3,"last_year"],"sheet":"OMRRR"},{"cell":"C5","exported":"Alternative3","kind":"rec","path":["decisions","sites","17F2M","recommended_alt_id"],"sheet":"Sites"},{"cell":"C6","exported":"Alternative1","kind":"rec","path":["decisions","sites","17D2E","recommended_alt_id"],"sheet":"Sites"},{"cell":"C7","exported":"Alternative2","kind":"rec","path":["decisions","sites","17B","recommended_alt_id"],"sheet":"Sites"},{"cell":"C8","exported":"Alternative1","kind":"rec","path":["decisions","sites","2A","recommended_alt_id"],"sheet":"Sites"},{"cell":"C9","exported":"Alternative1","kind":"rec","path":["decisions","sites","2B","recommended_alt_id"],"sheet":"Sites"},{"cell":"C10","exported":"FWOP","kind":"rec","path":["decisions","sites","3E","recommended_alt_id"],"sheet":"Sites"},{"cell":"C11","exported":"Alternative1","kind":"rec","path":["decisions","sites","3F","recommended_alt_id"],"sheet":"Sites"},{"cell":"C12","exported":"Alternative2","kind":"rec","path":["decisions","sites","19A","recommended_alt_id"],"sheet":"Sites"},{"cell":"AF12","kind":"final","path":["@final",12],"sheet":"Watershed plans"},{"cell":"AF13","kind":"final","path":["@final",13],"sheet":"Watershed plans"},{"cell":"AF14","kind":"final","path":["@final",14],"sheet":"Watershed plans"},{"cell":"AF15","kind":"final","path":["@final",15],"sheet":"Watershed plans"},{"cell":"AF16","kind":"final","path":["@final",16],"sheet":"Watershed plans"},{"cell":"AF17","kind":"final","path":["@final",17],"sheet":"Watershed plans"},{"cell":"AF18","kind":"final","path":["@final",18],"sheet":"Watershed plans"},{"cell":"AF19","kind":"final","path":["@final",19],"sheet":"Watershed plans"},{"cell":"AF20","kind":"final","path":["@final",20],"sheet":"Watershed plans"},{"cell":"AF21","kind":"final","path":["@final",21],"sheet":"Watershed plans"},{"cell":"AF22","kind":"final","path":["@final",22],"sheet":"Watershed plans"},{"cell":"AF23","kind":"final","path":["@final",23],"sheet":"Watershed plans"},{"cell":"AF24","kind":"final","path":["@final",24],"sheet":"Watershed plans"},{"cell":"AF25","kind":"final","path":["@final",25],"sheet":"Watershed plans"},{"cell":"AF26","kind":"final","path":["@final",26],"sheet":"Watershed plans"},{"cell":"AF27","kind":"final","path":["@final",27],"sheet":"Watershed plans"},{"cell":"AF28","kind":"final","path":["@final",28],"sheet":"Watershed plans"},{"cell":"AF29","kind":"final","path":["@final",29],"sheet":"Watershed plans"},{"cell":"AF30","kind":"final","path":["@final",30],"sheet":"Watershed plans"},{"cell":"AF31","kind":"final","path":["@final",31],"sheet":"Watershed plans"},{"cell":"AF32","kind":"final","path":["@final",32],"sheet":"Watershed plans"},{"cell":"AF33","kind":"final","path":["@final",33],"sheet":"Watershed plans"},{"cell":"AF34","kind":"final","path":["@final",34],"sheet":"Watershed plans"},{"cell":"AF35","kind":"final","path":["@final",35],"sheet":"Watershed plans"},{"cell":"AF36","kind":"final","path":["@final",36],"sheet":"Watershed plans"},{"cell":"AF37","kind":"final","path":["@final",37],"sheet":"Watershed plans"},{"cell":"AF38","kind":"final","path":["@final",38],"sheet":"Watershed plans"},{"cell":"AF39","kind":"final","path":["@final",39],"sheet":"Watershed plans"},{"cell":"AF40","kind":"final","path":["@final",40],"sheet":"Watershed plans"},{"cell":"AF41","kind":"final","path":["@final",41],"sheet":"Watershed plans"},{"cell":"AF42","kind":"final","path":["@final",42],"sheet":"Watershed plans"},{"cell":"AF43","kind":"final","path":["@final",43],"sheet":"Watershed plans"},{"cell":"AF44","kind":"final","path":["@final",44],"sheet":"Watershed plans"},{"cell":"AF45","kind":"final","path":["@final",45],"sheet":"Watershed plans"},{"cell":"AF46","kind":"final","path":["@final",46],"sheet":"Watershed plans"},{"cell":"AF47","kind":"final","path":["@final",47],"sheet":"Watershed plans"},{"cell":"AF48","kind":"final","path":["@final",48],"sheet":"Watershed plans"},{"cell":"AF49","kind":"final","path":["@final",49],"sheet":"Watershed plans"},{"cell":"AF50","kind":"final","path":["@final",50],"sheet":"Watershed plans"},{"cell":"AF51","kind":"final","path":["@final",51],"sheet":"Watershed plans"},{"cell":"AF52","kind":"final","path":["@final",52],"sheet":"Watershed plans"},{"cell":"AF53","kind":"final","path":["@final",53],"sheet":"Watershed plans"},{"cell":"AF54","kind":"final","path":["@final",54],"sheet":"Watershed plans"},{"cell":"AF55","kind":"final","path":["@final",55],"sheet":"Watershed plans"},{"cell":"AF56","kind":"final","path":["@final",56],"sheet":"Watershed plans"},{"cell":"AF57","kind":"final","path":["@final",57],"sheet":"Watershed plans"},{"cell":"AF58","kind":"final","path":["@final",58],"sheet":"Watershed plans"},{"cell":"AF59","kind":"final","path":["@final",59],"sheet":"Watershed plans"},{"cell":"AF60","kind":"final","path":["@final",60],"sheet":"Watershed plans"},{"cell":"AF61","kind":"final","path":["@final",61],"sheet":"Watershed plans"},{"cell":"AF62","kind":"final","path":["@final",62],"sheet":"Watershed plans"},{"cell":"AF63","kind":"final","path":["@final",63],"sheet":"Watershed plans"},{"cell":"AF64","kind":"final","path":["@final",64],"sheet":"Watershed plans"},{"cell":"AF65","kind":"final","path":["@final",65],"sheet":"Watershed plans"},{"cell":"AF66","kind":"final","path":["@final",66],"sheet":"Watershed plans"},{"cell":"AF67","kind":"final","path":["@final",67],"sheet":"Watershed plans"},{"cell":"AF68","kind":"final","path":["@final",68],"sheet":"Watershed plans"},{"cell":"AF69","kind":"final","path":["@final",69],"sheet":"Watershed plans"},{"cell":"AF70","kind":"final","path":["@final",70],"sheet":"Watershed plans"},{"cell":"AF71","kind":"final","path":["@final",71],"sheet":"Watershed plans"},{"cell":"AF72","kind":"final","path":["@final",72],"sheet":"Watershed plans"},{"cell":"AF73","kind":"final","path":["@final",73],"sheet":"Watershed plans"},{"cell":"AF74","kind":"final","path":["@final",74],"sheet":"Watershed plans"},{"cell":"AF75","kind":"final","path":["@final",75],"sheet":"Watershed plans"},{"cell":"AF76","kind":"final","path":["@final",76],"sheet":"Watershed plans"},{"cell":"AF77","kind":"final","path":["@final",77],"sheet":"Watershed plans"},{"cell":"AF78","kind":"final","path":["@final",78],"sheet":"Watershed plans"},{"cell":"AF79","kind":"final","path":["@final",79],"sheet":"Watershed plans"},{"cell":"AF80","kind":"final","path":["@final",80],"sheet":"Watershed plans"},{"cell":"AF81","kind":"final","path":["@final",81],"sheet":"Watershed plans"},{"cell":"AF82","kind":"final","path":["@final",82],"sheet":"Watershed plans"},{"cell":"AF83","kind":"final","path":["@final",83],"sheet":"Watershed plans"},{"cell":"AF84","kind":"final","path":["@final",84],"sheet":"Watershed plans"},{"cell":"AF85","kind":"final","path":["@final",85],"sheet":"Watershed plans"},{"cell":"AF86","kind":"final","path":["@final",86],"sheet":"Watershed plans"},{"cell":"AF87","kind":"final","path":["@final",87],"sheet":"Watershed plans"},{"cell":"AF88","kind":"final","path":["@final",88],"sheet":"Watershed plans"},{"cell":"AF89","kind":"final","path":["@final",89],"sheet":"Watershed plans"},{"cell":"AF90","kind":"final","path":["@final",90],"sheet":"Watershed plans"},{"cell":"AF91","kind":"final","path":["@final",91],"sheet":"Watershed plans"},{"cell":"AF92","kind":"final","path":["@final",92],"sheet":"Watershed plans"},{"cell":"AF93","kind":"final","path":["@final",93],"sheet":"Watershed plans"},{"cell":"AF94","kind":"final","path":["@final",94],"sheet":"Watershed plans"},{"cell":"AF95","kind":"final","path":["@final",95],"sheet":"Watershed plans"},{"cell":"AF96","kind":"final","path":["@final",96],"sheet":"Watershed plans"},{"cell":"AF97","kind":"final","path":["@final",97],"sheet":"Watershed plans"},{"cell":"AF98","kind":"final","path":["@final",98],"sheet":"Watershed plans"},{"cell":"AF99","kind":"final","path":["@final",99],"sheet":"Watershed plans"},{"cell":"AF100","kind":"final","path":["@final",100],"sheet":"Watershed plans"},{"cell":"AF101","kind":"final","path":["@final",101],"sheet":"Watershed plans"},{"cell":"AF102","kind":"final","path":["@final",102],"sheet":"Watershed plans"},{"cell":"AF103","kind":"final","path":["@final",103],"sheet":"Watershed plans"},{"cell":"AF104","kind":"final","path":["@final",104],"sheet":"Watershed plans"},{"cell":"AF105","kind":"final","path":["@final",105],"sheet":"Watershed plans"},{"cell":"AF106","kind":"final","path":["@final",106],"sheet":"Watershed plans"},{"cell":"AF107","kind":"final","path":["@final",107],"sheet":"Watershed plans"},{"cell":"AF108","kind":"final","path":["@final",108],"sheet":"Watershed plans"},{"cell":"AF109","kind":"final","path":["@final",109],"sheet":"Watershed plans"},{"cell":"AF110","kind":"final","path":["@final",110],"sheet":"Watershed plans"},{"cell":"AF111","kind":"final","path":["@final",111],"sheet":"Watershed plans"},{"cell":"AF112","kind":"final","path":["@final",112],"sheet":"Watershed plans"},{"cell":"AF113","kind":"final","path":["@final",113],"sheet":"Watershed plans"},{"cell":"AF114","kind":"final","path":["@final",114],"sheet":"Watershed plans"},{"cell":"AF115","kind":"final","path":["@final",115],"sheet":"Watershed plans"},{"cell":"AF116","kind":"final","path":["@final",116],"sheet":"Watershed plans"},{"cell":"AF117","kind":"final","path":["@final",117],"sheet":"Watershed plans"},{"cell":"AF118","kind":"final","path":["@final",118],"sheet":"Watershed plans"},{"cell":"AF119","kind":"final","path":["@final",119],"sheet":"Watershed plans"},{"cell":"AF120","kind":"final","path":["@final",120],"sheet":"Watershed plans"},{"cell":"AF121","kind":"final","path":["@final",121],"sheet":"Watershed plans"},{"cell":"AF122","kind":"final","path":["@final",122],"sheet":"Watershed plans"},{"cell":"AF123","kind":"final","path":["@final",123],"sheet":"Watershed plans"},{"cell":"AF124","kind":"final","path":["@final",124],"sheet":"Watershed plans"},{"cell":"AF125","kind":"final","path":["@final",125],"sheet":"Watershed plans"},{"cell":"AF126","kind":"final","path":["@final",126],"sheet":"Watershed plans"},{"cell":"AF127","kind":"final","path":["@final",127],"sheet":"Watershed plans"},{"cell":"AF128","kind":"final","path":["@final",128],"sheet":"Watershed plans"},{"cell":"AF129","kind":"final","path":["@final",129],"sheet":"Watershed plans"},{"cell":"AF130","kind":"final","path":["@final",130],"sheet":"Watershed plans"},{"cell":"AF131","kind":"final","path":["@final",131],"sheet":"Watershed plans"},{"cell":"AF132","kind":"final","path":["@final",132],"sheet":"Watershed plans"},{"cell":"AF133","kind":"final","path":["@final",133],"sheet":"Watershed plans"},{"cell":"AF134","kind":"final","path":["@final",134],"sheet":"Watershed plans"},{"cell":"AF135","kind":"final","path":["@final",135],"sheet":"Watershed plans"},{"cell":"AF136","kind":"final","path":["@final",136],"sheet":"Watershed plans"},{"cell":"AF137","kind":"final","path":["@final",137],"sheet":"Watershed plans"},{"cell":"AF138","kind":"final","path":["@final",138],"sheet":"Watershed plans"},{"cell":"AF139","kind":"final","path":["@final",139],"sheet":"Watershed plans"},{"cell":"AF140","kind":"final","path":["@final",140],"sheet":"Watershed plans"},{"cell":"AF141","kind":"final","path":["@final",141],"sheet":"Watershed plans"},{"cell":"AF142","kind":"final","path":["@final",142],"sheet":"Watershed plans"},{"cell":"AF143","kind":"final","path":["@final",143],"sheet":"Watershed plans"},{"cell":"AF144","kind":"final","path":["@final",144],"sheet":"Watershed plans"},{"cell":"AF145","kind":"final","path":["@final",145],"sheet":"Watershed plans"},{"cell":"AF146","kind":"final","path":["@final",146],"sheet":"Watershed plans"},{"cell":"AF147","kind":"final","path":["@final",147],"sheet":"Watershed plans"},{"cell":"AF148","kind":"final","path":["@final",148],"sheet":"Watershed plans"},{"cell":"AF149","kind":"final","path":["@final",149],"sheet":"Watershed plans"},{"cell":"AF150","kind":"final","path":["@final",150],"sheet":"Watershed plans"},{"cell":"AF151","kind":"final","path":["@final",151],"sheet":"Watershed plans"},{"cell":"AF152","kind":"final","path":["@final",152],"sheet":"Watershed plans"},{"cell":"AF153","kind":"final","path":["@final",153],"sheet":"Watershed plans"},{"cell":"AF154","kind":"final","path":["@final",154],"sheet":"Watershed plans"},{"cell":"AF155","kind":"final","path":["@final",155],"sheet":"Watershed plans"},{"cell":"AF156","kind":"final","path":["@final",156],"sheet":"Watershed plans"},{"cell":"AF157","kind":"final","path":["@final",157],"sheet":"Watershed plans"},{"cell":"AF158","kind":"final","path":["@final",158],"sheet":"Watershed plans"},{"cell":"AF159","kind":"final","path":["@final",159],"sheet":"Watershed plans"},{"cell":"AF160","kind":"final","path":["@final",160],"sheet":"Watershed plans"},{"cell":"AF161","kind":"final","path":["@final",161],"sheet":"Watershed plans"},{"cell":"AF162","kind":"final","path":["@final",162],"sheet":"Watershed plans"},{"cell":"AF163","kind":"final","path":["@final",163],"sheet":"Watershed plans"},{"cell":"AF164","kind":"final","path":["@final",164],"sheet":"Watershed plans"},{"cell":"AF165","kind":"final","path":["@final",165],"sheet":"Watershed plans"},{"cell":"AF166","kind":"final","path":["@final",166],"sheet":"Watershed plans"},{"cell":"AF167","kind":"final","path":["@final",167],"sheet":"Watershed plans"},{"cell":"AF168","kind":"final","path":["@final",168],"sheet":"Watershed plans"},{"cell":"AF169","kind":"final","path":["@final",169],"sheet":"Watershed plans"},{"cell":"AF170","kind":"final","path":["@final",170],"sheet":"Watershed plans"},{"cell":"AF171","kind":"final","path":["@final",171],"sheet":"Watershed plans"},{"cell":"AF172","kind":"final","path":["@final",172],"sheet":"Watershed plans"},{"cell":"AF173","kind":"final","path":["@final",173],"sheet":"Watershed plans"},{"cell":"AF174","kind":"final","path":["@final",174],"sheet":"Watershed plans"},{"cell":"AF175","kind":"final","path":["@final",175],"sheet":"Watershed plans"},{"cell":"AF176","kind":"final","path":["@final",176],"sheet":"Watershed plans"},{"cell":"AF177","kind":"final","path":["@final",177],"sheet":"Watershed plans"},{"cell":"AF178","kind":"final","path":["@final",178],"sheet":"Watershed plans"},{"cell":"AF179","kind":"final","path":["@final",179],"sheet":"Watershed plans"},{"cell":"AF180","kind":"final","path":["@final",180],"sheet":"Watershed plans"},{"cell":"AF181","kind":"final","path":["@final",181],"sheet":"Watershed plans"},{"cell":"AF182","kind":"final","path":["@final",182],"sheet":"Watershed plans"},{"cell":"AF183","kind":"final","path":["@final",183],"sheet":"Watershed plans"},{"cell":"AF184","kind":"final","path":["@final",184],"sheet":"Watershed plans"},{"cell":"AF185","kind":"final","path":["@final",185],"sheet":"Watershed plans"},{"cell":"AF186","kind":"final","path":["@final",186],"sheet":"Watershed plans"},{"cell":"AF187","kind":"final","path":["@final",187],"sheet":"Watershed plans"},{"cell":"AF188","kind":"final","path":["@final",188],"sheet":"Watershed plans"},{"cell":"AF189","kind":"final","path":["@final",189],"sheet":"Watershed plans"},{"cell":"AF190","kind":"final","path":["@final",190],"sheet":"Watershed plans"},{"cell":"AF191","kind":"final","path":["@final",191],"sheet":"Watershed plans"},{"cell":"AF192","kind":"final","path":["@final",192],"sheet":"Watershed plans"},{"cell":"AF193","kind":"final","path":["@final",193],"sheet":"Watershed plans"},{"cell":"AF194","kind":"final","path":["@final",194],"sheet":"Watershed plans"},{"cell":"AF195","kind":"final","path":["@final",195],"sheet":"Watershed plans"},{"cell":"AF196","kind":"final","path":["@final",196],"sheet":"Watershed plans"},{"cell":"AF197","kind":"final","path":["@final",197],"sheet":"Watershed plans"},{"cell":"AF198","kind":"final","path":["@final",198],"sheet":"Watershed plans"},{"cell":"AF199","kind":"final","path":["@final",199],"sheet":"Watershed plans"},{"cell":"AF200","kind":"final","path":["@final",200],"sheet":"Watershed plans"},{"cell":"AF201","kind":"final","path":["@final",201],"sheet":"Watershed plans"},{"cell":"AF202","kind":"final","path":["@final",202],"sheet":"Watershed plans"},{"cell":"AF203","kind":"final","path":["@final",203],"sheet":"Watershed plans"},{"cell":"AF204","kind":"final","path":["@final",204],"sheet":"Watershed plans"},{"cell":"AF205","kind":"final","path":["@final",205],"sheet":"Watershed plans"},{"cell":"AF206","kind":"final","path":["@final",206],"sheet":"Watershed plans"},{"cell":"AF207","kind":"final","path":["@final",207],"sheet":"Watershed plans"},{"cell":"AF208","kind":"final","path":["@final",208],"sheet":"Watershed plans"},{"cell":"AF209","kind":"final","path":["@final",209],"sheet":"Watershed plans"},{"cell":"AF210","kind":"final","path":["@final",210],"sheet":"Watershed plans"},{"cell":"AF211","kind":"final","path":["@final",211],"sheet":"Watershed plans"},{"cell":"AF212","kind":"final","path":["@final",212],"sheet":</t>
        </is>
      </c>
      <c r="I3" t="inlineStr">
        <is>
          <t>"Watershed plans"},{"cell":"AF213","kind":"final","path":["@final",213],"sheet":"Watershed plans"},{"cell":"AF214","kind":"final","path":["@final",214],"sheet":"Watershed plans"},{"cell":"AF215","kind":"final","path":["@final",215],"sheet":"Watershed plans"},{"cell":"AF216","kind":"final","path":["@final",216],"sheet":"Watershed plans"},{"cell":"AF217","kind":"final","path":["@final",217],"sheet":"Watershed plans"},{"cell":"AF218","kind":"final","path":["@final",218],"sheet":"Watershed plans"},{"cell":"AF219","kind":"final","path":["@final",219],"sheet":"Watershed plans"},{"cell":"AF220","kind":"final","path":["@final",220],"sheet":"Watershed plans"},{"cell":"AF221","kind":"final","path":["@final",221],"sheet":"Watershed plans"},{"cell":"AF222","kind":"final","path":["@final",222],"sheet":"Watershed plans"},{"cell":"AF223","kind":"final","path":["@final",223],"sheet":"Watershed plans"},{"cell":"AF224","kind":"final","path":["@final",224],"sheet":"Watershed plans"},{"cell":"AF225","kind":"final","path":["@final",225],"sheet":"Watershed plans"},{"cell":"AF226","kind":"final","path":["@final",226],"sheet":"Watershed plans"},{"cell":"AF227","kind":"final","path":["@final",227],"sheet":"Watershed plans"},{"cell":"AF228","kind":"final","path":["@final",228],"sheet":"Watershed plans"},{"cell":"AF229","kind":"final","path":["@final",229],"sheet":"Watershed plans"},{"cell":"AF230","kind":"final","path":["@final",230],"sheet":"Watershed plans"},{"cell":"AF231","kind":"final","path":["@final",231],"sheet":"Watershed plans"},{"cell":"AF232","kind":"final","path":["@final",232],"sheet":"Watershed plans"},{"cell":"AF233","kind":"final","path":["@final",233],"sheet":"Watershed plans"},{"cell":"AF234","kind":"final","path":["@final",234],"sheet":"Watershed plans"},{"cell":"AF235","kind":"final","path":["@final",235],"sheet":"Watershed plans"},{"cell":"AF236","kind":"final","path":["@final",236],"sheet":"Watershed plans"},{"cell":"AF237","kind":"final","path":["@final",237],"sheet":"Watershed plans"},{"cell":"AF238","kind":"final","path":["@final",238],"sheet":"Watershed plans"},{"cell":"AF239","kind":"final","path":["@final",239],"sheet":"Watershed plans"},{"cell":"AF240","kind":"final","path":["@final",240],"sheet":"Watershed plans"},{"cell":"AF241","kind":"final","path":["@final",241],"sheet":"Watershed plans"},{"cell":"AF242","kind":"final","path":["@final",242],"sheet":"Watershed plans"},{"cell":"AF243","kind":"final","path":["@final",243],"sheet":"Watershed plans"},{"cell":"AF244","kind":"final","path":["@final",244],"sheet":"Watershed plans"},{"cell":"AF245","kind":"final","path":["@final",245],"sheet":"Watershed plans"},{"cell":"AF246","kind":"final","path":["@final",246],"sheet":"Watershed plans"},{"cell":"AF247","kind":"final","path":["@final",247],"sheet":"Watershed plans"},{"cell":"AF248","kind":"final","path":["@final",248],"sheet":"Watershed plans"},{"cell":"AF249","kind":"final","path":["@final",249],"sheet":"Watershed plans"},{"cell":"AF250","kind":"final","path":["@final",250],"sheet":"Watershed plans"},{"cell":"AF251","kind":"final","path":["@final",251],"sheet":"Watershed plans"},{"cell":"AF252","kind":"final","path":["@final",252],"sheet":"Watershed plans"},{"cell":"AF253","kind":"final","path":["@final",253],"sheet":"Watershed plans"},{"cell":"AF254","kind":"final","path":["@final",254],"sheet":"Watershed plans"},{"cell":"AF255","kind":"final","path":["@final",255],"sheet":"Watershed plans"},{"cell":"AF256","kind":"final","path":["@final",256],"sheet":"Watershed plans"},{"cell":"AF257","kind":"final","path":["@final",257],"sheet":"Watershed plans"},{"cell":"AF258","kind":"final","path":["@final",258],"sheet":"Watershed plans"},{"cell":"AF259","kind":"final","path":["@final",259],"sheet":"Watershed plans"},{"cell":"AF260","kind":"final","path":["@final",260],"sheet":"Watershed plans"},{"cell":"AF261","kind":"final","path":["@final",261],"sheet":"Watershed plans"},{"cell":"AF262","kind":"final","path":["@final",262],"sheet":"Watershed plans"},{"cell":"AF263","kind":"final","path":["@final",263],"sheet":"Watershed plans"},{"cell":"AF264","kind":"final","path":["@final",264],"sheet":"Watershed plans"},{"cell":"AF265","kind":"final","path":["@final",265],"sheet":"Watershed plans"},{"cell":"AF266","kind":"final","path":["@final",266],"sheet":"Watershed plans"},{"cell":"AF267","kind":"final","path":["@final",267],"sheet":"Watershed plans"},{"cell":"K50","kind":"text","path":["@worth",0],"sheet":"Watershed summary"},{"cell":"L50","kind":"text","path":["@why",0],"sheet":"Watershed summary"},{"cell":"K51","kind":"text","path":["@worth",1],"sheet":"Watershed summary"},{"cell":"L51","kind":"text","path":["@why",1],"sheet":"Watershed summary"},{"cell":"K52","kind":"text","path":["@worth",2],"sheet":"Watershed summary"},{"cell":"L52","kind":"text","path":["@why",2],"sheet":"Watershed summary"},{"cell":"K53","kind":"text","path":["@worth",3],"sheet":"Watershed summary"},{"cell":"L53","kind":"text","path":["@why",3],"sheet":"Watershed summary"},{"cell":"K54","kind":"text","path":["@worth",4],"sheet":"Watershed summary"},{"cell":"L54","kind":"text","path":["@why",4],"sheet":"Watershed summary"},{"cell":"K55","kind":"text","path":["@worth",5],"sheet":"Watershed summary"},{"cell":"L55","kind":"text","path":["@why",5],"sheet":"Watershed summary"},{"cell":"K56","kind":"text","path":["@worth",6],"sheet":"Watershed summary"},{"cell":"L56","kind":"text","path":["@why",6],"sheet":"Watershed summary"},{"cell":"K57","kind":"text","path":["@worth",7],"sheet":"Watershed summary"},{"cell":"L57","kind":"text","path":["@why",7],"sheet":"Watershed summary"},{"cell":"K58","kind":"text","path":["@worth",8],"sheet":"Watershed summary"},{"cell":"L58","kind":"text","path":["@why",8],"sheet":"Watershed summary"},{"cell":"K59","kind":"text","path":["@worth",9],"sheet":"Watershed summary"},{"cell":"L59","kind":"text","path":["@why",9],"sheet":"Watershed summary"},{"cell":"K60","kind":"text","path":["@worth",10],"sheet":"Watershed summary"},{"cell":"L60","kind":"text","path":["@why",10],"sheet":"Watershed summary"},{"cell":"K61","kind":"text","path":["@worth",11],"sheet":"Watershed summary"},{"cell":"L61","kind":"text","path":["@why",11],"sheet":"Watershed summary"},{"cell":"K62","kind":"text","path":["@worth",12],"sheet":"Watershed summary"},{"cell":"L62","kind":"text","path":["@why",12],"sheet":"Watershed summary"},{"cell":"K63","kind":"text","path":["@worth",13],"sheet":"Watershed summary"},{"cell":"L63","kind":"text","path":["@why",13],"sheet":"Watershed summary"},{"cell":"K64","kind":"text","path":["@worth",14],"sheet":"Watershed summary"},{"cell":"L64","kind":"text","path":["@why",14],"sheet":"Watershed summary"},{"cell":"K65","kind":"text","path":["@worth",15],"sheet":"Watershed summary"},{"cell":"L65","kind":"text","path":["@why",15],"sheet":"Watershed summary"},{"cell":"K66","kind":"text","path":["@worth",16],"sheet":"Watershed summary"},{"cell":"L66","kind":"text","path":["@why",16],"sheet":"Watershed summary"},{"cell":"K67","kind":"text","path":["@worth",17],"sheet":"Watershed summary"},{"cell":"L67","kind":"text","path":["@why",17],"sheet":"Watershed summary"},{"cell":"K68","kind":"text","path":["@worth",18],"sheet":"Watershed summary"},{"cell":"L68","kind":"text","path":["@why",18],"sheet":"Watershed summary"},{"cell":"K69","kind":"text","path":["@worth",19],"sheet":"Watershed summary"},{"cell":"L69","kind":"text","path":["@why",19],"sheet":"Watershed summary"},{"cell":"K70","kind":"text","path":["@worth",20],"sheet":"Watershed summary"},{"cell":"L70","kind":"text","path":["@why",20],"sheet":"Watershed summary"},{"cell":"K71","kind":"text","path":["@worth",21],"sheet":"Watershed summary"},{"cell":"L71","kind":"text","path":["@why",21],"sheet":"Watershed summary"},{"cell":"K72","kind":"text","path":["@worth",22],"sheet":"Watershed summary"},{"cell":"L72","kind":"text","path":["@why",22],"sheet":"Watershed summary"},{"cell":"K73","kind":"text","path":["@worth",23],"sheet":"Watershed summary"},{"cell":"L73","kind":"text","path":["@why",23],"sheet":"Watershed summary"},{"cell":"K74","kind":"text","path":["@worth",24],"sheet":"Watershed summary"},{"cell":"L74","kind":"text","path":["@why",24],"sheet":"Watershed summary"},{"cell":"K75","kind":"text","path":["@worth",25],"sheet":"Watershed summary"},{"cell":"L75","kind":"text","path":["@why",25],"sheet":"Watershed summary"},{"cell":"K76","kind":"text","path":["@worth",26],"sheet":"Watershed summary"},{"cell":"L76","kind":"text","path":["@why",26],"sheet":"Watershed summary"},{"cell":"K77","kind":"text","path":["@worth",27],"sheet":"Watershed summary"},{"cell":"L77","kind":"text","path":["@why",27],"sheet":"Watershed summary"},{"cell":"K78","kind":"text","path":["@worth",28],"sheet":"Watershed summary"},{"cell":"L78","kind":"text","path":["@why",28],"sheet":"Watershed summary"},{"cell":"K79","kind":"text","path":["@worth",29],"sheet":"Watershed summary"},{"cell":"L79","kind":"text","path":["@why",29],"sheet":"Watershed summary"},{"cell":"K80","kind":"text","path":["@worth",30],"sheet":"Watershed summary"},{"cell":"L80","kind":"text","path":["@why",30],"sheet":"Watershed summary"},{"cell":"K81","kind":"text","path":["@worth",31],"sheet":"Watershed summary"},{"cell":"L81","kind":"text","path":["@why",31],"sheet":"Watershed summary"},{"cell":"K82","kind":"text","path":["@worth",32],"sheet":"Watershed summary"},{"cell":"L82","kind":"text","path":["@why",32],"sheet":"Watershed summary"},{"cell":"K83","kind":"text","path":["@worth",33],"sheet":"Watershed summary"},{"cell":"L83","kind":"text","path":["@why",33],"sheet":"Watershed summary"},{"cell":"K84","kind":"text","path":["@worth",34],"sheet":"Watershed summary"},{"cell":"L84","kind":"text","path":["@why",34],"sheet":"Watershed summary"},{"cell":"K85","kind":"text","path":["@worth",35],"sheet":"Watershed summary"},{"cell":"L85","kind":"text","path":["@why",35],"sheet":"Watershed summary"},{"cell":"K86","kind":"text","path":["@worth",36],"sheet":"Watershed summary"},{"cell":"L86","kind":"text","path":["@why",36],"sheet":"Watershed summary"},{"cell":"K87","kind":"text","path":["@worth",37],"sheet":"Watershed summary"},{"cell":"L87","kind":"text","path":["@why",37],"sheet":"Watershed summary"},{"cell":"K88","kind":"text","path":["@worth",38],"sheet":"Watershed summary"},{"cell":"L88","kind":"text","path":["@why",38],"sheet":"Watershed summary"},{"cell":"K89","kind":"text","path":["@worth",39],"sheet":"Watershed summary"},{"cell":"L89","kind":"text","path":["@why",39],"sheet":"Watershed summary"},{"cell":"B93","kind":"tsp","path":["@tsp"],"sheet":"Watershed summary"}],"liveWatershed":true,"planBits":[4,11],"planRowKeys":{"100":"17D2E=Alternative1;2A=Alternative1;2B=Alternative1","101":"17D2E=Alternative1;19A=Alternative2;2A=Alternative1;2B=Alternative1","102":"17D2E=Alternative1;2A=Alternative1;2B=Alternative1;3F=Alternative1","103":"17D2E=Alternative1;19A=Alternative2;2A=Alternative1;2B=Alternative1;3F=Alternative1","104":"17D2E=Alternative1;2A=Alternative1;2B=Alternative1;3E=FWOP","105":"17D2E=Alternative1;19A=Alternative2;2A=Alternative1;2B=Alternative1;3E=FWOP","106":"17D2E=Alternative1;2A=Alternative1;2B=Alternative1;3E=FWOP;3F=Alternative1","107":"17D2E=Alternative1;19A=Alternative2;2A=Alternative1;2B=Alternative1;3E=FWOP;3F=Alternative1","108":"17B=Alternative2;17D2E=Alternative1","109":"17B=Alternative2;17D2E=Alternative1;19A=Alternative2","110":"17B=Alternative2;17D2E=Alternative1;3F=Alternative1","111":"17B=Alternative2;17D2E=Alternative1;19A=Alternative2;3F=Alternative1","112":"17B=Alternative2;17D2E=Alternative1;3E=FWOP","113":"17B=Alternative2;17D2E=Alternative1;19A=Alternative2;3E=FWOP","114":"17B=Alternative2;17D2E=Alternative1;3E=FWOP;3F=Alternative1","115":"17B=Alternative2;17D2E=Alternative1;19A=Alternative2;3E=FWOP;3F=Alternative1","116":"17B=Alternative2;17D2E=Alternative1;2B=Alternative1","117":"17B=Alternative2;17D2E=Alternative1;19A=Alternative2;2B=Alternative1","118":"17B=Alternative2;17D2E=Alternative1;2B=Alternative1;3F=Alternative1","119":"17B=Alternative2;17D2E=Alternative1;19A=Alternative2;2B=Alternative1;3F=Alternative1","12":"","120":"17B=Alternative2;17D2E=Alternative1;2B=Alternative1;3E=FWOP","121":"17B=Alternative2;17D2E=Alternative1;19A=Alternative2;2B=Alternative1;3E=FWOP","122":"17B=Alternative2;17D2E=Alternative1;2B=Alternative1;3E=FWOP;3F=Alternative1","123":"17B=Alternative2;17D2E=Alternative1;19A=Alternative2;2B=Alternative1;3E=FWOP;3F=Alternative1","124":"17B=Alternative2;17D2E=Alternative1;2A=Alternative1","125":"17B=Alternative2;17D2E=Alternative1;19A=Alternative2;2A=Alternative1","126":"17B=Alternative2;17D2E=Alternative1;2A=Alternative1;3F=Alternative1","127":"17B=Alternative2;17D2E=Alternative1;19A=Alternative2;2A=Alternative1;3F=Alternative1","128":"17B=Alternative2;17D2E=Alternative1;2A=Alternative1;3E=FWOP","129":"17B=Alternative2;17D2E=Alternative1;19A=Alternative2;2A=Alternative1;3E=FWOP","13":"19A=Alternative2","130":"17B=Alternative2;17D2E=Alternative1;2A=Alternative1;3E=FWOP;3F=Alternative1","131":"17B=Alternative2;17D2E=Alternative1;19A=Alternative2;2A=Alternative1;3E=FWOP;3F=Alternative1","132":"17B=Alternative2;17D2E=Alternative1;2A=Alternative1;2B=Alternative1","133":"17B=Alternative2;17D2E=Alternative1;19A=Alternative2;2A=Alternative1;2B=Alternative1","134":"17B=Alternative2;17D2E=Alternative1;2A=Alternative1;2B=Alternative1;3F=Alternative1","135":"17B=Alternative2;17D2E=Alternative1;19A=Alternative2;2A=Alternative1;2B=Alternative1;3F=Alternative1","136":"17B=Alternative2;17D2E=Alternative1;2A=Alternative1;2B=Alternative1;3E=FWOP","137":"17B=Alternative2;17D2E=Alternative1;19A=Alternative2;2A=Alternative1;2B=Alternative1;3E=FWOP","138":"17B=Alternative2;17D2E=Alternative1;2A=Alternative1;2B=Alternative1;3E=FWOP;3F=Alternative1","139":"17B=Alternative2;17D2E=Alternative1;19A=Alternative2;2A=Alternative1;2B=Alternative1;3E=FWOP;3F=Alternative1","14":"3F=Alternative1","140":"17F2M=Alternative3","141":"17F2M=Alternative3;19A=Alternative2","142":"17F2M=Alternative3;3F=Alternative1","143":"17F2M=Alternative3;19A=Alternative2;3F=Alternative1","144":"17F2M=Alternative3;3E=FWOP","145":"17F2M=Alternative3;19A=Alternative2;3E=FWOP","146":"17F2M=Alternative3;3E=FWOP;3F=Alternative1","147":"17F2M=Alternative3;19A=Alternative2;3E=FWOP;3F=Alternative1","148":"17F2M=Alternative3;2B=Alternative1","149":"17F2M=Alternative3;19A=Alternative2;2B=Alternative1","15":"19A=Alternative2;3F=Alternative1","150":"17F2M=Alternative3;2B=Alternative1;3F=Alternative1","151":"17F2M=Alternative3;19A=Alternative2;2B=Alternative1;3F=Alternative1","152":"17F2M=Alternative3;2B=Alternative1;3E=FWOP","153":"17F2M=Alternative3;19A=Alternative2;2B=Alternative1;3E=FWOP","154":"17F2M=Alternative3;2B=Alternative1;3E=FWOP;3F=Alternative1","155":"17F2M=Alternative3;19A=Alternative2;2B=Alternative1;3E=FWOP;3F=Alternative1","156":"17F2M=Alternative3;2A=Alternative1","157":"17F2M=Alternative3;19A=Alternative2;2A=Alternative1","158":"17F2M=Alternative3;2A=Alternative1;3F=Alternative1","159":"17F2M=Alternative3;19A=Alternative2;2A=Alternative1;3F=Alternative1","16":"3E=FWOP","160":"17F2M=Alternative3;2A=Alternative1;3E=FWOP","161":"17F2M=Alternative3;19A=Alternative2;2A=Alternative1;3E=FWOP","162":"17F2M=Alternative3;2A=Alternative1;3E=FWOP;3F=Alternative1","163":"17F2M=Alternative3;19A=Alternative2;2A=Alternative1;3E=FWOP;3F=Alternative1","164":"17F2M=Alternative3;2A=Alternative1;2B=Alternative1","165":"17F2M=Alternative3;19A=Alternative2;2A=Alternative1;2B=Alternative1","166":"17F2M=Alternative3;2A=Alternative1;2B=Alternative1;3F=Alternative1","167":"17F2M=Alternative3;19A=Alternative2;2A=Alternative1;2B=Alternative1;3F=Alternative1","168":"17F2M=Alternative3;2A=Alternative1;2B=Alternative1;3E=FWOP","169":"17F2M=Alternative3;19A=Alternative2;2A=Alternative1;2B=Alternative1;3E=FWOP","17":"19A=Alternative2;3E=FWOP","170":"17F2M=Alternative3;2A=Alternative1;2B=Alternative1;3E=FWOP;3F=Alternative1","171":"17F2M=Alternative3;19A=Alternative2;2A=Alternative1;2B=Alternative1;3E=FWOP;3F=Alternative1","172":"17B=Alternative2;17F2M=Alternative3","173":"17B=Alternative2;17F2M=Alternative3;19A=Alternative2","174":"17B=Alternative2;17F2M=Alternative3;3F=Alternative1","175":"17B=Alternative2;17F2M=Alternative3;19A=Alternative2;3F=Alternative1","176":"17B=Alternative2;17F2M=Alternative3;3E=FWOP","177":"17B=Alternative2;17F2M=Alternative3;19A=Alternative2;3E=FWOP","178":"17B=Alternative2;17F2M=Alternative3;3E=FWOP;3F=Alternative1","179":"17B=Alternative2;17F2M=Alternative3;19A=Alternative2;3E=FWOP;3F=Alternative1","18":"3E=FWOP;3F=Alternative1","180":"17B=Alternative2;17F2M=Alternative3;2B=Alternative1","181":"17B=Alternative2;17F2M=Alternative3;19A=Alternative2;2B=Alternative1","182":"17B=Alternative2;17F2M=Alternative3;2B=Alternative1;3F=Alternative1","183":"17B=Alternative2;17F2M=Alternative3;19A=Alternative2;2B=Alternative1;3F=Alternative1","184":"17B=Alternative2;17F2M=Alternative3;2B=Alternative1;3E=FWOP","185":"17B=Alternative2;17F2M=Alternative3;19A=Alternative2;2B=Alternative1;3E=FWOP","186":"17B=Alternative2;17F2M=Alternative3;2B=Alternative1;3E=FWOP;3F=Alternative1","187":"17B=Alternative2;17F2M=Alternative3;19A=Alternative2;2B=Alternative1;3E=FWOP;3F=Alternative1","188":"17B=Alternative2;17F2M=Alternative3;2A=Alternative1","189":"17B=Alternative2;17F2M=Alternative3;19A=Alternative2;2A=Alternative1","19":"19A=Alternative2;3E=FWOP;3F=Alternative1","190":"17B=Alternative2;17F2M=Alternative3;2A=Alternative1;3F=Alternative1","191":"17B=Alternative2;17F2M=Alternative3;19A=Alternative2;2A=Alternative1;3F=Alternative1","192":"17B=Alternative2;17F2M=Alternative3;2A=Alternative1;3E=FWOP","193":"17B=Alternative2;17F2M=Alternative3;19A=Alternative2;2A=Alternative1;3E=FWOP","194":"17B=Alternative2;17F2M=Alternative3;2A=Alternative1;3E=FWOP;3F=Alternative1","195":"17B=Alternative2;17F2M=Alternative3;19A=Alternative2;2A=Alternative1;3E=FWOP;3F=Alternative1","196":"17B=Alternative2;17F2M=Alternative3;2A=Alternative1;2B=Alternative1","197":"17B=Alternative2;17F2M=Alternative3;19A=Alternative2;2A=Alternative1;2B=Alternative1","198":"17B=Alternative2;17F2M=Alternative3;2A=Alternative1;2B=Alternative1;3F=Alternative1","199":"17B=Alternative2;17F2M=Alternative3;19A=Alternative2;2A=Alternative1;2B=Alternative1;3F=Alternative1","20":"2B=Alternative1","200":"17B=Alternative2;17F2M=Alternative3;2A=Alternative1;2B=Alternative1;3E=FWOP","201":"17B=Alternative2;17F2M=Alternative3;19A=Alternative2;2A=Alternative1;2B=Alternative1;3E=FWOP","202":"17B=Alternative2;17F2M=Alternative3;2A=Alternative1;2B=Alternative1;3E=FWOP;3F=Alternative1","203":"17B=Alternative2;17F2M=Alternative3;19A=Alternative2;2A=Alternative1;2B=Alternative1;3E=FWOP;3F=Alternative1","204":"17D2E=Alternative1;17F2M=Alternative3","205":"17D2E=Alternative1;17F2M=Alternative3;19A=Alternative2","206":"17D2E=Alternative1;17F2M=Alternative3;3F=Alternative1","207":"17D2E=Alternative1;17F2M=Alternative3;19A=Alternative2;3F=Alternative1","208":"17D2E=Alternative1;17F2M=Alternative3;3E=FWOP","209":"17D2E=Alternative1;17F2M=Alternative3;19A=Alternative2;3E=FWOP","21":"19A=Alternative2;2B=Alternative1","210":"17D2E=Alternative1;17F2M=Alternative3;3E=FWOP;3F=Alternative1","211":"17D2E=Alternative1;17F2M=Alternative3;19A=Alternative2;3E=FWOP;3F=Alternative1","212":"17D2E=Alternative1;17F2M=Alternative3;2B=Alternative1","213":"17D2E=Alternative1;17F2M=Alternative3;19A=Alternative2;2B=Alternative1","214":"17D2E=Alternative1;17F2M=Alternative3;2B=Alternative1;3F=Alternative1","215":"17D2E=Alternative1;17F2M=Alternative3;19A=Alternative2;2B=Alternative1;3F=Alternative1","216":"17D2E=Alternative1;17F2M=Alternative3;2B=Alternative1;3E=FWOP","217":"17D2E=Alternative1;17F2M=Alternative3;19A=Alternative2;2B=Alternative1;3E=FWOP","218":"17D2E=Alternative1;17F2M=Alternative3;2B=Alternative1;3E=FWOP;3F=Alternative1","219":"17D2E=Alternative1;17F2M=Alternative3;19A=Alternative2;2B=Alternative1;3E=FWOP;3F=Alternative1","22":"2B=Alternative1;3F=Alternative1","220":"17D2E=Alternative1;17F2M=Alternative3;2A=Alternative1","221":"17D2E=Alternative1;17F2M=Alternative3;19A=Alternative2;2A=Alternative1","222":"17D2E=Alternative1;17F2M=Alternative3;2A=Alternative1;3F=Alternative1","223":"17D2E=Alternative1;17F2M=Alternative3;19A=Alternative2;2A=Alternative1;3F=Alternative1","224":"17D2E=Alternative1;17F2M=Alternative3;2A=Alternative1;3E=FWOP","225":"17D2E=Alternative1;17F2M=Alternative3;19A=Alternative2;2A=Alternative1;3E=FWOP","226":"17D2E=Alternative1;17F2M=Alternative3;2A=Alternative1;3E=FWOP;3F=Alternative1","227":"17D2E=Alternative1;17F2M=Alternative3;19A=Alternative2;2A=Alternative1;3E=FWOP;3F=Alternative1","228":"17D2E=Alternative1;17F2M=Alternative3;2A=Alternative1;2B=Alternative1","229":"17D2E=Alternative1;17F2M=Alternative3;19A=Alternative2;2A=Alternative1;2B=Alternative1","23":"19A=Alternative2;2B=Alternative1;3F=Alternative1","230":"17D2E=Alternative1;17F2M=Alternative3;2A=Alternative1;2B=Alternative1;3F=Alternative1","231":"17D2E=Alternative1;17F2M=Alternative3;19A=Alternative2;2A=Alternative1;2B=Alternative1;3F=Alternative1","232":"17D2E=Alternative1;17F2M=Alternative3;2A=Alternative1;2B=Alternative1;3E=FWOP","233":"17D2E=Alternative1;17F2M=Alternative3;19A=Alternative2;2A=Alternative1;2B=Alternative1;3E=FWOP","234":"17D2E=Alternative1;17F2M=Alternative3;2A=Alternative1;2B=Alternative1;3E=FWOP;3F=Alternative1","235":"17D2E=Alternative1;17F2M=Alternative3;19A=Alternative2;2A=Alternative1;2B=Alternative1;3E=FWOP;3F=Alternative1","236":"17B=Alternative2;17D2E=Alternative1;17F2M=Alternative3","237":"17B=Alternative2;17D2E=Alternative1;17F2M=Alternative3;19A=Alternative2","238":"17B=Alternative2;17D2E=Alternative1;17F2M=Alternative3;3F=Alternative1","239":"17B=Alternative2;17D2E=Alternative1;17F2M=Alternative3;19A=Alternative2;3F=Alternative1","24":"2B=Alternative1;3E=FWOP","240":"17B=Alternative2;17D2E=Alternative1;17F2M=Alternative3;3E=FWOP","241":"17B=Alternative2;17D2E=Alternative1;17F2M=Alternative3;19A=Alternative2;3E=FWOP","242":"17B=Alternative2;17D2E=Alternative1;17F2M=Alternative3;3E=FWOP;3F=Alternative1","243":"17B=Alternative2;17D2E=Alternative1;17F2M=Alternative3;19A=Alternative2;3E=FWOP;3F=Alternative1","244":"17B=Alternative2;17D2E=Alternative1;17F2M=Alternative3;2B=Alternative1","245":"17B=Alternative2;17D2E=Alternative1;17F2M=Alternative3;19A=Alternative2;2B=Alternative1","246":"17B=Alternative2;17D2E=Alternative1;17F2M=Alternative3;2B=Alternative1;3F=Alternative1","247":"17B=Alternative2;17D2E=Alternative1;17F2M=Alternative3;19A=Alternative2;2B=Alternative1;3F=Alternative1","248":"17B=Alternative2;17D2E=Alternative1;17F2M=Alternative3;2B=Alternative1;3E=FWOP","249":"17B=Alternative2;17D2E=Alternative1;17F2M=Alternative3;19A=Alternative2;2B=Alternative1;3E=FWOP","25":"19A=Alternative2;2B=Alternative1;3E=FWOP","250":"17B=Alternative2;17D2E=Alternative1;17F2M=Alternative3;2B=Alternative1;3E=FWOP;3F=Alternative1","251":"17B=Alternative2;17D2E=Alternative1;17F2M=Alternative3;19A=Alternative2;2B=Alternative1;3E=FWOP;3F=Alternative1","252":"17B=Alternative2;17D2E=Alternative1;17F2M=Alternative3;2A=Alternative1","253":"17B=Alternative2;17D2E=Alternative1;17F2M=Alternative3;19A=Alternative2;2A=Alternative1","254":"17B=Alternative2;17D2E=Alternative1;17F2M=Alternative3;2A=Alternative1;3F=Alternative1","255":"17B=Alternative2;17D2E=Alternative1;17F2M=Alternative3;19A=Alternative2;2A=Alternative1;3F=Alternative1","256":"17B=Alternative2;17D2E=Alternative1;17F2M=Alternative3;2A=Alternative1;3E=FWOP","257":"17B=Alternative2;17D2E=Alternative1;17F2M=Alternative3;19A=Alternative2;2A=Alternative1;3E=FWOP","258":"17B=Alternative2;17D2E=Alternative1;17F2M=Alternative3;2A=Alternative1;3E=FWOP;3F=Alternative1","259":"17B=Alternative2;17D2E=Alternative1;17F2M=Alternative3;19A=Alternative2;2A=Alternative1;3E=FWOP;3F=Alternative1","26":"2B=Alternative1;3E=FWOP;3F=Alternative1","260":"17B=Alternative2;17D2E=Alternative1;17F2M=Alternative3;2A=Alternative1;2B=Alternative1","261":"17B=Alternative2;17D2E=Alternative1;17F2M=Alternative3;19A=Alternative2;2A=Alternative1;2B=Alternative1","262":"17B=Alternative2;17D2E=Alternative1;17F2M=Alternative3;2A=Alternative1;2B=Alternative1;3F=Alternative1","263":"17B=Alternative2;17D2E=Alternative1;17F2M=Alternative3;19A=Alternative2;2A=Alternative1;2B=Alternative1;3F=Alternative1","264":"17B=Alternative2;17D2E=Alternative1;17F2M=Alternative3;2A=Alternative1;2B=Alternative1;3E=FWOP","265":"17B=Alternative2;17D2E=Alternative1;17F2M=Alternative3;19A=Alternative2;2A=Alternative1;2B=Alternative1;3E=FWOP","266":"17B=Alternative2;17D2E=Alternative1;17F2M=Alternative3;2A=Alternative1;2B=Alternative1;3E=FWOP;3F=Alternative1","267":"17B=Alternative2;17D2E=Alternative1;17F2M=Alternative3;19A=Alternative2;2A=Alternative1;2B=Alternative1;3E=FWOP;3F=Alternative1","27":"19A=Alternative2;2B=Alternative1;3E=FWOP;3F=Alternative1","28":"2A=Alternative1","29":"19A=Alternative2;2A=Alternative1","30":"2A=Alternative1;3F=Alternative1","31":"19A=Alternative2;2A=Alternative1;3F=Alternative1","32":"2A=Alternative1;3E=FWOP","33":"19A=Alternative2;2A=Alternative1;3E=FWOP","34":"2A=Alternative1;3E=FWOP;3F=Alternative1","35":"19A=Alternative2;2A=Alternative1;3E=FWOP;3F=Alternative1","36":"2A=Alternative1;2B=Alternative1","37":"19A=Alternative2;2A=Alternative1;2B=Alternative1","38":"2A=Alternative1;2B=Alternative1;3F=Alternative1","39":"19A=Alternative2;2A=Alternative1;2B=Alternative1;3F=Alternative1","40":"2A=Alternative1;2B=Alternative1;3E=FWOP","41":"19A=Alternative2;2A=Alternative1;2B=Alternative1;3E=FWOP","42":"2A=Alternative1;2B=Alternative1;3E=FWOP;3F=Alternative1","43":"19A=Alternative2;2A=Alternative1;2B=Alternative1;3E=FWOP;3F=Alternative1","44":"17B=Alternative2","45":"17B=Alternative2;19A=Alternative2","46":"17B=Alternative2;3F=Alternative1","47":"17B=Alternative2;19A=Alternative2;3F=Alternative1","48":"17B=Alternative2;3E=FWOP","49":"17B=Alternative2;19A=Alternative2;3E=FWOP","50":"17B=Alternative2;3E=FWOP;3F=Alternative1","51":"17B=Alternative2;19A=Alternative2;3E=FWOP;3F=Alternative1","52":"17B=Alternative2;2B=Alternative1","53":"17B=Alternative2;19A=Alternative2;2B=Alternative1","54":"17B=Alternative2;2B=Alternative1;3F=Alternative1","55":"17B=Alternative2;19A=Alternative2;2B=Alternative1;3F=Alternative1","56":"17B=Alternative2;2B=Alternative1;3E=FWOP","57":"17B=Alternative2;19A=Alternative2;2B=Alternative1;3E=FWOP","58":"17B=Alternative2;2B=Alternative1;3E=FWOP;3F=Alternative1","59":"17B=Alternative2;19A=Alternative2;2B=Alternative1;3E=FWOP;3F=Alternative1","60":"17B=Alternative2;2A=Alternative1","61":"17B=Alternative2;19A=Alternative2;2A=Alternative1","62":"17B=Alternative2;2A=Alternative1;3F=Alternative1","63":"17B=Alternative2;19A=Alternative2;2A=Alternative1;3F=Alternative1","64":"17B=Alternative2;2A=Alternative1;3E=FWOP","65":"17B=Alternative2;19A=Alternative2;2A=Alternative1;3E=FWOP","66":"17B=Alternative2;2A=Alternative1;3E=FWOP;3F=Alternative1","67":"17B=Alternative2;19A=Alternative2;2A=Alternative1;3E=FWOP;3F=Alternative1","68":"17B=Alternative2;2A=Alternative1;2B=Alternative1","69":"17B=Alternative2;19A=Alternative2;2A=Alternative1;2B=Alternative1","70":"17B=Alternative2;2A=Alternative1;2B=Alternative1;3F=Alternative1","71":"17B=Alternative2;19A=Alternative2;2A=Alternative1;2B=Alternative1;3F=Alternative1","72":"17B=Alternative2;2A=Alternative1;2B=Alternative1;3E=FWOP","73":"17B=Alternative2;19A=Alternative2;2A=Alternative1;2B=Alternative1;3E=FWOP","74":"17B=Alternative2;2A=Alternative1;2B=Alternative1;3E=FWOP;3F=Alternative1","75":"17B=Alternative2;19A=Alternative2;2A=Alternative1;2B=Alternative1;3E=FWOP;3F=Alternative1","76":"17D2E=Alternative1","77":"17D2E=Alternative1;19A=Alternative2","78":"17D2E=Alternative1;3F=Alternative1","79":"17D2E=Alternative1;19A=Alternative2;3F=Alternative1","80":"17D2E=Alternative1;3E=FWOP","81":"17D2E=Alternative1;19A=Alternative2;3E=FWOP","82":"17D2E=Alternative1;3E=FWOP;3F=Alternative1","83":"17D2E=Alternative1;19A=Alternative2;3E=FWOP;3F=Alternative1","84":"17D2E=Alternative1;2B=Alternative1","85":"17D2E=Alternative1;19A=Alternative2;2B=Alternative1","86":"17D2E=Alternative1;2B=Alternative1;3F=Alternative1","87":"17D2E=Alternative1;19A=Alternative2;2B=Alternative1;3F=Alternative1","88":"17D2E=Alternative1;2B=Alternative1;3E=FWOP","89":"17D2E=Alternative1;19A=Alternative2;2B=Alternative1;3E=FWOP","90":"17D2E=Alternative1;2B=Alternative1;3E=FWOP;3F=Alternative1","91":"17D2E=Alternative1;19A=Alternative2;2B=Alternative1;3E=FWOP;3F=Alternative1","92":"17D2E=Alternative1;2A=Alternative1","93":"17D2E=Alternative1;19A=Alternative2;2A=Alternative1","94":"17D2E=Alternative1;2A=Alternative1;3F=Alternative1","95":"17D2E=Alternative1;19A=Alternative2;2A=Alternative1;3F=Alternative1","96":"17D2E=Alternative1;2A=Alternative1;3E=FWOP","97":"17D2E=Alternative1;19A=Alternative2;2A=Alternative1;3E=FWOP","98":"17D2E=Alternative1;2A=Alternative1;3E=FWOP;3F=Alternative1","99":"17D2E=Alternative1;19A=Alternative2;2A=Alternative1;3E=FWOP;3F=Alternative1"},"planSites":["17F2M","17D2E","17B","2A","2B","3E","3F","19A"],"projectDigest":"082a32b302c7","schemaVersion":3}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