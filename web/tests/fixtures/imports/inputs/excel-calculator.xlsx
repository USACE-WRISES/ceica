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EEA2791D-BA73-459B-AC48-627558C6ED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 me" sheetId="1" r:id="rId1"/>
    <sheet name="Parameters" sheetId="2" r:id="rId2"/>
    <sheet name="Benefits" sheetId="3" r:id="rId3"/>
    <sheet name="Costs" sheetId="4" r:id="rId4"/>
    <sheet name="OMRRR" sheetId="5" r:id="rId5"/>
    <sheet name="Summary" sheetId="6" r:id="rId6"/>
    <sheet name="Site CE-ICA" sheetId="7" r:id="rId7"/>
    <sheet name="Sites" sheetId="8" r:id="rId8"/>
    <sheet name="Watershed plans" sheetId="9" r:id="rId9"/>
    <sheet name="Watershed summary" sheetId="10" r:id="rId10"/>
    <sheet name="IWR input" sheetId="11" r:id="rId11"/>
    <sheet name="Charts" sheetId="12" r:id="rId12"/>
    <sheet name="snap Parameters" sheetId="13" state="veryHidden" r:id="rId13"/>
    <sheet name="snap Benefits" sheetId="14" state="veryHidden" r:id="rId14"/>
    <sheet name="snap Costs" sheetId="15" state="veryHidden" r:id="rId15"/>
    <sheet name="snap Sites" sheetId="16" state="veryHidden" r:id="rId16"/>
    <sheet name="snap Watershed plans" sheetId="17" state="veryHidden" r:id="rId17"/>
    <sheet name="snap Watershed summary" sheetId="18" state="veryHidden" r:id="rId18"/>
    <sheet name="snap Summary" sheetId="19" state="veryHidden" r:id="rId19"/>
    <sheet name="snap Site CE-ICA" sheetId="20" state="veryHidden" r:id="rId20"/>
    <sheet name="manifest" sheetId="21" state="veryHidden" r:id="rId21"/>
  </sheets>
  <definedNames>
    <definedName name="calc_crf">Parameters!$B$11</definedName>
    <definedName name="in_cost_dp">Parameters!$B$9</definedName>
    <definedName name="in_idc_method">Parameters!$B$7</definedName>
    <definedName name="in_out_dp">Parameters!$B$10</definedName>
    <definedName name="in_poa">Parameters!$B$5</definedName>
    <definedName name="in_ppy">Parameters!$B$6</definedName>
    <definedName name="in_rate">Parameters!$B$4</definedName>
    <definedName name="in_timing">Parameters!$B$8</definedName>
    <definedName name="out_changed">'Read me'!$B$11</definedName>
    <definedName name="out_mismatch">'Read me'!$B$12</definedName>
    <definedName name="out_status">'Read me'!$B$10</definedName>
  </definedNames>
  <calcPr calcId="191029"/>
</workbook>
</file>

<file path=xl/calcChain.xml><?xml version="1.0" encoding="utf-8"?>
<calcChain xmlns="http://schemas.openxmlformats.org/spreadsheetml/2006/main">
  <c r="B17" i="11" l="1"/>
  <c r="B16" i="11"/>
  <c r="B15" i="11"/>
  <c r="B14" i="11"/>
  <c r="L15" i="9"/>
  <c r="L14" i="9"/>
  <c r="L13" i="9"/>
  <c r="L12" i="9"/>
  <c r="D5" i="9"/>
  <c r="E6" i="8"/>
  <c r="E5" i="9" s="1"/>
  <c r="E5" i="8"/>
  <c r="X12" i="7"/>
  <c r="A12" i="7"/>
  <c r="X11" i="7"/>
  <c r="P11" i="7"/>
  <c r="A11" i="7"/>
  <c r="X8" i="7"/>
  <c r="A8" i="7"/>
  <c r="X7" i="7"/>
  <c r="A7" i="7"/>
  <c r="X6" i="7"/>
  <c r="P6" i="7"/>
  <c r="A6" i="7"/>
  <c r="I9" i="6"/>
  <c r="H9" i="6"/>
  <c r="A9" i="6"/>
  <c r="I8" i="6"/>
  <c r="H8" i="6"/>
  <c r="A8" i="6"/>
  <c r="I7" i="6"/>
  <c r="H7" i="6"/>
  <c r="A7" i="6"/>
  <c r="I6" i="6"/>
  <c r="H6" i="6"/>
  <c r="H5" i="8" s="1"/>
  <c r="D8" i="9" s="1"/>
  <c r="A6" i="6"/>
  <c r="I5" i="6"/>
  <c r="H5" i="6"/>
  <c r="A5" i="6"/>
  <c r="H10" i="4"/>
  <c r="I10" i="4" s="1"/>
  <c r="A10" i="4"/>
  <c r="J10" i="4" s="1"/>
  <c r="K9" i="6" s="1"/>
  <c r="I9" i="4"/>
  <c r="H9" i="4"/>
  <c r="A9" i="4"/>
  <c r="J9" i="4" s="1"/>
  <c r="K8" i="6" s="1"/>
  <c r="I8" i="4"/>
  <c r="J7" i="6" s="1"/>
  <c r="H8" i="4"/>
  <c r="A8" i="4"/>
  <c r="J8" i="4" s="1"/>
  <c r="K7" i="6" s="1"/>
  <c r="H7" i="4"/>
  <c r="I7" i="4" s="1"/>
  <c r="A7" i="4"/>
  <c r="J7" i="4" s="1"/>
  <c r="K6" i="6" s="1"/>
  <c r="H6" i="4"/>
  <c r="I6" i="4" s="1"/>
  <c r="A6" i="4"/>
  <c r="J6" i="4" s="1"/>
  <c r="K5" i="6" s="1"/>
  <c r="A20" i="3"/>
  <c r="A19" i="3"/>
  <c r="A18" i="3"/>
  <c r="A17" i="3"/>
  <c r="A16" i="3"/>
  <c r="N15" i="3"/>
  <c r="M15" i="3"/>
  <c r="L15" i="3"/>
  <c r="A15" i="3"/>
  <c r="N14" i="3"/>
  <c r="M14" i="3"/>
  <c r="L14" i="3"/>
  <c r="A14" i="3"/>
  <c r="N13" i="3"/>
  <c r="M13" i="3"/>
  <c r="L13" i="3"/>
  <c r="A13" i="3"/>
  <c r="N12" i="3"/>
  <c r="M12" i="3"/>
  <c r="L12" i="3"/>
  <c r="A12" i="3"/>
  <c r="N11" i="3"/>
  <c r="M11" i="3"/>
  <c r="L11" i="3"/>
  <c r="A11" i="3"/>
  <c r="O10" i="3"/>
  <c r="A10" i="3"/>
  <c r="A9" i="3"/>
  <c r="A8" i="3"/>
  <c r="A7" i="3"/>
  <c r="A6" i="3"/>
  <c r="N5" i="3"/>
  <c r="M5" i="3"/>
  <c r="O9" i="3" s="1"/>
  <c r="L5" i="3"/>
  <c r="K5" i="3"/>
  <c r="J5" i="3"/>
  <c r="I5" i="3"/>
  <c r="H5" i="3"/>
  <c r="G5" i="3"/>
  <c r="F5" i="3"/>
  <c r="B11" i="2"/>
  <c r="N6" i="4" s="1"/>
  <c r="B11" i="1"/>
  <c r="O14" i="3" l="1"/>
  <c r="F8" i="6" s="1"/>
  <c r="G8" i="6" s="1"/>
  <c r="K10" i="4"/>
  <c r="H6" i="8"/>
  <c r="E8" i="9" s="1"/>
  <c r="O12" i="3"/>
  <c r="O15" i="3"/>
  <c r="F9" i="6" s="1"/>
  <c r="O8" i="3"/>
  <c r="O6" i="3"/>
  <c r="O11" i="3"/>
  <c r="F5" i="6" s="1"/>
  <c r="G5" i="6" s="1"/>
  <c r="O7" i="3"/>
  <c r="F6" i="6" s="1"/>
  <c r="K9" i="4"/>
  <c r="J5" i="6"/>
  <c r="K6" i="4"/>
  <c r="M6" i="4" s="1"/>
  <c r="L5" i="6" s="1"/>
  <c r="M5" i="6" s="1"/>
  <c r="H6" i="7" s="1"/>
  <c r="J6" i="7" s="1"/>
  <c r="D6" i="11" s="1"/>
  <c r="J6" i="6"/>
  <c r="K7" i="4"/>
  <c r="M7" i="4" s="1"/>
  <c r="L6" i="6" s="1"/>
  <c r="I12" i="9"/>
  <c r="I14" i="9"/>
  <c r="I15" i="9"/>
  <c r="I13" i="9"/>
  <c r="C14" i="9"/>
  <c r="E9" i="9"/>
  <c r="P7" i="4"/>
  <c r="O13" i="3"/>
  <c r="M10" i="4"/>
  <c r="L9" i="6" s="1"/>
  <c r="J8" i="6"/>
  <c r="C15" i="9"/>
  <c r="C12" i="9"/>
  <c r="C13" i="9"/>
  <c r="D9" i="9"/>
  <c r="P9" i="4"/>
  <c r="J9" i="6"/>
  <c r="O7" i="4"/>
  <c r="R8" i="4"/>
  <c r="Q7" i="4"/>
  <c r="P6" i="4"/>
  <c r="R9" i="4"/>
  <c r="Q8" i="4"/>
  <c r="Q9" i="4"/>
  <c r="N7" i="4"/>
  <c r="O6" i="4"/>
  <c r="R7" i="4"/>
  <c r="Q6" i="4"/>
  <c r="N10" i="4"/>
  <c r="R6" i="4"/>
  <c r="O10" i="4"/>
  <c r="Q10" i="4"/>
  <c r="N9" i="4"/>
  <c r="K8" i="4"/>
  <c r="M8" i="4" s="1"/>
  <c r="L7" i="6" s="1"/>
  <c r="M7" i="6" s="1"/>
  <c r="H8" i="7" s="1"/>
  <c r="J8" i="7" s="1"/>
  <c r="D8" i="11" s="1"/>
  <c r="O9" i="4"/>
  <c r="R10" i="4"/>
  <c r="M9" i="4"/>
  <c r="L8" i="6" s="1"/>
  <c r="M8" i="6" s="1"/>
  <c r="H11" i="7" s="1"/>
  <c r="J11" i="7" s="1"/>
  <c r="D9" i="11" s="1"/>
  <c r="O8" i="4"/>
  <c r="P8" i="4"/>
  <c r="P10" i="4"/>
  <c r="N8" i="4"/>
  <c r="G9" i="6" l="1"/>
  <c r="F7" i="6"/>
  <c r="G7" i="6" s="1"/>
  <c r="G8" i="7" s="1"/>
  <c r="I8" i="7" s="1"/>
  <c r="M9" i="6"/>
  <c r="H12" i="7" s="1"/>
  <c r="J12" i="7" s="1"/>
  <c r="D10" i="11" s="1"/>
  <c r="F15" i="9"/>
  <c r="A17" i="11" s="1"/>
  <c r="M6" i="6"/>
  <c r="H7" i="7" s="1"/>
  <c r="G12" i="7"/>
  <c r="N8" i="6"/>
  <c r="G11" i="7"/>
  <c r="I11" i="7" s="1"/>
  <c r="G6" i="7"/>
  <c r="I6" i="7" s="1"/>
  <c r="N5" i="6"/>
  <c r="F14" i="9"/>
  <c r="A16" i="11" s="1"/>
  <c r="G6" i="8"/>
  <c r="AA13" i="9"/>
  <c r="F13" i="9"/>
  <c r="A15" i="11" s="1"/>
  <c r="G6" i="6"/>
  <c r="J6" i="8"/>
  <c r="E7" i="9" s="1"/>
  <c r="F12" i="9"/>
  <c r="R12" i="9"/>
  <c r="N7" i="6" l="1"/>
  <c r="N9" i="6"/>
  <c r="J7" i="7"/>
  <c r="G5" i="8"/>
  <c r="C6" i="11"/>
  <c r="W6" i="7"/>
  <c r="C8" i="11"/>
  <c r="W8" i="7"/>
  <c r="W11" i="7"/>
  <c r="C9" i="11"/>
  <c r="B95" i="10"/>
  <c r="N31" i="12"/>
  <c r="M31" i="12"/>
  <c r="B99" i="10"/>
  <c r="A14" i="11"/>
  <c r="B98" i="10"/>
  <c r="B96" i="10"/>
  <c r="B94" i="10"/>
  <c r="B97" i="10"/>
  <c r="N6" i="6"/>
  <c r="G7" i="7"/>
  <c r="I12" i="7"/>
  <c r="K12" i="7" s="1"/>
  <c r="L12" i="7" s="1"/>
  <c r="F6" i="8"/>
  <c r="C10" i="11" l="1"/>
  <c r="W12" i="7"/>
  <c r="I6" i="8"/>
  <c r="E6" i="9" s="1"/>
  <c r="K11" i="7"/>
  <c r="L11" i="7" s="1"/>
  <c r="M11" i="7" s="1"/>
  <c r="I7" i="7"/>
  <c r="F5" i="8"/>
  <c r="M12" i="7"/>
  <c r="D7" i="11"/>
  <c r="J5" i="8"/>
  <c r="D7" i="9" s="1"/>
  <c r="K6" i="8" l="1"/>
  <c r="O11" i="7"/>
  <c r="N11" i="7"/>
  <c r="H15" i="9"/>
  <c r="K15" i="9" s="1"/>
  <c r="D17" i="11" s="1"/>
  <c r="H12" i="9"/>
  <c r="K12" i="9" s="1"/>
  <c r="D14" i="11" s="1"/>
  <c r="H13" i="9"/>
  <c r="K13" i="9" s="1"/>
  <c r="D15" i="11" s="1"/>
  <c r="H14" i="9"/>
  <c r="K14" i="9" s="1"/>
  <c r="D16" i="11" s="1"/>
  <c r="O12" i="7"/>
  <c r="N12" i="7"/>
  <c r="C7" i="11"/>
  <c r="I5" i="8"/>
  <c r="D6" i="9" s="1"/>
  <c r="W7" i="7"/>
  <c r="K6" i="7"/>
  <c r="L6" i="7" s="1"/>
  <c r="K7" i="7"/>
  <c r="L7" i="7" s="1"/>
  <c r="K8" i="7"/>
  <c r="L8" i="7" s="1"/>
  <c r="M8" i="7" s="1"/>
  <c r="P12" i="7" l="1"/>
  <c r="Q12" i="7" s="1"/>
  <c r="L6" i="8"/>
  <c r="Q11" i="7"/>
  <c r="G13" i="9"/>
  <c r="G14" i="9"/>
  <c r="G12" i="9"/>
  <c r="G15" i="9"/>
  <c r="M7" i="7"/>
  <c r="K5" i="8"/>
  <c r="M6" i="7"/>
  <c r="O8" i="7" s="1"/>
  <c r="N7" i="7" l="1"/>
  <c r="O7" i="7"/>
  <c r="S11" i="7"/>
  <c r="U11" i="7" s="1"/>
  <c r="R11" i="7"/>
  <c r="T11" i="7" s="1"/>
  <c r="J15" i="9"/>
  <c r="C17" i="11" s="1"/>
  <c r="Y15" i="9"/>
  <c r="J12" i="9"/>
  <c r="C14" i="11" s="1"/>
  <c r="M15" i="9"/>
  <c r="N15" i="9" s="1"/>
  <c r="Y12" i="9"/>
  <c r="AA14" i="9"/>
  <c r="AA15" i="9"/>
  <c r="M13" i="9"/>
  <c r="N13" i="9" s="1"/>
  <c r="M12" i="9"/>
  <c r="N12" i="9" s="1"/>
  <c r="M14" i="9"/>
  <c r="N14" i="9" s="1"/>
  <c r="AA12" i="9"/>
  <c r="N8" i="7"/>
  <c r="P8" i="7" s="1"/>
  <c r="J14" i="9"/>
  <c r="C16" i="11" s="1"/>
  <c r="J13" i="9"/>
  <c r="C15" i="11" s="1"/>
  <c r="O6" i="7"/>
  <c r="N6" i="7"/>
  <c r="S12" i="7"/>
  <c r="U12" i="7" s="1"/>
  <c r="R12" i="7"/>
  <c r="T12" i="7" s="1"/>
  <c r="P7" i="7" l="1"/>
  <c r="Q8" i="7" s="1"/>
  <c r="V12" i="7"/>
  <c r="Q6" i="7"/>
  <c r="K32" i="12"/>
  <c r="O13" i="9"/>
  <c r="A32" i="12"/>
  <c r="B32" i="12"/>
  <c r="V11" i="7"/>
  <c r="O15" i="9"/>
  <c r="K34" i="12"/>
  <c r="A34" i="12"/>
  <c r="B34" i="12"/>
  <c r="Y14" i="9"/>
  <c r="O14" i="9"/>
  <c r="K33" i="12"/>
  <c r="B33" i="12"/>
  <c r="A33" i="12"/>
  <c r="F87" i="10"/>
  <c r="C86" i="10"/>
  <c r="F83" i="10"/>
  <c r="C82" i="10"/>
  <c r="F79" i="10"/>
  <c r="C78" i="10"/>
  <c r="F75" i="10"/>
  <c r="C74" i="10"/>
  <c r="F71" i="10"/>
  <c r="C70" i="10"/>
  <c r="F67" i="10"/>
  <c r="C66" i="10"/>
  <c r="F63" i="10"/>
  <c r="C62" i="10"/>
  <c r="F59" i="10"/>
  <c r="C58" i="10"/>
  <c r="F55" i="10"/>
  <c r="C54" i="10"/>
  <c r="F51" i="10"/>
  <c r="G88" i="10"/>
  <c r="D87" i="10"/>
  <c r="H87" i="10" s="1"/>
  <c r="J87" i="10" s="1"/>
  <c r="G84" i="10"/>
  <c r="D83" i="10"/>
  <c r="H83" i="10" s="1"/>
  <c r="J83" i="10" s="1"/>
  <c r="G80" i="10"/>
  <c r="D79" i="10"/>
  <c r="H79" i="10" s="1"/>
  <c r="J79" i="10" s="1"/>
  <c r="G76" i="10"/>
  <c r="D75" i="10"/>
  <c r="H75" i="10" s="1"/>
  <c r="J75" i="10" s="1"/>
  <c r="G72" i="10"/>
  <c r="D71" i="10"/>
  <c r="H71" i="10" s="1"/>
  <c r="J71" i="10" s="1"/>
  <c r="G68" i="10"/>
  <c r="D67" i="10"/>
  <c r="H67" i="10" s="1"/>
  <c r="J67" i="10" s="1"/>
  <c r="G64" i="10"/>
  <c r="D63" i="10"/>
  <c r="H63" i="10" s="1"/>
  <c r="J63" i="10" s="1"/>
  <c r="G60" i="10"/>
  <c r="D59" i="10"/>
  <c r="H59" i="10" s="1"/>
  <c r="J59" i="10" s="1"/>
  <c r="G56" i="10"/>
  <c r="D55" i="10"/>
  <c r="H55" i="10" s="1"/>
  <c r="J55" i="10" s="1"/>
  <c r="G52" i="10"/>
  <c r="D51" i="10"/>
  <c r="F88" i="10"/>
  <c r="C87" i="10"/>
  <c r="F84" i="10"/>
  <c r="C83" i="10"/>
  <c r="F80" i="10"/>
  <c r="C79" i="10"/>
  <c r="F76" i="10"/>
  <c r="C75" i="10"/>
  <c r="F72" i="10"/>
  <c r="C71" i="10"/>
  <c r="F68" i="10"/>
  <c r="C67" i="10"/>
  <c r="F64" i="10"/>
  <c r="C63" i="10"/>
  <c r="F60" i="10"/>
  <c r="C59" i="10"/>
  <c r="F56" i="10"/>
  <c r="C55" i="10"/>
  <c r="F52" i="10"/>
  <c r="C51" i="10"/>
  <c r="E88" i="10"/>
  <c r="I88" i="10" s="1"/>
  <c r="B87" i="10"/>
  <c r="E84" i="10"/>
  <c r="I84" i="10" s="1"/>
  <c r="B83" i="10"/>
  <c r="E80" i="10"/>
  <c r="I80" i="10" s="1"/>
  <c r="B79" i="10"/>
  <c r="E76" i="10"/>
  <c r="I76" i="10" s="1"/>
  <c r="B75" i="10"/>
  <c r="E72" i="10"/>
  <c r="I72" i="10" s="1"/>
  <c r="B71" i="10"/>
  <c r="E68" i="10"/>
  <c r="I68" i="10" s="1"/>
  <c r="B67" i="10"/>
  <c r="E64" i="10"/>
  <c r="I64" i="10" s="1"/>
  <c r="B63" i="10"/>
  <c r="E60" i="10"/>
  <c r="I60" i="10" s="1"/>
  <c r="B59" i="10"/>
  <c r="E56" i="10"/>
  <c r="I56" i="10" s="1"/>
  <c r="B55" i="10"/>
  <c r="E52" i="10"/>
  <c r="B51" i="10"/>
  <c r="G89" i="10"/>
  <c r="D88" i="10"/>
  <c r="H88" i="10" s="1"/>
  <c r="J88" i="10" s="1"/>
  <c r="G85" i="10"/>
  <c r="D84" i="10"/>
  <c r="H84" i="10" s="1"/>
  <c r="J84" i="10" s="1"/>
  <c r="G81" i="10"/>
  <c r="D80" i="10"/>
  <c r="H80" i="10" s="1"/>
  <c r="J80" i="10" s="1"/>
  <c r="G77" i="10"/>
  <c r="D76" i="10"/>
  <c r="H76" i="10" s="1"/>
  <c r="J76" i="10" s="1"/>
  <c r="G73" i="10"/>
  <c r="D72" i="10"/>
  <c r="H72" i="10" s="1"/>
  <c r="J72" i="10" s="1"/>
  <c r="G69" i="10"/>
  <c r="D68" i="10"/>
  <c r="H68" i="10" s="1"/>
  <c r="J68" i="10" s="1"/>
  <c r="G65" i="10"/>
  <c r="D64" i="10"/>
  <c r="H64" i="10" s="1"/>
  <c r="J64" i="10" s="1"/>
  <c r="G61" i="10"/>
  <c r="D60" i="10"/>
  <c r="H60" i="10" s="1"/>
  <c r="J60" i="10" s="1"/>
  <c r="G57" i="10"/>
  <c r="D56" i="10"/>
  <c r="H56" i="10" s="1"/>
  <c r="J56" i="10" s="1"/>
  <c r="G53" i="10"/>
  <c r="D52" i="10"/>
  <c r="H52" i="10" s="1"/>
  <c r="G50" i="10"/>
  <c r="F89" i="10"/>
  <c r="C88" i="10"/>
  <c r="F85" i="10"/>
  <c r="C84" i="10"/>
  <c r="F81" i="10"/>
  <c r="C80" i="10"/>
  <c r="F77" i="10"/>
  <c r="C76" i="10"/>
  <c r="F73" i="10"/>
  <c r="C72" i="10"/>
  <c r="F69" i="10"/>
  <c r="C68" i="10"/>
  <c r="F65" i="10"/>
  <c r="C64" i="10"/>
  <c r="F61" i="10"/>
  <c r="C60" i="10"/>
  <c r="F57" i="10"/>
  <c r="C56" i="10"/>
  <c r="F53" i="10"/>
  <c r="C52" i="10"/>
  <c r="F50" i="10"/>
  <c r="E89" i="10"/>
  <c r="I89" i="10" s="1"/>
  <c r="B88" i="10"/>
  <c r="E85" i="10"/>
  <c r="I85" i="10" s="1"/>
  <c r="B84" i="10"/>
  <c r="E81" i="10"/>
  <c r="I81" i="10" s="1"/>
  <c r="B80" i="10"/>
  <c r="E77" i="10"/>
  <c r="I77" i="10" s="1"/>
  <c r="B76" i="10"/>
  <c r="E73" i="10"/>
  <c r="I73" i="10" s="1"/>
  <c r="B72" i="10"/>
  <c r="E69" i="10"/>
  <c r="I69" i="10" s="1"/>
  <c r="B68" i="10"/>
  <c r="E65" i="10"/>
  <c r="I65" i="10" s="1"/>
  <c r="B64" i="10"/>
  <c r="E61" i="10"/>
  <c r="I61" i="10" s="1"/>
  <c r="B60" i="10"/>
  <c r="E57" i="10"/>
  <c r="I57" i="10" s="1"/>
  <c r="B56" i="10"/>
  <c r="E53" i="10"/>
  <c r="I53" i="10" s="1"/>
  <c r="B52" i="10"/>
  <c r="E50" i="10"/>
  <c r="D89" i="10"/>
  <c r="H89" i="10" s="1"/>
  <c r="J89" i="10" s="1"/>
  <c r="G86" i="10"/>
  <c r="D85" i="10"/>
  <c r="H85" i="10" s="1"/>
  <c r="J85" i="10" s="1"/>
  <c r="G82" i="10"/>
  <c r="D81" i="10"/>
  <c r="H81" i="10" s="1"/>
  <c r="J81" i="10" s="1"/>
  <c r="G78" i="10"/>
  <c r="D77" i="10"/>
  <c r="H77" i="10" s="1"/>
  <c r="J77" i="10" s="1"/>
  <c r="G74" i="10"/>
  <c r="D73" i="10"/>
  <c r="H73" i="10" s="1"/>
  <c r="J73" i="10" s="1"/>
  <c r="G70" i="10"/>
  <c r="D69" i="10"/>
  <c r="H69" i="10" s="1"/>
  <c r="J69" i="10" s="1"/>
  <c r="G66" i="10"/>
  <c r="D65" i="10"/>
  <c r="H65" i="10" s="1"/>
  <c r="J65" i="10" s="1"/>
  <c r="G62" i="10"/>
  <c r="D61" i="10"/>
  <c r="H61" i="10" s="1"/>
  <c r="J61" i="10" s="1"/>
  <c r="G58" i="10"/>
  <c r="D57" i="10"/>
  <c r="H57" i="10" s="1"/>
  <c r="J57" i="10" s="1"/>
  <c r="G54" i="10"/>
  <c r="D53" i="10"/>
  <c r="H53" i="10" s="1"/>
  <c r="J53" i="10" s="1"/>
  <c r="D50" i="10"/>
  <c r="C89" i="10"/>
  <c r="F86" i="10"/>
  <c r="C85" i="10"/>
  <c r="F82" i="10"/>
  <c r="C81" i="10"/>
  <c r="F78" i="10"/>
  <c r="C77" i="10"/>
  <c r="F74" i="10"/>
  <c r="C73" i="10"/>
  <c r="F70" i="10"/>
  <c r="C69" i="10"/>
  <c r="F66" i="10"/>
  <c r="C65" i="10"/>
  <c r="F62" i="10"/>
  <c r="C61" i="10"/>
  <c r="F58" i="10"/>
  <c r="C57" i="10"/>
  <c r="F54" i="10"/>
  <c r="C53" i="10"/>
  <c r="C50" i="10"/>
  <c r="G87" i="10"/>
  <c r="D86" i="10"/>
  <c r="H86" i="10" s="1"/>
  <c r="J86" i="10" s="1"/>
  <c r="G83" i="10"/>
  <c r="D82" i="10"/>
  <c r="H82" i="10" s="1"/>
  <c r="J82" i="10" s="1"/>
  <c r="G79" i="10"/>
  <c r="D78" i="10"/>
  <c r="H78" i="10" s="1"/>
  <c r="J78" i="10" s="1"/>
  <c r="G75" i="10"/>
  <c r="D74" i="10"/>
  <c r="H74" i="10" s="1"/>
  <c r="J74" i="10" s="1"/>
  <c r="G71" i="10"/>
  <c r="D70" i="10"/>
  <c r="H70" i="10" s="1"/>
  <c r="J70" i="10" s="1"/>
  <c r="G67" i="10"/>
  <c r="D66" i="10"/>
  <c r="H66" i="10" s="1"/>
  <c r="J66" i="10" s="1"/>
  <c r="G63" i="10"/>
  <c r="D62" i="10"/>
  <c r="H62" i="10" s="1"/>
  <c r="J62" i="10" s="1"/>
  <c r="G59" i="10"/>
  <c r="D58" i="10"/>
  <c r="H58" i="10" s="1"/>
  <c r="J58" i="10" s="1"/>
  <c r="G55" i="10"/>
  <c r="D54" i="10"/>
  <c r="H54" i="10" s="1"/>
  <c r="J54" i="10" s="1"/>
  <c r="G51" i="10"/>
  <c r="B82" i="10"/>
  <c r="B74" i="10"/>
  <c r="B66" i="10"/>
  <c r="B58" i="10"/>
  <c r="B89" i="10"/>
  <c r="B57" i="10"/>
  <c r="E87" i="10"/>
  <c r="I87" i="10" s="1"/>
  <c r="E79" i="10"/>
  <c r="I79" i="10" s="1"/>
  <c r="E71" i="10"/>
  <c r="I71" i="10" s="1"/>
  <c r="E63" i="10"/>
  <c r="I63" i="10" s="1"/>
  <c r="E55" i="10"/>
  <c r="I55" i="10" s="1"/>
  <c r="E86" i="10"/>
  <c r="I86" i="10" s="1"/>
  <c r="E78" i="10"/>
  <c r="I78" i="10" s="1"/>
  <c r="E70" i="10"/>
  <c r="I70" i="10" s="1"/>
  <c r="E62" i="10"/>
  <c r="I62" i="10" s="1"/>
  <c r="E54" i="10"/>
  <c r="I54" i="10" s="1"/>
  <c r="B86" i="10"/>
  <c r="B78" i="10"/>
  <c r="B70" i="10"/>
  <c r="B62" i="10"/>
  <c r="B54" i="10"/>
  <c r="B85" i="10"/>
  <c r="B77" i="10"/>
  <c r="B69" i="10"/>
  <c r="B61" i="10"/>
  <c r="B53" i="10"/>
  <c r="E83" i="10"/>
  <c r="I83" i="10" s="1"/>
  <c r="E75" i="10"/>
  <c r="I75" i="10" s="1"/>
  <c r="E67" i="10"/>
  <c r="I67" i="10" s="1"/>
  <c r="E59" i="10"/>
  <c r="I59" i="10" s="1"/>
  <c r="E51" i="10"/>
  <c r="B65" i="10"/>
  <c r="B73" i="10"/>
  <c r="E82" i="10"/>
  <c r="I82" i="10" s="1"/>
  <c r="E74" i="10"/>
  <c r="I74" i="10" s="1"/>
  <c r="E66" i="10"/>
  <c r="I66" i="10" s="1"/>
  <c r="E58" i="10"/>
  <c r="I58" i="10" s="1"/>
  <c r="B50" i="10"/>
  <c r="B81" i="10"/>
  <c r="O12" i="9"/>
  <c r="K31" i="12"/>
  <c r="B31" i="12"/>
  <c r="A31" i="12"/>
  <c r="Y13" i="9"/>
  <c r="L5" i="8" l="1"/>
  <c r="Q7" i="7"/>
  <c r="R8" i="7" s="1"/>
  <c r="S8" i="7"/>
  <c r="U8" i="7" s="1"/>
  <c r="Q12" i="9"/>
  <c r="P12" i="9"/>
  <c r="Q13" i="9"/>
  <c r="P13" i="9"/>
  <c r="R13" i="9" s="1"/>
  <c r="I52" i="10"/>
  <c r="J52" i="10" s="1"/>
  <c r="S6" i="7"/>
  <c r="U6" i="7" s="1"/>
  <c r="R6" i="7"/>
  <c r="T6" i="7" s="1"/>
  <c r="V6" i="7"/>
  <c r="I51" i="10"/>
  <c r="Q15" i="9"/>
  <c r="P15" i="9"/>
  <c r="R15" i="9" s="1"/>
  <c r="H51" i="10"/>
  <c r="P14" i="9"/>
  <c r="Q14" i="9"/>
  <c r="D31" i="12"/>
  <c r="D32" i="12"/>
  <c r="C31" i="12"/>
  <c r="C32" i="12"/>
  <c r="D33" i="12"/>
  <c r="C33" i="12"/>
  <c r="D34" i="12"/>
  <c r="C34" i="12"/>
  <c r="S7" i="7" l="1"/>
  <c r="U7" i="7" s="1"/>
  <c r="R7" i="7"/>
  <c r="T7" i="7" s="1"/>
  <c r="S15" i="9"/>
  <c r="T8" i="7"/>
  <c r="V8" i="7" s="1"/>
  <c r="R14" i="9"/>
  <c r="S14" i="9" s="1"/>
  <c r="S13" i="9"/>
  <c r="S12" i="9"/>
  <c r="B12" i="1"/>
  <c r="B10" i="1" s="1"/>
  <c r="J51" i="10"/>
  <c r="V7" i="7" l="1"/>
  <c r="F31" i="12"/>
  <c r="G45" i="10"/>
  <c r="B44" i="10"/>
  <c r="D42" i="10"/>
  <c r="F40" i="10"/>
  <c r="H38" i="10"/>
  <c r="C37" i="10"/>
  <c r="E35" i="10"/>
  <c r="G33" i="10"/>
  <c r="B32" i="10"/>
  <c r="D30" i="10"/>
  <c r="F28" i="10"/>
  <c r="H26" i="10"/>
  <c r="C25" i="10"/>
  <c r="E23" i="10"/>
  <c r="G21" i="10"/>
  <c r="B20" i="10"/>
  <c r="D18" i="10"/>
  <c r="F16" i="10"/>
  <c r="H14" i="10"/>
  <c r="C13" i="10"/>
  <c r="E11" i="10"/>
  <c r="G9" i="10"/>
  <c r="B8" i="10"/>
  <c r="D6" i="10"/>
  <c r="F32" i="12"/>
  <c r="E32" i="12"/>
  <c r="E45" i="10"/>
  <c r="G43" i="10"/>
  <c r="B42" i="10"/>
  <c r="D40" i="10"/>
  <c r="F38" i="10"/>
  <c r="H36" i="10"/>
  <c r="C35" i="10"/>
  <c r="E33" i="10"/>
  <c r="G31" i="10"/>
  <c r="B30" i="10"/>
  <c r="D28" i="10"/>
  <c r="F26" i="10"/>
  <c r="H24" i="10"/>
  <c r="C23" i="10"/>
  <c r="E21" i="10"/>
  <c r="G19" i="10"/>
  <c r="B18" i="10"/>
  <c r="D16" i="10"/>
  <c r="F14" i="10"/>
  <c r="H12" i="10"/>
  <c r="C11" i="10"/>
  <c r="E9" i="10"/>
  <c r="G7" i="10"/>
  <c r="B6" i="10"/>
  <c r="U12" i="9"/>
  <c r="W12" i="9" s="1"/>
  <c r="D45" i="10"/>
  <c r="F43" i="10"/>
  <c r="H41" i="10"/>
  <c r="C40" i="10"/>
  <c r="E38" i="10"/>
  <c r="G36" i="10"/>
  <c r="B35" i="10"/>
  <c r="D33" i="10"/>
  <c r="F31" i="10"/>
  <c r="H29" i="10"/>
  <c r="C28" i="10"/>
  <c r="E26" i="10"/>
  <c r="G24" i="10"/>
  <c r="B23" i="10"/>
  <c r="D21" i="10"/>
  <c r="F19" i="10"/>
  <c r="H17" i="10"/>
  <c r="C16" i="10"/>
  <c r="E14" i="10"/>
  <c r="G12" i="10"/>
  <c r="B11" i="10"/>
  <c r="D9" i="10"/>
  <c r="F7" i="10"/>
  <c r="H40" i="12"/>
  <c r="F33" i="12"/>
  <c r="C45" i="10"/>
  <c r="E43" i="10"/>
  <c r="G41" i="10"/>
  <c r="B40" i="10"/>
  <c r="D38" i="10"/>
  <c r="F36" i="10"/>
  <c r="H34" i="10"/>
  <c r="C33" i="10"/>
  <c r="E31" i="10"/>
  <c r="G29" i="10"/>
  <c r="B28" i="10"/>
  <c r="D26" i="10"/>
  <c r="F24" i="10"/>
  <c r="H22" i="10"/>
  <c r="C21" i="10"/>
  <c r="E19" i="10"/>
  <c r="G17" i="10"/>
  <c r="E33" i="12"/>
  <c r="B45" i="10"/>
  <c r="D43" i="10"/>
  <c r="F41" i="10"/>
  <c r="H39" i="10"/>
  <c r="C38" i="10"/>
  <c r="E36" i="10"/>
  <c r="H44" i="10"/>
  <c r="C43" i="10"/>
  <c r="E41" i="10"/>
  <c r="G39" i="10"/>
  <c r="B38" i="10"/>
  <c r="D36" i="10"/>
  <c r="F34" i="10"/>
  <c r="H32" i="10"/>
  <c r="C31" i="10"/>
  <c r="E29" i="10"/>
  <c r="G27" i="10"/>
  <c r="B26" i="10"/>
  <c r="D24" i="10"/>
  <c r="F22" i="10"/>
  <c r="H20" i="10"/>
  <c r="C19" i="10"/>
  <c r="E17" i="10"/>
  <c r="G15" i="10"/>
  <c r="B14" i="10"/>
  <c r="D12" i="10"/>
  <c r="F10" i="10"/>
  <c r="C7" i="10"/>
  <c r="F34" i="12"/>
  <c r="G44" i="10"/>
  <c r="B43" i="10"/>
  <c r="D41" i="10"/>
  <c r="F39" i="10"/>
  <c r="H37" i="10"/>
  <c r="C36" i="10"/>
  <c r="E34" i="10"/>
  <c r="G32" i="10"/>
  <c r="B31" i="10"/>
  <c r="D29" i="10"/>
  <c r="F27" i="10"/>
  <c r="H25" i="10"/>
  <c r="C24" i="10"/>
  <c r="E22" i="10"/>
  <c r="G20" i="10"/>
  <c r="B19" i="10"/>
  <c r="D17" i="10"/>
  <c r="F15" i="10"/>
  <c r="H13" i="10"/>
  <c r="C12" i="10"/>
  <c r="E10" i="10"/>
  <c r="G8" i="10"/>
  <c r="B7" i="10"/>
  <c r="E34" i="12"/>
  <c r="F44" i="10"/>
  <c r="H42" i="10"/>
  <c r="C41" i="10"/>
  <c r="E39" i="10"/>
  <c r="G37" i="10"/>
  <c r="B36" i="10"/>
  <c r="D34" i="10"/>
  <c r="F32" i="10"/>
  <c r="H30" i="10"/>
  <c r="C29" i="10"/>
  <c r="E27" i="10"/>
  <c r="G25" i="10"/>
  <c r="B24" i="10"/>
  <c r="D22" i="10"/>
  <c r="F20" i="10"/>
  <c r="H18" i="10"/>
  <c r="C17" i="10"/>
  <c r="E15" i="10"/>
  <c r="G13" i="10"/>
  <c r="B12" i="10"/>
  <c r="D10" i="10"/>
  <c r="F8" i="10"/>
  <c r="E44" i="10"/>
  <c r="G42" i="10"/>
  <c r="B41" i="10"/>
  <c r="D39" i="10"/>
  <c r="F37" i="10"/>
  <c r="H35" i="10"/>
  <c r="C34" i="10"/>
  <c r="E32" i="10"/>
  <c r="G30" i="10"/>
  <c r="B29" i="10"/>
  <c r="D27" i="10"/>
  <c r="F25" i="10"/>
  <c r="H23" i="10"/>
  <c r="C22" i="10"/>
  <c r="E20" i="10"/>
  <c r="G18" i="10"/>
  <c r="B17" i="10"/>
  <c r="D15" i="10"/>
  <c r="F13" i="10"/>
  <c r="H11" i="10"/>
  <c r="C10" i="10"/>
  <c r="E8" i="10"/>
  <c r="G6" i="10"/>
  <c r="H45" i="10"/>
  <c r="C44" i="10"/>
  <c r="E42" i="10"/>
  <c r="G40" i="10"/>
  <c r="B39" i="10"/>
  <c r="D37" i="10"/>
  <c r="F35" i="10"/>
  <c r="H33" i="10"/>
  <c r="C32" i="10"/>
  <c r="E30" i="10"/>
  <c r="G28" i="10"/>
  <c r="B27" i="10"/>
  <c r="D25" i="10"/>
  <c r="F23" i="10"/>
  <c r="H21" i="10"/>
  <c r="C20" i="10"/>
  <c r="E18" i="10"/>
  <c r="G16" i="10"/>
  <c r="B15" i="10"/>
  <c r="D13" i="10"/>
  <c r="F11" i="10"/>
  <c r="H9" i="10"/>
  <c r="C8" i="10"/>
  <c r="E6" i="10"/>
  <c r="F45" i="10"/>
  <c r="E28" i="10"/>
  <c r="F21" i="10"/>
  <c r="C15" i="10"/>
  <c r="H27" i="10"/>
  <c r="E31" i="12"/>
  <c r="H43" i="10"/>
  <c r="B34" i="10"/>
  <c r="C27" i="10"/>
  <c r="D20" i="10"/>
  <c r="D14" i="10"/>
  <c r="C9" i="10"/>
  <c r="F42" i="10"/>
  <c r="F33" i="10"/>
  <c r="G26" i="10"/>
  <c r="H19" i="10"/>
  <c r="C14" i="10"/>
  <c r="B9" i="10"/>
  <c r="C42" i="10"/>
  <c r="B33" i="10"/>
  <c r="C26" i="10"/>
  <c r="D19" i="10"/>
  <c r="E13" i="10"/>
  <c r="D8" i="10"/>
  <c r="H40" i="10"/>
  <c r="D32" i="10"/>
  <c r="E25" i="10"/>
  <c r="F18" i="10"/>
  <c r="B13" i="10"/>
  <c r="E40" i="10"/>
  <c r="H31" i="10"/>
  <c r="B25" i="10"/>
  <c r="C18" i="10"/>
  <c r="F12" i="10"/>
  <c r="E7" i="10"/>
  <c r="T12" i="9"/>
  <c r="X12" i="9" s="1"/>
  <c r="H6" i="10" s="1"/>
  <c r="C39" i="10"/>
  <c r="D31" i="10"/>
  <c r="E24" i="10"/>
  <c r="F17" i="10"/>
  <c r="E12" i="10"/>
  <c r="D7" i="10"/>
  <c r="G38" i="10"/>
  <c r="F30" i="10"/>
  <c r="G23" i="10"/>
  <c r="H16" i="10"/>
  <c r="G11" i="10"/>
  <c r="F6" i="10"/>
  <c r="E37" i="10"/>
  <c r="C30" i="10"/>
  <c r="D23" i="10"/>
  <c r="E16" i="10"/>
  <c r="D11" i="10"/>
  <c r="C6" i="10"/>
  <c r="B37" i="10"/>
  <c r="F29" i="10"/>
  <c r="G22" i="10"/>
  <c r="B16" i="10"/>
  <c r="H10" i="10"/>
  <c r="D35" i="10"/>
  <c r="B10" i="10"/>
  <c r="D44" i="10"/>
  <c r="B21" i="10"/>
  <c r="F9" i="10"/>
  <c r="G35" i="10"/>
  <c r="H28" i="10"/>
  <c r="B22" i="10"/>
  <c r="H15" i="10"/>
  <c r="G10" i="10"/>
  <c r="G34" i="10"/>
  <c r="G14" i="10"/>
  <c r="V13" i="9"/>
  <c r="U13" i="9"/>
  <c r="W13" i="9" s="1"/>
  <c r="T13" i="9"/>
  <c r="T15" i="9"/>
  <c r="U14" i="9"/>
  <c r="W14" i="9" s="1"/>
  <c r="T14" i="9"/>
  <c r="V14" i="9" s="1"/>
  <c r="U15" i="9"/>
  <c r="W15" i="9" s="1"/>
  <c r="X13" i="9" l="1"/>
  <c r="V12" i="9"/>
  <c r="X14" i="9"/>
  <c r="G42" i="12"/>
  <c r="G41" i="12"/>
  <c r="H42" i="12"/>
  <c r="H41" i="12"/>
  <c r="H39" i="12"/>
  <c r="G36" i="12"/>
  <c r="G35" i="12"/>
  <c r="G33" i="12"/>
  <c r="G34" i="12"/>
  <c r="V15" i="9"/>
  <c r="X15" i="9" s="1"/>
  <c r="G32" i="12"/>
  <c r="G31" i="12"/>
  <c r="G40" i="12"/>
  <c r="G39" i="12"/>
  <c r="G38" i="12"/>
  <c r="G37" i="12"/>
  <c r="H36" i="12" l="1"/>
  <c r="H8" i="10"/>
  <c r="H7" i="10"/>
  <c r="H32" i="12"/>
  <c r="H33" i="12" l="1"/>
  <c r="H34" i="12"/>
  <c r="H31" i="12"/>
  <c r="H35" i="12"/>
  <c r="H38" i="12"/>
  <c r="H37" i="12"/>
</calcChain>
</file>

<file path=xl/sharedStrings.xml><?xml version="1.0" encoding="utf-8"?>
<sst xmlns="http://schemas.openxmlformats.org/spreadsheetml/2006/main" count="383" uniqueCount="184">
  <si>
    <t>Mixed test: CE/ICA calculator</t>
  </si>
  <si>
    <t>Cost-effectiveness and incremental cost analysis, as live formulas.</t>
  </si>
  <si>
    <t>Study</t>
  </si>
  <si>
    <t>Mixed test</t>
  </si>
  <si>
    <t>Generated by</t>
  </si>
  <si>
    <t>CEICA 0.1.0 (engine 1)</t>
  </si>
  <si>
    <t>Project digest</t>
  </si>
  <si>
    <t>8030b2b0f57f</t>
  </si>
  <si>
    <t>Discount rate</t>
  </si>
  <si>
    <t>3 percent</t>
  </si>
  <si>
    <t>Period of analysis</t>
  </si>
  <si>
    <t>50 years</t>
  </si>
  <si>
    <t>Status</t>
  </si>
  <si>
    <t>Inputs changed</t>
  </si>
  <si>
    <t>Results that differ from the export</t>
  </si>
  <si>
    <t>How to use</t>
  </si>
  <si>
    <t>- Orange cells are inputs; grey cells are formulas. Sheets are protected (password 'ceica') only to prevent accidental edits.</t>
  </si>
  <si>
    <t>- Change any orange cell: annualization, site CE/ICA, the watershed plans and the summary update. Changed inputs turn yellow.</t>
  </si>
  <si>
    <t>- To add sites, alternatives or years, make the change in CEICA and export again.</t>
  </si>
  <si>
    <t>- Import this workbook in CEICA to bring your changes back into the project.</t>
  </si>
  <si>
    <t>Legend</t>
  </si>
  <si>
    <t>Input</t>
  </si>
  <si>
    <t>Formula</t>
  </si>
  <si>
    <t>Changed since export</t>
  </si>
  <si>
    <t>Parameters</t>
  </si>
  <si>
    <t>Economics and conventions. Orange cells are inputs.</t>
  </si>
  <si>
    <t>Parameter</t>
  </si>
  <si>
    <t>Value</t>
  </si>
  <si>
    <t>Period of analysis (years)</t>
  </si>
  <si>
    <t>Interest during construction: periods per year</t>
  </si>
  <si>
    <t>Interest during construction: spending in each period (END, MIDDLE or START)</t>
  </si>
  <si>
    <t>END</t>
  </si>
  <si>
    <t>OMRRR discounting (END_OF_YEAR or MID_YEAR)</t>
  </si>
  <si>
    <t>END_OF_YEAR</t>
  </si>
  <si>
    <t>Cost decimals kept for CE/ICA</t>
  </si>
  <si>
    <t>Output decimals kept for CE/ICA</t>
  </si>
  <si>
    <t>Capital recovery factor</t>
  </si>
  <si>
    <t>Target years</t>
  </si>
  <si>
    <t>Year 1</t>
  </si>
  <si>
    <t>Year 2</t>
  </si>
  <si>
    <t>Year 3</t>
  </si>
  <si>
    <t>Years (first to last)</t>
  </si>
  <si>
    <t>Benefits: habitat units by module</t>
  </si>
  <si>
    <t>One row per module, site and alternative; the Summary adds the modules' averages. Habitat: habitat units entered at each target year; Riparian: index x quantity at each target year; Wetland: the average entered directly. Averages are the area under straight lines between target years.</t>
  </si>
  <si>
    <t>Key</t>
  </si>
  <si>
    <t>Site</t>
  </si>
  <si>
    <t>Alternative</t>
  </si>
  <si>
    <t>Module</t>
  </si>
  <si>
    <t>Method</t>
  </si>
  <si>
    <t>Index (0 to 1)</t>
  </si>
  <si>
    <t>Quantity</t>
  </si>
  <si>
    <t>Habitat units (HU)</t>
  </si>
  <si>
    <t>Average (AAHU)</t>
  </si>
  <si>
    <t>A</t>
  </si>
  <si>
    <t>NA</t>
  </si>
  <si>
    <t>Habitat</t>
  </si>
  <si>
    <t>Habitat units</t>
  </si>
  <si>
    <t>A1</t>
  </si>
  <si>
    <t>A2</t>
  </si>
  <si>
    <t>B</t>
  </si>
  <si>
    <t>B1</t>
  </si>
  <si>
    <t>Riparian</t>
  </si>
  <si>
    <t>Index x quantity</t>
  </si>
  <si>
    <t>Wetland</t>
  </si>
  <si>
    <t>Average annual value</t>
  </si>
  <si>
    <t>Costs: first costs, interest during construction and OMRRR</t>
  </si>
  <si>
    <t>First costs are base-year lump sums. Interest during construction accrues on the categories marked *, spent evenly over the construction months.</t>
  </si>
  <si>
    <t>Average annual cost by part</t>
  </si>
  <si>
    <t>Construction *</t>
  </si>
  <si>
    <t>Monitoring</t>
  </si>
  <si>
    <t>Adaptive management</t>
  </si>
  <si>
    <t>Construction months</t>
  </si>
  <si>
    <t>IDC base</t>
  </si>
  <si>
    <t>Interest during construction</t>
  </si>
  <si>
    <t>OMRRR present value</t>
  </si>
  <si>
    <t>Total present value</t>
  </si>
  <si>
    <t>Average annual cost entered</t>
  </si>
  <si>
    <t>Average annual cost</t>
  </si>
  <si>
    <t>Construction</t>
  </si>
  <si>
    <t>OMRRR</t>
  </si>
  <si>
    <t>construction</t>
  </si>
  <si>
    <t>monitoring</t>
  </si>
  <si>
    <t>adaptive_management</t>
  </si>
  <si>
    <t>OMRRR: recurring operation, maintenance, repair, replacement and rehabilitation</t>
  </si>
  <si>
    <t>Each item costs the amount per occurrence every N years from the first year to the last (blank: every N years through the period of analysis). Basis: FIXED amount, PERCENT of a first-cost category, or RATE x quantity.</t>
  </si>
  <si>
    <t>Item</t>
  </si>
  <si>
    <t>Basis</t>
  </si>
  <si>
    <t>Amount</t>
  </si>
  <si>
    <t>Percent</t>
  </si>
  <si>
    <t>Category</t>
  </si>
  <si>
    <t>Unit rate</t>
  </si>
  <si>
    <t>Every N years</t>
  </si>
  <si>
    <t>First year</t>
  </si>
  <si>
    <t>Last year</t>
  </si>
  <si>
    <t>Amount per occurrence</t>
  </si>
  <si>
    <t>First</t>
  </si>
  <si>
    <t>Last</t>
  </si>
  <si>
    <t>Occurrences</t>
  </si>
  <si>
    <t>Present value, end of year</t>
  </si>
  <si>
    <t>Present value</t>
  </si>
  <si>
    <t>Summary of inputs to CE/ICA</t>
  </si>
  <si>
    <t>Lift is each alternative's AAHU above No Action; the CE/ICA cost is its average annual cost above No Action.</t>
  </si>
  <si>
    <t>Name</t>
  </si>
  <si>
    <t>No Action</t>
  </si>
  <si>
    <t>Outputs (AAHU)</t>
  </si>
  <si>
    <t>Lift (AAHU)</t>
  </si>
  <si>
    <t>Construction cost</t>
  </si>
  <si>
    <t>First costs</t>
  </si>
  <si>
    <t>Cost above No Action</t>
  </si>
  <si>
    <t>Unit cost ($/AAHU)</t>
  </si>
  <si>
    <t>Site-by-site CE/ICA</t>
  </si>
  <si>
    <t>Cost-effective: no alternative gives the same output for less, or more output for no more. Best buy: on the lower hull from No Action (IWR Planning Suite II rules).</t>
  </si>
  <si>
    <t>Ordinal</t>
  </si>
  <si>
    <t>Lift (scaled)</t>
  </si>
  <si>
    <t>Cost (scaled)</t>
  </si>
  <si>
    <t>Dominated by</t>
  </si>
  <si>
    <t>Cost-effective</t>
  </si>
  <si>
    <t>Candidate</t>
  </si>
  <si>
    <t>Slope in (max)</t>
  </si>
  <si>
    <t>Slope out (min)</t>
  </si>
  <si>
    <t>Best buy</t>
  </si>
  <si>
    <t>Best-buy step</t>
  </si>
  <si>
    <t>Previous lift (scaled)</t>
  </si>
  <si>
    <t>Previous cost (scaled)</t>
  </si>
  <si>
    <t>Incremental output</t>
  </si>
  <si>
    <t>Incremental cost</t>
  </si>
  <si>
    <t>Incremental cost per unit</t>
  </si>
  <si>
    <t>Unit cost</t>
  </si>
  <si>
    <t>Recommended</t>
  </si>
  <si>
    <t>Sites: the alternative carried to the watershed plans</t>
  </si>
  <si>
    <t>Choose each site's recommended alternative. No Action leaves the site out of every watershed plan.</t>
  </si>
  <si>
    <t>Recommended alternative</t>
  </si>
  <si>
    <t>Carried</t>
  </si>
  <si>
    <t>Decided by</t>
  </si>
  <si>
    <t>Suggested</t>
  </si>
  <si>
    <t>Watershed plans: every combination of the recommended site actions</t>
  </si>
  <si>
    <t>1 and 0 mark a site included or excluded. Rows that include a site whose recommendation is No Action are not valid plans.</t>
  </si>
  <si>
    <t>Weight</t>
  </si>
  <si>
    <t>Row</t>
  </si>
  <si>
    <t>Plan</t>
  </si>
  <si>
    <t>Valid</t>
  </si>
  <si>
    <t>Plan number</t>
  </si>
  <si>
    <t>Final array</t>
  </si>
  <si>
    <t>Final array order</t>
  </si>
  <si>
    <t>A + B</t>
  </si>
  <si>
    <t>Watershed summary: best buys, final array and the tentatively selected plan</t>
  </si>
  <si>
    <t>Tables read the watershed plans sheet. Choose the TSP from the final array.</t>
  </si>
  <si>
    <t>Best buys</t>
  </si>
  <si>
    <t>Step</t>
  </si>
  <si>
    <t>Final array (in order of output) and 'Is it worth it?'</t>
  </si>
  <si>
    <t>Order</t>
  </si>
  <si>
    <t>Added output</t>
  </si>
  <si>
    <t>Added cost</t>
  </si>
  <si>
    <t>Added cost per unit</t>
  </si>
  <si>
    <t>Worth it?</t>
  </si>
  <si>
    <t>Why</t>
  </si>
  <si>
    <t>Tentatively selected plan</t>
  </si>
  <si>
    <t>In the final array</t>
  </si>
  <si>
    <t>IWR Planning Suite II input</t>
  </si>
  <si>
    <t>Paste-ready plan, output and cost columns for an independent re-run in IWR Planning Suite II (user-entered planning set; No Action is the first plan).</t>
  </si>
  <si>
    <t>Site planning sets</t>
  </si>
  <si>
    <t>Output (AAHU above No Action)</t>
  </si>
  <si>
    <t>Cost (average annual, above No Action)</t>
  </si>
  <si>
    <t>Watershed planning set (valid plans)</t>
  </si>
  <si>
    <t>Output</t>
  </si>
  <si>
    <t>Cost</t>
  </si>
  <si>
    <t>Charts: watershed cost-effectiveness and incremental cost</t>
  </si>
  <si>
    <t>Built from the watershed plans sheet; they update with the inputs.</t>
  </si>
  <si>
    <t>Other plans: lift</t>
  </si>
  <si>
    <t>Other plans: cost</t>
  </si>
  <si>
    <t>Frontier: lift</t>
  </si>
  <si>
    <t>Frontier: cost</t>
  </si>
  <si>
    <t>Best buys: lift</t>
  </si>
  <si>
    <t>Best buys: cost</t>
  </si>
  <si>
    <t>Step boxes: lift</t>
  </si>
  <si>
    <t>Step boxes: cost per unit</t>
  </si>
  <si>
    <t>(frontier order)</t>
  </si>
  <si>
    <t>TSP: lift</t>
  </si>
  <si>
    <t>TSP: cost</t>
  </si>
  <si>
    <t>ceica-calculator</t>
  </si>
  <si>
    <t>project</t>
  </si>
  <si>
    <t>{"benefits":{"modules":[{"id":"hab","method":"HU","name":"Habitat","quantity_units":""},{"id":"rip","method":"INDEX_X_QUANTITY","name":"Riparian","quantity_units":"acres"},{"id":"wet","method":"AAHU","name":"Wetland","quantity_units":""}],"staf_mapping":"A","target_years":[0.0,5.0,50.0]},"cost_categories":[{"id":"construction","idc_applies":true,"name":"Construction"},{"id":"monitoring","idc_applies":false,"name":"Monitoring"},{"id":"adaptive_management","idc_applies":false,"name":"Adaptive management"}],"decisions":{"sites":{},"watershed":{"basis":null,"final_array":{},"steps":{},"tsp":null,"tsp_plan_type":"National Ecosystem Restoration (NER) plan","tsp_rationale":""}},"description":"","labels":{"annual_output_name":"Average annual habitat units","annual_output_short":"AAHU","lift_name":"Ecological lift","output_name":"Habitat units","output_short":"HU"},"name":"Mixed test","project_id":"golden-mixed","provenance":{},"report":{"contents":"FULL","date":"","prepared_by":"","status":"DRAFT","title":""},"schema_version":"ceica-project/3","settings":{"aahu_method":"TRAPEZOID","cost_decimals":2,"discount_rate":0.03,"idc_method":"END","idc_periods_per_year":12,"output_decimals":3,"period_of_analysis":50,"price_level":"","recurring_timing":"END_OF_YEAR"},"sites":[{"alternatives":[{"costs":{"annual_override":null,"construction_months":4.0,"first_costs":{"construction":0.0},"recurring":[]},"description":"","id":"NA","is_no_action":true,"name":"","outputs":[{"aahu":null,"module_id":"hab","quantity":[],"scores":{},"values":[1.0,1.0,1.0]},{"aahu":null,"module_id":"rip","quantity":[3.0,3.0,3.0],"scores":{},"values":[0.2,0.2,0.2]},{"aahu":0.0,"module_id":"wet","quantity":[],"scores":{},"values":[]}]},{"costs":{"annual_override":null,"construction_months":4.0,"first_costs":{"construction":250000.0},"recurring":[]},"description":"","id":"A1","is_no_action":false,"name":"","outputs":[{"aahu":null,"module_id":"hab","quantity":[],"scores":{},"values":[1.0,4.0,5.0]},{"aahu":null,"module_id":"rip","quantity":[3.0,3.5,3.5],"scores":{},"values":[0.2,0.5,0.7]},{"aahu":1.5,"module_id":"wet","quantity":[],"scores":{},"values":[]}]},{"costs":{"annual_override":null,"construction_months":4.0,"first_costs":{"construction":180000.0},"recurring":[]},"description":"","id":"A2","is_no_action":false,"name":"","outputs":[{"aahu":null,"module_id":"hab","quantity":[],"scores":{},"values":[1.0,2.0,2.5]},{"aahu":null,"module_id":"rip","quantity":[3.0,3.0,3.0],"scores":{},"values":[0.2,0.6,0.8]},{"aahu":0.5,"module_id":"wet","quantity":[],"scores":{},"values":[]}]}],"description":"","id":"A","name":"","staf_not_assessed":{},"staf_source":{}},{"alternatives":[{"costs":{"annual_override":null,"construction_months":4.0,"first_costs":{"construction":0.0},"recurring":[]},"description":"","id":"NA","is_no_action":true,"name":"","outputs":[{"aahu":null,"module_id":"hab","quantity":[],"scores":{},"values":[2.0,2.0,2.0]},{"aahu":null,"module_id":"rip","quantity":[1.0,1.0,1.0],"scores":{},"values":[0.4,0.4,0.4]},{"aahu":0.0,"module_id":"wet","quantity":[],"scores":{},"values":[]}]},{"costs":{"annual_override":null,"construction_months":4.0,"first_costs":{"construction":300000.0},"recurring":[]},"description":"","id":"B1","is_no_action":false,"name":"","outputs":[{"aahu":null,"module_id":"hab","quantity":[],"scores":{},"values":[2.0,5.0,6.0]},{"aahu":null,"module_id":"rip","quantity":[1.0,1.0,2.0],"scores":{},"values":[0.4,0.4,0.9]},{"aahu":2.0,"module_id":"wet","quantity":[],"scores":{},"values":[]}]}],"description":"","id":"B","name":"","staf_not_assessed":{},"staf_source":{}}],"watershed":{"carried":{},"mode":"RECOMMENDED","rules":[]}}</t>
  </si>
  <si>
    <t>meta</t>
  </si>
  <si>
    <t>{"appVersion":"0.1.0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L6","kind":"optional","path":["sites",0,"alternatives",0,"outputs",{"module_id":"hab"},"values",0],"sheet":"Benefits"},{"cell":"M6","kind":"optional","path":["sites",0,"alternatives",0,"outputs",{"module_id":"hab"},"values",1],"sheet":"Benefits"},{"cell":"N6","kind":"optional","path":["sites",0,"alternatives",0,"outputs",{"module_id":"hab"},"values",2],"sheet":"Benefits"},{"cell":"L7","kind":"optional","path":["sites",0,"alternatives",1,"outputs",{"module_id":"hab"},"values",0],"sheet":"Benefits"},{"cell":"M7","kind":"optional","path":["sites",0,"alternatives",1,"outputs",{"module_id":"hab"},"values",1],"sheet":"Benefits"},{"cell":"N7","kind":"optional","path":["sites",0,"alternatives",1,"outputs",{"module_id":"hab"},"values",2],"sheet":"Benefits"},{"cell":"L8","kind":"optional","path":["sites",0,"alternatives",2,"outputs",{"module_id":"hab"},"values",0],"sheet":"Benefits"},{"cell":"M8","kind":"optional","path":["sites",0,"alternatives",2,"outputs",{"module_id":"hab"},"values",1],"sheet":"Benefits"},{"cell":"N8","kind":"optional","path":["sites",0,"alternatives",2,"outputs",{"module_id":"hab"},"values",2],"sheet":"Benefits"},{"cell":"L9","kind":"optional","path":["sites",1,"alternatives",0,"outputs",{"module_id":"hab"},"values",0],"sheet":"Benefits"},{"cell":"M9","kind":"optional","path":["sites",1,"alternatives",0,"outputs",{"module_id":"hab"},"values",1],"sheet":"Benefits"},{"cell":"N9","kind":"optional","path":["sites",1,"alternatives",0,"outputs",{"module_id":"hab"},"values",2],"sheet":"Benefits"},{"cell":"L10","kind":"optional","path":["sites",1,"alternatives",1,"outputs",{"module_id":"hab"},"values",0],"sheet":"Benefits"},{"cell":"M10","kind":"optional","path":["sites",1,"alternatives",1,"outputs",{"module_id":"hab"},"values",1],"sheet":"Benefits"},{"cell":"N10","kind":"optional","path":["sites",1,"alternatives",1,"outputs",{"module_id":"hab"},"values",2],"sheet":"Benefits"},{"cell":"F11","kind":"optional","path":["sites",0,"alternatives",0,"outputs",{"module_id":"rip"},"values",0],"sheet":"Benefits"},{"cell":"I11","kind":"optional","path":["sites",0,"alternatives",0,"outputs",{"module_id":"rip"},"quantity",0],"sheet":"Benefits"},{"cell":"G11","kind":"optional","path":["sites",0,"alternatives",0,"outputs",{"module_id":"rip"},"values",1],"sheet":"Benefits"},{"cell":"J11","kind":"optional","path":["sites",0,"alternatives",0,"outputs",{"module_id":"rip"},"quantity",1],"sheet":"Benefits"},{"cell":"H11","kind":"optional","path":["sites",0,"alternatives",0,"outputs",{"module_id":"rip"},"values",2],"sheet":"Benefits"},{"cell":"K11","kind":"optional","path":["sites",0,"alternatives",0,"outputs",{"module_id":"rip"},"quantity",2],"sheet":"Benefits"},{"cell":"F12","kind":"optional","path":["sites",0,"alternatives",1,"outputs",{"module_id":"rip"},"values",0],"sheet":"Benefits"},{"cell":"I12","kind":"optional","path":["sites",0,"alternatives",1,"outputs",{"module_id":"rip"},"quantity",0],"sheet":"Benefits"},{"cell":"G12","kind":"optional","path":["sites",0,"alternatives",1,"outputs",{"module_id":"rip"},"values",1],"sheet":"Benefits"},{"cell":"J12","kind":"optional","path":["sites",0,"alternatives",1,"outputs",{"module_id":"rip"},"quantity",1],"sheet":"Benefits"},{"cell":"H12","kind":"optional","path":["sites",0,"alternatives",1,"outputs",{"module_id":"rip"},"values",2],"sheet":"Benefits"},{"cell":"K12","kind":"optional","path":["sites",0,"alternatives",1,"outputs",{"module_id":"rip"},"quantity",2],"sheet":"Benefits"},{"cell":"F13","kind":"optional","path":["sites",0,"alternatives",2,"outputs",{"module_id":"rip"},"values",0],"sheet":"Benefits"},{"cell":"I13","kind":"optional","path":["sites",0,"alternatives",2,"outputs",{"module_id":"rip"},"quantity",0],"sheet":"Benefits"},{"cell":"G13","kind":"optional","path":["sites",0,"alternatives",2,"outputs",{"module_id":"rip"},"values",1],"sheet":"Benefits"},{"cell":"J13","kind":"optional","path":["sites",0,"alternatives",2,"outputs",{"module_id":"rip"},"quantity",1],"sheet":"Benefits"},{"cell":"H13","kind":"optional","path":["sites",0,"alternatives",2,"outputs",{"module_id":"rip"},"values",2],"sheet":"Benefits"},{"cell":"K13","kind":"optional","path":["sites",0,"alternatives",2,"outputs",{"module_id":"rip"},"quantity",2],"sheet":"Benefits"},{"cell":"F14","kind":"optional","path":["sites",1,"alternatives",0,"outputs",{"module_id":"rip"},"values",0],"sheet":"Benefits"},{"cell":"I14","kind":"optional","path":["sites",1,"alternatives",0,"outputs",{"module_id":"rip"},"quantity",0],"sheet":"Benefits"},{"cell":"G14","kind":"optional","path":["sites",1,"alternatives",0,"outputs",{"module_id":"rip"},"values",1],"sheet":"Benefits"},{"cell":"J14","kind":"optional","path":["sites",1,"alternatives",0,"outputs",{"module_id":"rip"},"quantity",1],"sheet":"Benefits"},{"cell":"H14","kind":"optional","path":["sites",1,"alternatives",0,"outputs",{"module_id":"rip"},"values",2],"sheet":"Benefits"},{"cell":"K14","kind":"optional","path":["sites",1,"alternatives",0,"outputs",{"module_id":"rip"},"quantity",2],"sheet":"Benefits"},{"cell":"F15","kind":"optional","path":["sites",1,"alternatives",1,"outputs",{"module_id":"rip"},"values",0],"sheet":"Benefits"},{"cell":"I15","kind":"optional","path":["sites",1,"alternatives",1,"outputs",{"module_id":"rip"},"quantity",0],"sheet":"Benefits"},{"cell":"G15","kind":"optional","path":["sites",1,"alternatives",1,"outputs",{"module_id":"rip"},"values",1],"sheet":"Benefits"},{"cell":"J15","kind":"optional","path":["sites",1,"alternatives",1,"outputs",{"module_id":"rip"},"quantity",1],"sheet":"Benefits"},{"cell":"H15","kind":"optional","path":["sites",1,"alternatives",1,"outputs",{"module_id":"rip"},"values",2],"sheet":"Benefits"},{"cell":"K15","kind":"optional","path":["sites",1,"alternatives",1,"outputs",{"module_id":"rip"},"quantity",2],"sheet":"Benefits"},{"cell":"O16","kind":"optional","path":["sites",0,"alternatives",0,"outputs",{"module_id":"wet"},"aahu"],"sheet":"Benefits"},{"cell":"O17","kind":"optional","path":["sites",0,"alternatives",1,"outputs",{"module_id":"wet"},"aahu"],"sheet":"Benefits"},{"cell":"O18","kind":"optional","path":["sites",0,"alternatives",2,"outputs",{"module_id":"wet"},"aahu"],"sheet":"Benefits"},{"cell":"O19","kind":"optional","path":["sites",1,"alternatives",0,"outputs",{"module_id":"wet"},"aahu"],"sheet":"Benefits"},{"cell":"O20","kind":"optional","path":["sites",1,"alternatives",1,"outputs",{"module_id":"wet"},"aahu"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C5","exported":"A1","kind":"rec","path":["decisions","sites","A","recommended_alt_id"],"sheet":"Sites"},{"cell":"C6","exported":"B1","kind":"rec","path":["decisions","sites","B","recommended_alt_id"],"sheet":"Sites"},{"cell":"Z12","kind":"final","path":["@final",12],"sheet":"Watershed plans"},{"cell":"Z13","kind":"final","path":["@final",13],"sheet":"Watershed plans"},{"cell":"Z14","kind":"final","path":["@final",14],"sheet":"Watershed plans"},{"cell":"Z15","kind":"final","path":["@final",15],"sheet":"Watershed plans"},{"cell":"K50","kind":"text","path":["@worth",0],"sheet":"Watershed summary"},{"cell":"L50","kind":"text","path":["@why",0],"sheet":"Watershed summary"},{"cell":"K51","kind":"text","path":["@worth",1],"sheet":"Watershed summary"},{"cell":"L51","kind":"text","path":["@why",1],"sheet":"Watershed summary"},{"cell":"K52","kind":"text","path":["@worth",2],"sheet":"Watershed summary"},{"cell":"L52","kind":"text","path":["@why",2],"sheet":"Watershed summary"},{"cell":"K53","kind":"text","path":["@worth",3],"sheet":"Watershed summary"},{"cell":"L53","kind":"text","path":["@why",3],"sheet":"Watershed summary"},{"cell":"K54","kind":"text","path":["@worth",4],"sheet":"Watershed summary"},{"cell":"L54","kind":"text","path":["@why",4],"sheet":"Watershed summary"},{"cell":"K55","kind":"text","path":["@worth",5],"sheet":"Watershed summary"},{"cell":"L55","kind":"text","path":["@why",5],"sheet":"Watershed summary"},{"cell":"K56","kind":"text","path":["@worth",6],"sheet":"Watershed summary"},{"cell":"L56","kind":"text","path":["@why",6],"sheet":"Watershed summary"},{"cell":"K57","kind":"text","path":["@worth",7],"sheet":"Watershed summary"},{"cell":"L57","kind":"text","path":["@why",7],"sheet":"Watershed summary"},{"cell":"K58","kind":"text","path":["@worth",8],"sheet":"Watershed summary"},{"cell":"L58","kind":"text","path":["@why",8],"sheet":"Watershed summary"},{"cell":"K59","kind":"text","path":["@worth",9],"sheet":"Watershed summary"},{"cell":"L59","kind":"text","path":["@why",9],"sheet":"Watershed summary"},{"cell":"K60","kind":"text","path":["@worth",10],"sheet":"Watershed summary"},{"cell":"L60","kind":"text","path":["@why",10],"sheet":"Watershed summary"},{"cell":"K61","kind":"text","path":["@worth",11],"sheet":"Watershed summary"},{"cell":"L61","kind":"text","path":["@why",11],"sheet":"Watershed summary"},{"cell":"K62","kind":"text","path":["@worth",12],"sheet":"Watershed summary"},{"cell":"L62","kind":"text","path":["@why",12],"sheet":"Watershed summary"},{"cell":"K63","kind":"text","path":["@worth",13],"sheet":"Watershed summary"},{"cell":"L63","kind":"text","path":["@why",13],"sheet":"Watershed summary"},{"cell":"K64","kind":"text","path":["@worth",14],"sheet":"Watershed summary"},{"cell":"L64","kind":"text","path":["@why",14],"sheet":"Watershed summary"},{"cell":"K65","kind":"text","path":["@worth",15],"sheet":"Watershed summary"},{"cell":"L65","kind":"text","path":["@why",15],"sheet":"Watershed summary"},{"cell":"K66","kind":"text","path":["@worth",16],"sheet":"Watershed summary"},{"cell":"L66","kind":"text","path":["@why",16],"sheet":"Watershed summary"},{"cell":"K67","kind":"text","path":["@worth",17],"sheet":"Watershed summary"},{"cell":"L67","kind":"text","path":["@why",17],"sheet":"Watershed summary"},{"cell":"K68","kind":"text","path":["@worth",18],"sheet":"Watershed summary"},{"cell":"L68","kind":"text","path":["@why",18],"sheet":"Watershed summary"},{"cell":"K69","kind":"text","path":["@worth",19],"sheet":"Watershed summary"},{"cell":"L69","kind":"text","path":["@why",19],"sheet":"Watershed summary"},{"cell":"K70","kind":"text","path":["@worth",20],"sheet":"Watershed summary"},{"cell":"L70","kind":"text","path":["@why",20],"sheet":"Watershed summary"},{"cell":"K71","kind":"text","path":["@worth",21],"sheet":"Watershed summary"},{"cell":"L71","kind":"text","path":["@why",21],"sheet":"Watershed summary"},{"cell":"K72","kind":"text","path":["@worth",22],"sheet":"Watershed summary"},{"cell":"L72","kind":"text","path":["@why",22],"sheet":"Watershed summary"},{"cell":"K73","kind":"text","path":["@worth",23],"sheet":"Watershed summary"},{"cell":"L73","kind":"text","path":["@why",23],"sheet":"Watershed summary"},{"cell":"K74","kind":"text","path":["@worth",24],"sheet":"Watershed summary"},{"cell":"L74","kind":"text","path":["@why",24],"sheet":"Watershed summary"},{"cell":"K75","kind":"text","path":["@worth",25],"sheet":"Watershed summary"},{"cell":"L75","kind":"text","path":["@why",25],"sheet":"Watershed summary"},{"cell":"K76","kind":"text","path":["@worth",26],"sheet":"Watershed summary"},{"cell":"L76","kind":"text","path":["@why",26],"sheet":"Watershed summary"},{"cell":"K77","kind":"text","path":["@worth",27],"sheet":"Watershed summary"},{"cell":"L77","kind":"text","path":["@why",27],"sheet":"Watershed summary"},{"cell":"K78","kind":"text","path":["@worth",28],"sheet":"Watershed summary"},{"cell":"L78","kind":"text","path":["@why",28],"sheet":"Watershed summary"},{"cell":"K79","kind":"text","path":["@worth",29],"sheet":"Watershed summary"},{"cell":"L79","kind":"text","path":["@why",29],"sheet":"Watershed summary"},{"cell":"K80","kind":"text","path":["@worth",30],"sheet":"Watershed summary"},{"cell":"L80","kind":"text","path":["@why",30],"sheet":"Watershed summary"},{"cell":"K81","kind":"text","path":["@worth",31],"sheet":"Watershed summary"},{"cell":"L81","kind":"text","path":["@why",31],"sheet":"Watershed summary"},{"cell":"K82","kind":"text","path":["@worth",32],"sheet":"Watershed summary"},{"cell":"L82","kind":"text","path":["@why",32],"sheet":"Watershed summary"},{"cell":"K83","kind":"text","path":["@worth",33],"sheet":"Watershed summary"},{"cell":"L83","kind":"text","path":["@why",33],"sheet":"Watershed summary"},{"cell":"K84","kind":"text","path":["@worth",34],"sheet":"Watershed summary"},{"cell":"L84","kind":"text","path":["@why",34],"sheet":"Watershed summary"},{"cell":"K85","kind":"text","path":["@worth",35],"sheet":"Watershed summary"},{"cell":"L85","kind":"text","path":["@why",35],"sheet":"Watershed summary"},{"cell":"K86","kind":"text","path":["@worth",36],"sheet":"Watershed summary"},{"cell":"L86","kind":"text","path":["@why",36],"sheet":"Watershed summary"},{"cell":"K87","kind":"text","path":["@worth",37],"sheet":"Watershed summary"},{"cell":"L87","kind":"text","path":["@why",37],"sheet":"Watershed summary"},{"cell":"K88","kind":"text","path":["@worth",38],"sheet":"Watershed summary"},{"cell":"L88","kind":"text","path":["@why",38],"sheet":"Watershed summary"},{"cell":"K89","kind":"text","path":["@worth",39],"sheet":"Watershed summary"},{"cell":"L89","kind":"text","path":["@why",39],"sheet":"Watershed summary"},{"cell":"B93","kind":"tsp","path":["@tsp"],"sheet":"Watershed summary"}],"liveWatershed":true,"planBits":[4,5],"planRowKeys":{"12":"","13":"B=B1","14":"A=A1","15":"A=A1;B=B1"},"planSites":["A","B"],"projectDigest":"8030b2b0f57f","schemaVersion":3}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</si>
</sst>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%"/>
    <numFmt numFmtId="165" formatCode="0.0000000000"/>
    <numFmt numFmtId="166" formatCode="0.##"/>
    <numFmt numFmtId="167" formatCode="#,##0.000"/>
    <numFmt numFmtId="168" formatCode="0.0000"/>
    <numFmt numFmtId="169" formatCode="&quot;$&quot;#,##0"/>
    <numFmt numFmtId="170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4"/>
      <color rgb="FF2F4B7C"/>
      <name val="Calibri"/>
    </font>
    <font>
      <i/>
      <sz val="9"/>
      <color rgb="FF555555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4B7C"/>
        <bgColor rgb="FF2F4B7C"/>
      </patternFill>
    </fill>
    <fill>
      <patternFill patternType="solid">
        <fgColor rgb="FFF8CBAD"/>
        <bgColor rgb="FFF8CBAD"/>
      </patternFill>
    </fill>
    <fill>
      <patternFill patternType="solid">
        <fgColor rgb="FFEDEDED"/>
        <bgColor rgb="FFEDEDED"/>
      </patternFill>
    </fill>
    <fill>
      <patternFill patternType="solid">
        <fgColor rgb="FFEEF3FB"/>
        <bgColor rgb="FFEEF3FB"/>
      </patternFill>
    </fill>
    <fill>
      <patternFill patternType="solid">
        <fgColor rgb="FFFFE08A"/>
        <bgColor rgb="FFFFE08A"/>
      </patternFill>
    </fill>
  </fills>
  <borders count="2">
    <border>
      <left/>
      <right/>
      <top/>
      <bottom/>
      <diagonal/>
    </border>
    <border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0" fontId="0" fillId="0" borderId="1" xfId="0" applyBorder="1"/>
    <xf numFmtId="0" fontId="4" fillId="4" borderId="1" xfId="0" applyFont="1" applyFill="1" applyBorder="1"/>
    <xf numFmtId="3" fontId="0" fillId="4" borderId="1" xfId="0" applyNumberFormat="1" applyFill="1" applyBorder="1"/>
    <xf numFmtId="0" fontId="4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Protection="1">
      <protection locked="0"/>
    </xf>
    <xf numFmtId="3" fontId="0" fillId="3" borderId="1" xfId="0" applyNumberFormat="1" applyFill="1" applyBorder="1" applyProtection="1">
      <protection locked="0"/>
    </xf>
    <xf numFmtId="0" fontId="0" fillId="3" borderId="1" xfId="0" applyFill="1" applyBorder="1" applyProtection="1">
      <protection locked="0"/>
    </xf>
    <xf numFmtId="165" fontId="4" fillId="4" borderId="1" xfId="0" applyNumberFormat="1" applyFont="1" applyFill="1" applyBorder="1"/>
    <xf numFmtId="166" fontId="0" fillId="3" borderId="1" xfId="0" applyNumberFormat="1" applyFill="1" applyBorder="1" applyProtection="1">
      <protection locked="0"/>
    </xf>
    <xf numFmtId="166" fontId="4" fillId="5" borderId="1" xfId="0" applyNumberFormat="1" applyFont="1" applyFill="1" applyBorder="1" applyAlignment="1">
      <alignment horizontal="center" vertical="center" wrapText="1"/>
    </xf>
    <xf numFmtId="167" fontId="0" fillId="3" borderId="1" xfId="0" applyNumberFormat="1" applyFill="1" applyBorder="1" applyProtection="1">
      <protection locked="0"/>
    </xf>
    <xf numFmtId="167" fontId="0" fillId="4" borderId="1" xfId="0" applyNumberFormat="1" applyFill="1" applyBorder="1"/>
    <xf numFmtId="168" fontId="0" fillId="3" borderId="1" xfId="0" applyNumberFormat="1" applyFill="1" applyBorder="1" applyProtection="1"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9" fontId="0" fillId="3" borderId="1" xfId="0" applyNumberFormat="1" applyFill="1" applyBorder="1" applyProtection="1">
      <protection locked="0"/>
    </xf>
    <xf numFmtId="169" fontId="0" fillId="4" borderId="1" xfId="0" applyNumberFormat="1" applyFill="1" applyBorder="1"/>
    <xf numFmtId="170" fontId="0" fillId="4" borderId="1" xfId="0" applyNumberFormat="1" applyFill="1" applyBorder="1"/>
    <xf numFmtId="170" fontId="0" fillId="3" borderId="1" xfId="0" applyNumberFormat="1" applyFill="1" applyBorder="1" applyProtection="1">
      <protection locked="0"/>
    </xf>
    <xf numFmtId="4" fontId="0" fillId="4" borderId="1" xfId="0" applyNumberFormat="1" applyFill="1" applyBorder="1"/>
    <xf numFmtId="0" fontId="0" fillId="3" borderId="1" xfId="0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11">
    <dxf>
      <fill>
        <patternFill patternType="solid">
          <fgColor rgb="FFFFE08A"/>
          <bgColor rgb="FFFFE08A"/>
        </patternFill>
      </fill>
    </dxf>
    <dxf>
      <fill>
        <patternFill patternType="solid">
          <fgColor rgb="FFFFE08A"/>
          <bgColor rgb="FFFFE08A"/>
        </patternFill>
      </fill>
    </dxf>
    <dxf>
      <fill>
        <patternFill patternType="solid">
          <fgColor rgb="FFFFE08A"/>
          <bgColor rgb="FFFFE08A"/>
        </patternFill>
      </fill>
    </dxf>
    <dxf>
      <fill>
        <patternFill patternType="solid">
          <fgColor rgb="FFFFE08A"/>
          <bgColor rgb="FFFFE08A"/>
        </patternFill>
      </fill>
    </dxf>
    <dxf>
      <fill>
        <patternFill patternType="solid">
          <fgColor rgb="FFFFE08A"/>
          <bgColor rgb="FFFFE08A"/>
        </patternFill>
      </fill>
    </dxf>
    <dxf>
      <fill>
        <patternFill patternType="solid">
          <fgColor rgb="FFFFE08A"/>
          <bgColor rgb="FFFFE08A"/>
        </patternFill>
      </fill>
    </dxf>
    <dxf>
      <fill>
        <patternFill patternType="solid">
          <fgColor rgb="FFFFE08A"/>
          <bgColor rgb="FFFFE08A"/>
        </patternFill>
      </fill>
    </dxf>
    <dxf>
      <fill>
        <patternFill patternType="solid">
          <fgColor rgb="FFFFE08A"/>
          <bgColor rgb="FFFFE08A"/>
        </patternFill>
      </fill>
    </dxf>
    <dxf>
      <fill>
        <patternFill patternType="solid">
          <fgColor rgb="FFFFE08A"/>
          <bgColor rgb="FFFFE08A"/>
        </patternFill>
      </fill>
    </dxf>
    <dxf>
      <fill>
        <patternFill patternType="solid">
          <fgColor rgb="FFFFE08A"/>
          <bgColor rgb="FFFFE08A"/>
        </patternFill>
      </fill>
    </dxf>
    <dxf>
      <fill>
        <patternFill patternType="solid">
          <fgColor rgb="FFFFE08A"/>
          <bgColor rgb="FFFFE08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Cost-effectiveness of watershed plans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Plan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7A8699"/>
                </a:solidFill>
                <a:prstDash val="solid"/>
              </a:ln>
            </c:spPr>
          </c:marker>
          <c:xVal>
            <c:numRef>
              <c:f>Charts!$A$31:$A$34</c:f>
              <c:numCache>
                <c:formatCode>#,##0.000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xVal>
          <c:yVal>
            <c:numRef>
              <c:f>Charts!$B$31:$B$34</c:f>
              <c:numCache>
                <c:formatCode>"$"#,##0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B-4A10-83C8-6B0554881A5D}"/>
            </c:ext>
          </c:extLst>
        </c:ser>
        <c:ser>
          <c:idx val="1"/>
          <c:order val="1"/>
          <c:tx>
            <c:v>Cost-effective frontier</c:v>
          </c:tx>
          <c:spPr>
            <a:ln w="25400">
              <a:solidFill>
                <a:srgbClr val="2F4B7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F4B7C"/>
              </a:solidFill>
              <a:ln w="9525">
                <a:solidFill>
                  <a:srgbClr val="2F4B7C"/>
                </a:solidFill>
                <a:prstDash val="solid"/>
              </a:ln>
            </c:spPr>
          </c:marker>
          <c:xVal>
            <c:numRef>
              <c:f>Charts!$C$31:$C$34</c:f>
              <c:numCache>
                <c:formatCode>#,##0.000</c:formatCode>
                <c:ptCount val="4"/>
                <c:pt idx="0">
                  <c:v>0</c:v>
                </c:pt>
                <c:pt idx="1">
                  <c:v>6.2080000000000002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xVal>
          <c:yVal>
            <c:numRef>
              <c:f>Charts!$D$31:$D$34</c:f>
              <c:numCache>
                <c:formatCode>"$"#,##0</c:formatCode>
                <c:ptCount val="4"/>
                <c:pt idx="0">
                  <c:v>0</c:v>
                </c:pt>
                <c:pt idx="1">
                  <c:v>18711.72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9B-4A10-83C8-6B0554881A5D}"/>
            </c:ext>
          </c:extLst>
        </c:ser>
        <c:ser>
          <c:idx val="2"/>
          <c:order val="2"/>
          <c:tx>
            <c:v>Best buy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noFill/>
              <a:ln w="22225">
                <a:solidFill>
                  <a:srgbClr val="2F4B7C"/>
                </a:solidFill>
                <a:prstDash val="solid"/>
              </a:ln>
            </c:spPr>
          </c:marker>
          <c:xVal>
            <c:numRef>
              <c:f>Charts!$E$31:$E$34</c:f>
              <c:numCache>
                <c:formatCode>#,##0.000</c:formatCode>
                <c:ptCount val="4"/>
                <c:pt idx="0">
                  <c:v>0</c:v>
                </c:pt>
                <c:pt idx="1">
                  <c:v>6.2080000000000002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xVal>
          <c:yVal>
            <c:numRef>
              <c:f>Charts!$F$31:$F$34</c:f>
              <c:numCache>
                <c:formatCode>"$"#,##0</c:formatCode>
                <c:ptCount val="4"/>
                <c:pt idx="0">
                  <c:v>0</c:v>
                </c:pt>
                <c:pt idx="1">
                  <c:v>18711.72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9B-4A10-83C8-6B0554881A5D}"/>
            </c:ext>
          </c:extLst>
        </c:ser>
        <c:ser>
          <c:idx val="3"/>
          <c:order val="3"/>
          <c:tx>
            <c:v>Tentatively selected plan</c:v>
          </c:tx>
          <c:spPr>
            <a:ln>
              <a:noFill/>
              <a:prstDash val="solid"/>
            </a:ln>
          </c:spPr>
          <c:marker>
            <c:symbol val="circle"/>
            <c:size val="14"/>
            <c:spPr>
              <a:noFill/>
              <a:ln w="22225">
                <a:solidFill>
                  <a:srgbClr val="1A7F37"/>
                </a:solidFill>
                <a:prstDash val="solid"/>
              </a:ln>
            </c:spPr>
          </c:marker>
          <c:xVal>
            <c:numRef>
              <c:f>Charts!$M$31</c:f>
              <c:numCache>
                <c:formatCode>#,##0.000</c:formatCode>
                <c:ptCount val="1"/>
                <c:pt idx="0">
                  <c:v>#N/A</c:v>
                </c:pt>
              </c:numCache>
            </c:numRef>
          </c:xVal>
          <c:yVal>
            <c:numRef>
              <c:f>Charts!$N$31</c:f>
              <c:numCache>
                <c:formatCode>"$"#,##0</c:formatCode>
                <c:ptCount val="1"/>
                <c:pt idx="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9B-4A10-83C8-6B055488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525">
            <a:solidFill>
              <a:srgbClr val="98A1B3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6F80"/>
                </a:solidFill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>
              <a:solidFill>
                <a:srgbClr val="E5E8EE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Average annual cost</a:t>
                </a:r>
              </a:p>
            </c:rich>
          </c:tx>
          <c:overlay val="0"/>
        </c:title>
        <c:numFmt formatCode="&quot;$&quot;#,##0" sourceLinked="0"/>
        <c:majorTickMark val="out"/>
        <c:minorTickMark val="none"/>
        <c:tickLblPos val="nextTo"/>
        <c:spPr>
          <a:ln w="9525">
            <a:solidFill>
              <a:srgbClr val="98A1B3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6F80"/>
                </a:solidFill>
              </a:defRPr>
            </a:pPr>
            <a:endParaRPr lang="en-US"/>
          </a:p>
        </c:txPr>
        <c:crossAx val="10"/>
        <c:crosses val="autoZero"/>
        <c:crossBetween val="midCat"/>
      </c:valAx>
    </c:plotArea>
    <c:legend>
      <c:legendPos val="t"/>
      <c:overlay val="0"/>
      <c:txPr>
        <a:bodyPr/>
        <a:lstStyle/>
        <a:p>
          <a:pPr>
            <a:defRPr sz="800" b="0">
              <a:solidFill>
                <a:srgbClr val="33415C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E5E8EE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Incremental cost of best-buy plans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Best-buy step</c:v>
          </c:tx>
          <c:spPr>
            <a:ln w="19050">
              <a:solidFill>
                <a:srgbClr val="2F4B7C"/>
              </a:solidFill>
              <a:prstDash val="solid"/>
            </a:ln>
          </c:spPr>
          <c:marker>
            <c:symbol val="none"/>
          </c:marker>
          <c:xVal>
            <c:numRef>
              <c:f>Charts!$G$31:$G$47</c:f>
              <c:numCache>
                <c:formatCode>#,##0.000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6.2080000000000002</c:v>
                </c:pt>
                <c:pt idx="3">
                  <c:v>6.2080000000000002</c:v>
                </c:pt>
                <c:pt idx="4">
                  <c:v>6.2080000000000002</c:v>
                </c:pt>
                <c:pt idx="5">
                  <c:v>6.2080000000000002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xVal>
          <c:yVal>
            <c:numRef>
              <c:f>Charts!$H$31:$H$47</c:f>
              <c:numCache>
                <c:formatCode>"$"#,##0</c:formatCode>
                <c:ptCount val="17"/>
                <c:pt idx="0">
                  <c:v>0</c:v>
                </c:pt>
                <c:pt idx="1">
                  <c:v>3014.1301546391755</c:v>
                </c:pt>
                <c:pt idx="2">
                  <c:v>3014.1301546391755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9-4DF7-B306-208A67AF5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525">
            <a:solidFill>
              <a:srgbClr val="98A1B3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6F80"/>
                </a:solidFill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>
              <a:solidFill>
                <a:srgbClr val="E5E8EE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Incremental cost per AAHU</a:t>
                </a:r>
              </a:p>
            </c:rich>
          </c:tx>
          <c:overlay val="0"/>
        </c:title>
        <c:numFmt formatCode="&quot;$&quot;#,##0" sourceLinked="0"/>
        <c:majorTickMark val="out"/>
        <c:minorTickMark val="none"/>
        <c:tickLblPos val="nextTo"/>
        <c:spPr>
          <a:ln w="9525">
            <a:solidFill>
              <a:srgbClr val="98A1B3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6F80"/>
                </a:solidFill>
              </a:defRPr>
            </a:pPr>
            <a:endParaRPr lang="en-US"/>
          </a:p>
        </c:txPr>
        <c:crossAx val="10"/>
        <c:crosses val="autoZero"/>
        <c:crossBetween val="midCat"/>
      </c:valAx>
    </c:plotArea>
    <c:legend>
      <c:legendPos val="t"/>
      <c:overlay val="0"/>
      <c:txPr>
        <a:bodyPr/>
        <a:lstStyle/>
        <a:p>
          <a:pPr>
            <a:defRPr sz="800" b="0">
              <a:solidFill>
                <a:srgbClr val="33415C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E5E8EE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76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576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tabSelected="1" workbookViewId="0"/>
  </sheetViews>
  <sheetFormatPr defaultRowHeight="15" x14ac:dyDescent="0.25"/>
  <cols>
    <col min="1" max="1" width="34" customWidth="1"/>
    <col min="2" max="2" width="70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10" spans="1:2" x14ac:dyDescent="0.25">
      <c r="A10" s="3" t="s">
        <v>12</v>
      </c>
      <c r="B10" s="5" t="str">
        <f>IF(B11=0,IF(B12=0,"Unchanged: matches the CEICA export","ERROR: results differ from the export although no input changed"),"Edited: "&amp;B11&amp;" input cells changed since the export")</f>
        <v>Edited: 3 input cells changed since the export</v>
      </c>
    </row>
    <row r="11" spans="1:2" x14ac:dyDescent="0.25">
      <c r="A11" s="4" t="s">
        <v>13</v>
      </c>
      <c r="B11" s="6">
        <f>(SUMPRODUCT(1*(Parameters!B4:B10&lt;&gt;'snap Parameters'!B4:B10))+SUMPRODUCT(1*(Parameters!B14:D14&lt;&gt;'snap Parameters'!B14:D14))+SUMPRODUCT(1*(Benefits!L6:N10&lt;&gt;'snap Benefits'!L6:N10))+SUMPRODUCT(1*(Benefits!F11:K15&lt;&gt;'snap Benefits'!F11:K15))+SUMPRODUCT(1*(Benefits!O16:O20&lt;&gt;'snap Benefits'!O16:O20))+SUMPRODUCT(1*(Costs!D6:G10&lt;&gt;'snap Costs'!D6:G10))+SUMPRODUCT(1*(Costs!L6:L10&lt;&gt;'snap Costs'!L6:L10))+SUMPRODUCT(1*(Sites!C5:C6&lt;&gt;'snap Sites'!C5:C6))+SUMPRODUCT(1*('Watershed plans'!Z12:Z15&lt;&gt;'snap Watershed plans'!Z12:Z15))+SUMPRODUCT(1*('Watershed summary'!K50:L89&lt;&gt;'snap Watershed summary'!K50:L89))+SUMPRODUCT(1*('Watershed summary'!B93:B93&lt;&gt;'snap Watershed summary'!B93:B93)))</f>
        <v>3</v>
      </c>
    </row>
    <row r="12" spans="1:2" x14ac:dyDescent="0.25">
      <c r="A12" s="4" t="s">
        <v>14</v>
      </c>
      <c r="B12" s="6">
        <f>(SUMPRODUCT(1*(ABS(Summary!G5:G9-'snap Summary'!G5:G9)&gt;0.000001))+SUMPRODUCT(1*(ABS(Summary!L5:L9-'snap Summary'!L5:L9)&gt;0.0001))+SUMPRODUCT(1*('Site CE-ICA'!L6:L8&lt;&gt;'snap Site CE-ICA'!L6:L8))+SUMPRODUCT(1*('Site CE-ICA'!P6:P8&lt;&gt;'snap Site CE-ICA'!P6:P8))+SUMPRODUCT(1*('Site CE-ICA'!L11:L12&lt;&gt;'snap Site CE-ICA'!L11:L12))+SUMPRODUCT(1*('Site CE-ICA'!P11:P12&lt;&gt;'snap Site CE-ICA'!P11:P12))+SUMPRODUCT(1*('Watershed plans'!N12:N15&lt;&gt;'snap Watershed plans'!N12:N15))+SUMPRODUCT(1*('Watershed plans'!R12:R15&lt;&gt;'snap Watershed plans'!R12:R15)))</f>
        <v>6</v>
      </c>
    </row>
    <row r="14" spans="1:2" x14ac:dyDescent="0.25">
      <c r="A14" s="7" t="s">
        <v>15</v>
      </c>
    </row>
    <row r="15" spans="1:2" x14ac:dyDescent="0.25">
      <c r="A15" t="s">
        <v>16</v>
      </c>
    </row>
    <row r="16" spans="1:2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20" spans="1:1" x14ac:dyDescent="0.25">
      <c r="A20" s="7" t="s">
        <v>20</v>
      </c>
    </row>
    <row r="21" spans="1:1" x14ac:dyDescent="0.25">
      <c r="A21" s="8" t="s">
        <v>21</v>
      </c>
    </row>
    <row r="22" spans="1:1" x14ac:dyDescent="0.25">
      <c r="A22" s="9" t="s">
        <v>22</v>
      </c>
    </row>
    <row r="23" spans="1:1" x14ac:dyDescent="0.25">
      <c r="A23" s="10" t="s">
        <v>23</v>
      </c>
    </row>
  </sheetData>
  <sheetProtection password="C644" sheet="1" formatColumns="0" formatRows="0" sort="0" autoFilter="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/>
  </sheetViews>
  <sheetFormatPr defaultRowHeight="15" x14ac:dyDescent="0.25"/>
  <cols>
    <col min="1" max="1" width="62" customWidth="1"/>
    <col min="2" max="2" width="18" customWidth="1"/>
  </cols>
  <sheetData>
    <row r="1" spans="1:4" ht="18.75" x14ac:dyDescent="0.3">
      <c r="A1" s="1" t="s">
        <v>24</v>
      </c>
    </row>
    <row r="2" spans="1:4" x14ac:dyDescent="0.25">
      <c r="A2" s="2" t="s">
        <v>25</v>
      </c>
    </row>
    <row r="3" spans="1:4" x14ac:dyDescent="0.25">
      <c r="A3" s="11" t="s">
        <v>26</v>
      </c>
      <c r="B3" s="11" t="s">
        <v>27</v>
      </c>
    </row>
    <row r="4" spans="1:4" x14ac:dyDescent="0.25">
      <c r="A4" s="4" t="s">
        <v>8</v>
      </c>
      <c r="B4" s="12">
        <v>0.04</v>
      </c>
    </row>
    <row r="5" spans="1:4" x14ac:dyDescent="0.25">
      <c r="A5" s="4" t="s">
        <v>28</v>
      </c>
      <c r="B5" s="13">
        <v>50</v>
      </c>
    </row>
    <row r="6" spans="1:4" x14ac:dyDescent="0.25">
      <c r="A6" s="4" t="s">
        <v>29</v>
      </c>
      <c r="B6" s="13">
        <v>12</v>
      </c>
    </row>
    <row r="7" spans="1:4" x14ac:dyDescent="0.25">
      <c r="A7" s="4" t="s">
        <v>30</v>
      </c>
      <c r="B7" s="14" t="s">
        <v>31</v>
      </c>
    </row>
    <row r="8" spans="1:4" x14ac:dyDescent="0.25">
      <c r="A8" s="4" t="s">
        <v>32</v>
      </c>
      <c r="B8" s="14" t="s">
        <v>33</v>
      </c>
    </row>
    <row r="9" spans="1:4" x14ac:dyDescent="0.25">
      <c r="A9" s="4" t="s">
        <v>34</v>
      </c>
      <c r="B9" s="13">
        <v>2</v>
      </c>
    </row>
    <row r="10" spans="1:4" x14ac:dyDescent="0.25">
      <c r="A10" s="4" t="s">
        <v>35</v>
      </c>
      <c r="B10" s="13">
        <v>3</v>
      </c>
    </row>
    <row r="11" spans="1:4" x14ac:dyDescent="0.25">
      <c r="A11" s="3" t="s">
        <v>36</v>
      </c>
      <c r="B11" s="15">
        <f>IF(in_rate=0,1/in_poa,in_rate*(1+in_rate)^in_poa/((1+in_rate)^in_poa-1))</f>
        <v>4.6550200449541529E-2</v>
      </c>
    </row>
    <row r="13" spans="1:4" x14ac:dyDescent="0.25">
      <c r="A13" s="11" t="s">
        <v>37</v>
      </c>
      <c r="B13" s="11" t="s">
        <v>38</v>
      </c>
      <c r="C13" s="11" t="s">
        <v>39</v>
      </c>
      <c r="D13" s="11" t="s">
        <v>40</v>
      </c>
    </row>
    <row r="14" spans="1:4" x14ac:dyDescent="0.25">
      <c r="A14" s="4" t="s">
        <v>41</v>
      </c>
      <c r="B14" s="16">
        <v>0</v>
      </c>
      <c r="C14" s="16">
        <v>5</v>
      </c>
      <c r="D14" s="16">
        <v>50</v>
      </c>
    </row>
  </sheetData>
  <sheetProtection password="C644" sheet="1" formatColumns="0" formatRows="0" sort="0" autoFilter="0"/>
  <dataValidations count="2">
    <dataValidation type="list" sqref="B7" xr:uid="{00000000-0002-0000-0100-000000000000}">
      <formula1>"END,MIDDLE,START"</formula1>
    </dataValidation>
    <dataValidation type="list" sqref="B8" xr:uid="{00000000-0002-0000-0100-000001000000}">
      <formula1>"END_OF_YEAR,MID_YEAR"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100-000001000000}">
            <xm:f>B4&lt;&gt;'snap Parameters'!B4</xm:f>
            <x14:dxf>
              <fill>
                <patternFill patternType="solid">
                  <fgColor rgb="FFFFE08A"/>
                  <bgColor rgb="FFFFE08A"/>
                </patternFill>
              </fill>
            </x14:dxf>
          </x14:cfRule>
          <xm:sqref>B4:B10</xm:sqref>
        </x14:conditionalFormatting>
        <x14:conditionalFormatting xmlns:xm="http://schemas.microsoft.com/office/excel/2006/main">
          <x14:cfRule type="expression" priority="2" id="{00000000-000E-0000-0100-000002000000}">
            <xm:f>B14&lt;&gt;'snap Parameters'!B14</xm:f>
            <x14:dxf>
              <fill>
                <patternFill patternType="solid">
                  <fgColor rgb="FFFFE08A"/>
                  <bgColor rgb="FFFFE08A"/>
                </patternFill>
              </fill>
            </x14:dxf>
          </x14:cfRule>
          <xm:sqref>B14:D14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"/>
  <sheetViews>
    <sheetView showGridLines="0" workbookViewId="0">
      <pane xSplit="5" ySplit="5" topLeftCell="F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hidden="1" customWidth="1"/>
    <col min="2" max="2" width="9" customWidth="1"/>
    <col min="3" max="3" width="14" customWidth="1"/>
    <col min="4" max="4" width="22" customWidth="1"/>
    <col min="5" max="5" width="18" customWidth="1"/>
    <col min="6" max="14" width="11" customWidth="1"/>
    <col min="15" max="15" width="14" customWidth="1"/>
  </cols>
  <sheetData>
    <row r="1" spans="1:15" ht="18.75" x14ac:dyDescent="0.3">
      <c r="A1" s="1" t="s">
        <v>42</v>
      </c>
    </row>
    <row r="2" spans="1:15" x14ac:dyDescent="0.25">
      <c r="A2" s="2" t="s">
        <v>43</v>
      </c>
    </row>
    <row r="4" spans="1:15" ht="30" x14ac:dyDescent="0.25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29" t="s">
        <v>49</v>
      </c>
      <c r="G4" s="30"/>
      <c r="H4" s="30"/>
      <c r="I4" s="29" t="s">
        <v>50</v>
      </c>
      <c r="J4" s="30"/>
      <c r="K4" s="30"/>
      <c r="L4" s="29" t="s">
        <v>51</v>
      </c>
      <c r="M4" s="30"/>
      <c r="N4" s="30"/>
      <c r="O4" s="11" t="s">
        <v>52</v>
      </c>
    </row>
    <row r="5" spans="1:15" x14ac:dyDescent="0.25">
      <c r="A5" s="11"/>
      <c r="B5" s="11"/>
      <c r="C5" s="11"/>
      <c r="D5" s="11"/>
      <c r="E5" s="11"/>
      <c r="F5" s="17">
        <f>Parameters!$B$14</f>
        <v>0</v>
      </c>
      <c r="G5" s="17">
        <f>Parameters!$C$14</f>
        <v>5</v>
      </c>
      <c r="H5" s="17">
        <f>Parameters!$D$14</f>
        <v>50</v>
      </c>
      <c r="I5" s="17">
        <f>Parameters!$B$14</f>
        <v>0</v>
      </c>
      <c r="J5" s="17">
        <f>Parameters!$C$14</f>
        <v>5</v>
      </c>
      <c r="K5" s="17">
        <f>Parameters!$D$14</f>
        <v>50</v>
      </c>
      <c r="L5" s="17">
        <f>Parameters!$B$14</f>
        <v>0</v>
      </c>
      <c r="M5" s="17">
        <f>Parameters!$C$14</f>
        <v>5</v>
      </c>
      <c r="N5" s="17">
        <f>Parameters!$D$14</f>
        <v>50</v>
      </c>
      <c r="O5" s="11"/>
    </row>
    <row r="6" spans="1:15" x14ac:dyDescent="0.25">
      <c r="A6" s="9" t="str">
        <f t="shared" ref="A6:A20" si="0">B6&amp;"|"&amp;C6</f>
        <v>A|NA</v>
      </c>
      <c r="B6" s="4" t="s">
        <v>53</v>
      </c>
      <c r="C6" s="4" t="s">
        <v>54</v>
      </c>
      <c r="D6" s="4" t="s">
        <v>55</v>
      </c>
      <c r="E6" s="4" t="s">
        <v>56</v>
      </c>
      <c r="L6" s="18">
        <v>1</v>
      </c>
      <c r="M6" s="18">
        <v>1</v>
      </c>
      <c r="N6" s="18">
        <v>1</v>
      </c>
      <c r="O6" s="19">
        <f t="shared" ref="O6:O15" si="1">SUMPRODUCT($M$5:$N$5-$L$5:$M$5,(M6:N6+L6:M6)/2)/($N$5-$L$5)</f>
        <v>1</v>
      </c>
    </row>
    <row r="7" spans="1:15" x14ac:dyDescent="0.25">
      <c r="A7" s="9" t="str">
        <f t="shared" si="0"/>
        <v>A|A1</v>
      </c>
      <c r="B7" s="4" t="s">
        <v>53</v>
      </c>
      <c r="C7" s="4" t="s">
        <v>57</v>
      </c>
      <c r="D7" s="4" t="s">
        <v>55</v>
      </c>
      <c r="E7" s="4" t="s">
        <v>56</v>
      </c>
      <c r="L7" s="18">
        <v>1</v>
      </c>
      <c r="M7" s="18">
        <v>4</v>
      </c>
      <c r="N7" s="18">
        <v>5</v>
      </c>
      <c r="O7" s="19">
        <f t="shared" si="1"/>
        <v>4.3</v>
      </c>
    </row>
    <row r="8" spans="1:15" x14ac:dyDescent="0.25">
      <c r="A8" s="9" t="str">
        <f t="shared" si="0"/>
        <v>A|A2</v>
      </c>
      <c r="B8" s="4" t="s">
        <v>53</v>
      </c>
      <c r="C8" s="4" t="s">
        <v>58</v>
      </c>
      <c r="D8" s="4" t="s">
        <v>55</v>
      </c>
      <c r="E8" s="4" t="s">
        <v>56</v>
      </c>
      <c r="L8" s="18">
        <v>1</v>
      </c>
      <c r="M8" s="18">
        <v>2</v>
      </c>
      <c r="N8" s="18">
        <v>2.5</v>
      </c>
      <c r="O8" s="19">
        <f t="shared" si="1"/>
        <v>2.1749999999999998</v>
      </c>
    </row>
    <row r="9" spans="1:15" x14ac:dyDescent="0.25">
      <c r="A9" s="9" t="str">
        <f t="shared" si="0"/>
        <v>B|NA</v>
      </c>
      <c r="B9" s="4" t="s">
        <v>59</v>
      </c>
      <c r="C9" s="4" t="s">
        <v>54</v>
      </c>
      <c r="D9" s="4" t="s">
        <v>55</v>
      </c>
      <c r="E9" s="4" t="s">
        <v>56</v>
      </c>
      <c r="L9" s="18">
        <v>2</v>
      </c>
      <c r="M9" s="18">
        <v>2</v>
      </c>
      <c r="N9" s="18">
        <v>2</v>
      </c>
      <c r="O9" s="19">
        <f t="shared" si="1"/>
        <v>2</v>
      </c>
    </row>
    <row r="10" spans="1:15" x14ac:dyDescent="0.25">
      <c r="A10" s="9" t="str">
        <f t="shared" si="0"/>
        <v>B|B1</v>
      </c>
      <c r="B10" s="4" t="s">
        <v>59</v>
      </c>
      <c r="C10" s="4" t="s">
        <v>60</v>
      </c>
      <c r="D10" s="4" t="s">
        <v>55</v>
      </c>
      <c r="E10" s="4" t="s">
        <v>56</v>
      </c>
      <c r="L10" s="18">
        <v>2</v>
      </c>
      <c r="M10" s="18">
        <v>5</v>
      </c>
      <c r="N10" s="18">
        <v>6</v>
      </c>
      <c r="O10" s="19">
        <f t="shared" si="1"/>
        <v>5.3</v>
      </c>
    </row>
    <row r="11" spans="1:15" x14ac:dyDescent="0.25">
      <c r="A11" s="9" t="str">
        <f t="shared" si="0"/>
        <v>A|NA</v>
      </c>
      <c r="B11" s="4" t="s">
        <v>53</v>
      </c>
      <c r="C11" s="4" t="s">
        <v>54</v>
      </c>
      <c r="D11" s="4" t="s">
        <v>61</v>
      </c>
      <c r="E11" s="4" t="s">
        <v>62</v>
      </c>
      <c r="F11" s="20">
        <v>0.2</v>
      </c>
      <c r="G11" s="20">
        <v>0.2</v>
      </c>
      <c r="H11" s="20">
        <v>0.2</v>
      </c>
      <c r="I11" s="18">
        <v>3</v>
      </c>
      <c r="J11" s="18">
        <v>3</v>
      </c>
      <c r="K11" s="18">
        <v>3</v>
      </c>
      <c r="L11" s="19">
        <f t="shared" ref="L11:N15" si="2">F11*I11</f>
        <v>0.60000000000000009</v>
      </c>
      <c r="M11" s="19">
        <f t="shared" si="2"/>
        <v>0.60000000000000009</v>
      </c>
      <c r="N11" s="19">
        <f t="shared" si="2"/>
        <v>0.60000000000000009</v>
      </c>
      <c r="O11" s="19">
        <f t="shared" si="1"/>
        <v>0.60000000000000009</v>
      </c>
    </row>
    <row r="12" spans="1:15" x14ac:dyDescent="0.25">
      <c r="A12" s="9" t="str">
        <f t="shared" si="0"/>
        <v>A|A1</v>
      </c>
      <c r="B12" s="4" t="s">
        <v>53</v>
      </c>
      <c r="C12" s="4" t="s">
        <v>57</v>
      </c>
      <c r="D12" s="4" t="s">
        <v>61</v>
      </c>
      <c r="E12" s="4" t="s">
        <v>62</v>
      </c>
      <c r="F12" s="20">
        <v>0.2</v>
      </c>
      <c r="G12" s="20">
        <v>0.5</v>
      </c>
      <c r="H12" s="20">
        <v>0.7</v>
      </c>
      <c r="I12" s="18">
        <v>3</v>
      </c>
      <c r="J12" s="18">
        <v>3.5</v>
      </c>
      <c r="K12" s="18">
        <v>3.5</v>
      </c>
      <c r="L12" s="19">
        <f t="shared" si="2"/>
        <v>0.60000000000000009</v>
      </c>
      <c r="M12" s="19">
        <f t="shared" si="2"/>
        <v>1.75</v>
      </c>
      <c r="N12" s="19">
        <f t="shared" si="2"/>
        <v>2.4499999999999997</v>
      </c>
      <c r="O12" s="19">
        <f t="shared" si="1"/>
        <v>2.0074999999999998</v>
      </c>
    </row>
    <row r="13" spans="1:15" x14ac:dyDescent="0.25">
      <c r="A13" s="9" t="str">
        <f t="shared" si="0"/>
        <v>A|A2</v>
      </c>
      <c r="B13" s="4" t="s">
        <v>53</v>
      </c>
      <c r="C13" s="4" t="s">
        <v>58</v>
      </c>
      <c r="D13" s="4" t="s">
        <v>61</v>
      </c>
      <c r="E13" s="4" t="s">
        <v>62</v>
      </c>
      <c r="F13" s="20">
        <v>0.2</v>
      </c>
      <c r="G13" s="20">
        <v>0.6</v>
      </c>
      <c r="H13" s="20">
        <v>0.8</v>
      </c>
      <c r="I13" s="18">
        <v>3</v>
      </c>
      <c r="J13" s="18">
        <v>3</v>
      </c>
      <c r="K13" s="18">
        <v>3</v>
      </c>
      <c r="L13" s="19">
        <f t="shared" si="2"/>
        <v>0.60000000000000009</v>
      </c>
      <c r="M13" s="19">
        <f t="shared" si="2"/>
        <v>1.7999999999999998</v>
      </c>
      <c r="N13" s="19">
        <f t="shared" si="2"/>
        <v>2.4000000000000004</v>
      </c>
      <c r="O13" s="19">
        <f t="shared" si="1"/>
        <v>2.0099999999999998</v>
      </c>
    </row>
    <row r="14" spans="1:15" x14ac:dyDescent="0.25">
      <c r="A14" s="9" t="str">
        <f t="shared" si="0"/>
        <v>B|NA</v>
      </c>
      <c r="B14" s="4" t="s">
        <v>59</v>
      </c>
      <c r="C14" s="4" t="s">
        <v>54</v>
      </c>
      <c r="D14" s="4" t="s">
        <v>61</v>
      </c>
      <c r="E14" s="4" t="s">
        <v>62</v>
      </c>
      <c r="F14" s="20">
        <v>0.4</v>
      </c>
      <c r="G14" s="20">
        <v>0.4</v>
      </c>
      <c r="H14" s="20">
        <v>0.4</v>
      </c>
      <c r="I14" s="18">
        <v>1</v>
      </c>
      <c r="J14" s="18">
        <v>1</v>
      </c>
      <c r="K14" s="18">
        <v>1</v>
      </c>
      <c r="L14" s="19">
        <f t="shared" si="2"/>
        <v>0.4</v>
      </c>
      <c r="M14" s="19">
        <f t="shared" si="2"/>
        <v>0.4</v>
      </c>
      <c r="N14" s="19">
        <f t="shared" si="2"/>
        <v>0.4</v>
      </c>
      <c r="O14" s="19">
        <f t="shared" si="1"/>
        <v>0.4</v>
      </c>
    </row>
    <row r="15" spans="1:15" x14ac:dyDescent="0.25">
      <c r="A15" s="9" t="str">
        <f t="shared" si="0"/>
        <v>B|B1</v>
      </c>
      <c r="B15" s="4" t="s">
        <v>59</v>
      </c>
      <c r="C15" s="4" t="s">
        <v>60</v>
      </c>
      <c r="D15" s="4" t="s">
        <v>61</v>
      </c>
      <c r="E15" s="4" t="s">
        <v>62</v>
      </c>
      <c r="F15" s="20">
        <v>0.4</v>
      </c>
      <c r="G15" s="20">
        <v>0.4</v>
      </c>
      <c r="H15" s="20">
        <v>0.9</v>
      </c>
      <c r="I15" s="18">
        <v>1</v>
      </c>
      <c r="J15" s="18">
        <v>1</v>
      </c>
      <c r="K15" s="18">
        <v>2</v>
      </c>
      <c r="L15" s="19">
        <f t="shared" si="2"/>
        <v>0.4</v>
      </c>
      <c r="M15" s="19">
        <f t="shared" si="2"/>
        <v>0.4</v>
      </c>
      <c r="N15" s="19">
        <f t="shared" si="2"/>
        <v>1.8</v>
      </c>
      <c r="O15" s="19">
        <f t="shared" si="1"/>
        <v>1.0300000000000002</v>
      </c>
    </row>
    <row r="16" spans="1:15" x14ac:dyDescent="0.25">
      <c r="A16" s="9" t="str">
        <f t="shared" si="0"/>
        <v>A|NA</v>
      </c>
      <c r="B16" s="4" t="s">
        <v>53</v>
      </c>
      <c r="C16" s="4" t="s">
        <v>54</v>
      </c>
      <c r="D16" s="4" t="s">
        <v>63</v>
      </c>
      <c r="E16" s="4" t="s">
        <v>64</v>
      </c>
      <c r="O16" s="18">
        <v>0</v>
      </c>
    </row>
    <row r="17" spans="1:15" x14ac:dyDescent="0.25">
      <c r="A17" s="9" t="str">
        <f t="shared" si="0"/>
        <v>A|A1</v>
      </c>
      <c r="B17" s="4" t="s">
        <v>53</v>
      </c>
      <c r="C17" s="4" t="s">
        <v>57</v>
      </c>
      <c r="D17" s="4" t="s">
        <v>63</v>
      </c>
      <c r="E17" s="4" t="s">
        <v>64</v>
      </c>
      <c r="O17" s="18">
        <v>1.5</v>
      </c>
    </row>
    <row r="18" spans="1:15" x14ac:dyDescent="0.25">
      <c r="A18" s="9" t="str">
        <f t="shared" si="0"/>
        <v>A|A2</v>
      </c>
      <c r="B18" s="4" t="s">
        <v>53</v>
      </c>
      <c r="C18" s="4" t="s">
        <v>58</v>
      </c>
      <c r="D18" s="4" t="s">
        <v>63</v>
      </c>
      <c r="E18" s="4" t="s">
        <v>64</v>
      </c>
      <c r="O18" s="18">
        <v>0.5</v>
      </c>
    </row>
    <row r="19" spans="1:15" x14ac:dyDescent="0.25">
      <c r="A19" s="9" t="str">
        <f t="shared" si="0"/>
        <v>B|NA</v>
      </c>
      <c r="B19" s="4" t="s">
        <v>59</v>
      </c>
      <c r="C19" s="4" t="s">
        <v>54</v>
      </c>
      <c r="D19" s="4" t="s">
        <v>63</v>
      </c>
      <c r="E19" s="4" t="s">
        <v>64</v>
      </c>
      <c r="O19" s="18">
        <v>0</v>
      </c>
    </row>
    <row r="20" spans="1:15" x14ac:dyDescent="0.25">
      <c r="A20" s="9" t="str">
        <f t="shared" si="0"/>
        <v>B|B1</v>
      </c>
      <c r="B20" s="4" t="s">
        <v>59</v>
      </c>
      <c r="C20" s="4" t="s">
        <v>60</v>
      </c>
      <c r="D20" s="4" t="s">
        <v>63</v>
      </c>
      <c r="E20" s="4" t="s">
        <v>64</v>
      </c>
      <c r="O20" s="18">
        <v>2</v>
      </c>
    </row>
  </sheetData>
  <sheetProtection password="C644" sheet="1" formatColumns="0" formatRows="0" sort="0" autoFilter="0"/>
  <mergeCells count="3">
    <mergeCell ref="L4:N4"/>
    <mergeCell ref="F4:H4"/>
    <mergeCell ref="I4:K4"/>
  </mergeCell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F11&lt;&gt;'snap Benefits'!F11</xm:f>
            <x14:dxf>
              <fill>
                <patternFill patternType="solid">
                  <fgColor rgb="FFFFE08A"/>
                  <bgColor rgb="FFFFE08A"/>
                </patternFill>
              </fill>
            </x14:dxf>
          </x14:cfRule>
          <xm:sqref>F11:K15</xm:sqref>
        </x14:conditionalFormatting>
        <x14:conditionalFormatting xmlns:xm="http://schemas.microsoft.com/office/excel/2006/main">
          <x14:cfRule type="expression" priority="1" id="{00000000-000E-0000-0200-000001000000}">
            <xm:f>L6&lt;&gt;'snap Benefits'!L6</xm:f>
            <x14:dxf>
              <fill>
                <patternFill patternType="solid">
                  <fgColor rgb="FFFFE08A"/>
                  <bgColor rgb="FFFFE08A"/>
                </patternFill>
              </fill>
            </x14:dxf>
          </x14:cfRule>
          <xm:sqref>L6:N10</xm:sqref>
        </x14:conditionalFormatting>
        <x14:conditionalFormatting xmlns:xm="http://schemas.microsoft.com/office/excel/2006/main">
          <x14:cfRule type="expression" priority="3" id="{00000000-000E-0000-0200-000003000000}">
            <xm:f>O16&lt;&gt;'snap Benefits'!O16</xm:f>
            <x14:dxf>
              <fill>
                <patternFill patternType="solid">
                  <fgColor rgb="FFFFE08A"/>
                  <bgColor rgb="FFFFE08A"/>
                </patternFill>
              </fill>
            </x14:dxf>
          </x14:cfRule>
          <xm:sqref>O16:O20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hidden="1" customWidth="1"/>
    <col min="2" max="2" width="9" customWidth="1"/>
    <col min="3" max="6" width="14" customWidth="1"/>
    <col min="7" max="7" width="12" customWidth="1"/>
    <col min="8" max="8" width="14" customWidth="1"/>
    <col min="9" max="13" width="15" customWidth="1"/>
    <col min="14" max="18" width="13" customWidth="1"/>
  </cols>
  <sheetData>
    <row r="1" spans="1:18" ht="18.75" x14ac:dyDescent="0.3">
      <c r="A1" s="1" t="s">
        <v>65</v>
      </c>
    </row>
    <row r="2" spans="1:18" x14ac:dyDescent="0.25">
      <c r="A2" s="2" t="s">
        <v>66</v>
      </c>
    </row>
    <row r="3" spans="1:18" x14ac:dyDescent="0.25">
      <c r="N3" s="29" t="s">
        <v>67</v>
      </c>
      <c r="O3" s="30"/>
      <c r="P3" s="30"/>
      <c r="Q3" s="30"/>
      <c r="R3" s="30"/>
    </row>
    <row r="4" spans="1:18" ht="45" x14ac:dyDescent="0.25">
      <c r="A4" s="11" t="s">
        <v>44</v>
      </c>
      <c r="B4" s="11" t="s">
        <v>45</v>
      </c>
      <c r="C4" s="11" t="s">
        <v>46</v>
      </c>
      <c r="D4" s="11" t="s">
        <v>68</v>
      </c>
      <c r="E4" s="11" t="s">
        <v>69</v>
      </c>
      <c r="F4" s="11" t="s">
        <v>70</v>
      </c>
      <c r="G4" s="11" t="s">
        <v>71</v>
      </c>
      <c r="H4" s="11" t="s">
        <v>72</v>
      </c>
      <c r="I4" s="11" t="s">
        <v>73</v>
      </c>
      <c r="J4" s="11" t="s">
        <v>74</v>
      </c>
      <c r="K4" s="11" t="s">
        <v>75</v>
      </c>
      <c r="L4" s="11" t="s">
        <v>76</v>
      </c>
      <c r="M4" s="11" t="s">
        <v>77</v>
      </c>
      <c r="N4" s="11" t="s">
        <v>78</v>
      </c>
      <c r="O4" s="11" t="s">
        <v>69</v>
      </c>
      <c r="P4" s="11" t="s">
        <v>70</v>
      </c>
      <c r="Q4" s="11" t="s">
        <v>73</v>
      </c>
      <c r="R4" s="11" t="s">
        <v>79</v>
      </c>
    </row>
    <row r="5" spans="1:18" ht="24" x14ac:dyDescent="0.25">
      <c r="D5" s="21" t="s">
        <v>80</v>
      </c>
      <c r="E5" s="21" t="s">
        <v>81</v>
      </c>
      <c r="F5" s="21" t="s">
        <v>82</v>
      </c>
      <c r="G5" s="22"/>
      <c r="H5" s="22"/>
      <c r="I5" s="22"/>
      <c r="J5" s="22"/>
      <c r="K5" s="22"/>
      <c r="L5" s="22"/>
      <c r="M5" s="22"/>
    </row>
    <row r="6" spans="1:18" x14ac:dyDescent="0.25">
      <c r="A6" s="9" t="str">
        <f>B6&amp;"|"&amp;C6</f>
        <v>A|NA</v>
      </c>
      <c r="B6" s="4" t="s">
        <v>53</v>
      </c>
      <c r="C6" s="4" t="s">
        <v>54</v>
      </c>
      <c r="D6" s="23">
        <v>0</v>
      </c>
      <c r="E6" s="23"/>
      <c r="F6" s="23"/>
      <c r="G6" s="16">
        <v>4</v>
      </c>
      <c r="H6" s="24">
        <f>D6</f>
        <v>0</v>
      </c>
      <c r="I6" s="25">
        <f>IF(OR(G6=0,in_rate=0,H6=0),0,H6/G6*(IF(in_idc_method="START",1+((1+in_rate)^(1/in_ppy)-1),IF(in_idc_method="MIDDLE",1+((1+in_rate)^(1/in_ppy)-1)/2,1))*((1+in_rate)^(G6/in_ppy)-1)/((1+in_rate)^(1/in_ppy)-1)-G6))</f>
        <v>0</v>
      </c>
      <c r="J6" s="25">
        <f>SUMIFS(OMRRR!$S$5:$S$5,OMRRR!$A$5:$A$5,A6)</f>
        <v>0</v>
      </c>
      <c r="K6" s="25">
        <f>SUM(D6:F6)+I6+J6</f>
        <v>0</v>
      </c>
      <c r="L6" s="26"/>
      <c r="M6" s="25">
        <f>IF(ISNUMBER(L6),L6,calc_crf*K6)</f>
        <v>0</v>
      </c>
      <c r="N6" s="25">
        <f t="shared" ref="N6:P10" si="0">calc_crf*D6</f>
        <v>0</v>
      </c>
      <c r="O6" s="25">
        <f t="shared" si="0"/>
        <v>0</v>
      </c>
      <c r="P6" s="25">
        <f t="shared" si="0"/>
        <v>0</v>
      </c>
      <c r="Q6" s="25">
        <f t="shared" ref="Q6:R10" si="1">calc_crf*I6</f>
        <v>0</v>
      </c>
      <c r="R6" s="25">
        <f t="shared" si="1"/>
        <v>0</v>
      </c>
    </row>
    <row r="7" spans="1:18" x14ac:dyDescent="0.25">
      <c r="A7" s="9" t="str">
        <f>B7&amp;"|"&amp;C7</f>
        <v>A|A1</v>
      </c>
      <c r="B7" s="4" t="s">
        <v>53</v>
      </c>
      <c r="C7" s="4" t="s">
        <v>57</v>
      </c>
      <c r="D7" s="23">
        <v>400000</v>
      </c>
      <c r="E7" s="23"/>
      <c r="F7" s="23"/>
      <c r="G7" s="16">
        <v>4</v>
      </c>
      <c r="H7" s="24">
        <f>D7</f>
        <v>400000</v>
      </c>
      <c r="I7" s="25">
        <f>IF(OR(G7=0,in_rate=0,H7=0),0,H7/G7*(IF(in_idc_method="START",1+((1+in_rate)^(1/in_ppy)-1),IF(in_idc_method="MIDDLE",1+((1+in_rate)^(1/in_ppy)-1)/2,1))*((1+in_rate)^(G7/in_ppy)-1)/((1+in_rate)^(1/in_ppy)-1)-G7))</f>
        <v>1968.5343267654255</v>
      </c>
      <c r="J7" s="25">
        <f>SUMIFS(OMRRR!$S$5:$S$5,OMRRR!$A$5:$A$5,A7)</f>
        <v>0</v>
      </c>
      <c r="K7" s="25">
        <f>SUM(D7:F7)+I7+J7</f>
        <v>401968.53432676545</v>
      </c>
      <c r="L7" s="26"/>
      <c r="M7" s="25">
        <f>IF(ISNUMBER(L7),L7,calc_crf*K7)</f>
        <v>18711.715847319345</v>
      </c>
      <c r="N7" s="25">
        <f t="shared" si="0"/>
        <v>18620.08017981661</v>
      </c>
      <c r="O7" s="25">
        <f t="shared" si="0"/>
        <v>0</v>
      </c>
      <c r="P7" s="25">
        <f t="shared" si="0"/>
        <v>0</v>
      </c>
      <c r="Q7" s="25">
        <f t="shared" si="1"/>
        <v>91.635667502733838</v>
      </c>
      <c r="R7" s="25">
        <f t="shared" si="1"/>
        <v>0</v>
      </c>
    </row>
    <row r="8" spans="1:18" x14ac:dyDescent="0.25">
      <c r="A8" s="9" t="str">
        <f>B8&amp;"|"&amp;C8</f>
        <v>A|A2</v>
      </c>
      <c r="B8" s="4" t="s">
        <v>53</v>
      </c>
      <c r="C8" s="4" t="s">
        <v>58</v>
      </c>
      <c r="D8" s="23">
        <v>180000</v>
      </c>
      <c r="E8" s="23"/>
      <c r="F8" s="23"/>
      <c r="G8" s="16">
        <v>4</v>
      </c>
      <c r="H8" s="24">
        <f>D8</f>
        <v>180000</v>
      </c>
      <c r="I8" s="25">
        <f>IF(OR(G8=0,in_rate=0,H8=0),0,H8/G8*(IF(in_idc_method="START",1+((1+in_rate)^(1/in_ppy)-1),IF(in_idc_method="MIDDLE",1+((1+in_rate)^(1/in_ppy)-1)/2,1))*((1+in_rate)^(G8/in_ppy)-1)/((1+in_rate)^(1/in_ppy)-1)-G8))</f>
        <v>885.84044704444148</v>
      </c>
      <c r="J8" s="25">
        <f>SUMIFS(OMRRR!$S$5:$S$5,OMRRR!$A$5:$A$5,A8)</f>
        <v>0</v>
      </c>
      <c r="K8" s="25">
        <f>SUM(D8:F8)+I8+J8</f>
        <v>180885.84044704444</v>
      </c>
      <c r="L8" s="26"/>
      <c r="M8" s="25">
        <f>IF(ISNUMBER(L8),L8,calc_crf*K8)</f>
        <v>8420.2721312937047</v>
      </c>
      <c r="N8" s="25">
        <f t="shared" si="0"/>
        <v>8379.0360809174745</v>
      </c>
      <c r="O8" s="25">
        <f t="shared" si="0"/>
        <v>0</v>
      </c>
      <c r="P8" s="25">
        <f t="shared" si="0"/>
        <v>0</v>
      </c>
      <c r="Q8" s="25">
        <f t="shared" si="1"/>
        <v>41.236050376230232</v>
      </c>
      <c r="R8" s="25">
        <f t="shared" si="1"/>
        <v>0</v>
      </c>
    </row>
    <row r="9" spans="1:18" x14ac:dyDescent="0.25">
      <c r="A9" s="9" t="str">
        <f>B9&amp;"|"&amp;C9</f>
        <v>B|NA</v>
      </c>
      <c r="B9" s="4" t="s">
        <v>59</v>
      </c>
      <c r="C9" s="4" t="s">
        <v>54</v>
      </c>
      <c r="D9" s="23">
        <v>0</v>
      </c>
      <c r="E9" s="23"/>
      <c r="F9" s="23"/>
      <c r="G9" s="16">
        <v>4</v>
      </c>
      <c r="H9" s="24">
        <f>D9</f>
        <v>0</v>
      </c>
      <c r="I9" s="25">
        <f>IF(OR(G9=0,in_rate=0,H9=0),0,H9/G9*(IF(in_idc_method="START",1+((1+in_rate)^(1/in_ppy)-1),IF(in_idc_method="MIDDLE",1+((1+in_rate)^(1/in_ppy)-1)/2,1))*((1+in_rate)^(G9/in_ppy)-1)/((1+in_rate)^(1/in_ppy)-1)-G9))</f>
        <v>0</v>
      </c>
      <c r="J9" s="25">
        <f>SUMIFS(OMRRR!$S$5:$S$5,OMRRR!$A$5:$A$5,A9)</f>
        <v>0</v>
      </c>
      <c r="K9" s="25">
        <f>SUM(D9:F9)+I9+J9</f>
        <v>0</v>
      </c>
      <c r="L9" s="26"/>
      <c r="M9" s="25">
        <f>IF(ISNUMBER(L9),L9,calc_crf*K9)</f>
        <v>0</v>
      </c>
      <c r="N9" s="25">
        <f t="shared" si="0"/>
        <v>0</v>
      </c>
      <c r="O9" s="25">
        <f t="shared" si="0"/>
        <v>0</v>
      </c>
      <c r="P9" s="25">
        <f t="shared" si="0"/>
        <v>0</v>
      </c>
      <c r="Q9" s="25">
        <f t="shared" si="1"/>
        <v>0</v>
      </c>
      <c r="R9" s="25">
        <f t="shared" si="1"/>
        <v>0</v>
      </c>
    </row>
    <row r="10" spans="1:18" x14ac:dyDescent="0.25">
      <c r="A10" s="9" t="str">
        <f>B10&amp;"|"&amp;C10</f>
        <v>B|B1</v>
      </c>
      <c r="B10" s="4" t="s">
        <v>59</v>
      </c>
      <c r="C10" s="4" t="s">
        <v>60</v>
      </c>
      <c r="D10" s="23">
        <v>300000</v>
      </c>
      <c r="E10" s="23"/>
      <c r="F10" s="23"/>
      <c r="G10" s="16">
        <v>4</v>
      </c>
      <c r="H10" s="24">
        <f>D10</f>
        <v>300000</v>
      </c>
      <c r="I10" s="25">
        <f>IF(OR(G10=0,in_rate=0,H10=0),0,H10/G10*(IF(in_idc_method="START",1+((1+in_rate)^(1/in_ppy)-1),IF(in_idc_method="MIDDLE",1+((1+in_rate)^(1/in_ppy)-1)/2,1))*((1+in_rate)^(G10/in_ppy)-1)/((1+in_rate)^(1/in_ppy)-1)-G10))</f>
        <v>1476.4007450740689</v>
      </c>
      <c r="J10" s="25">
        <f>SUMIFS(OMRRR!$S$5:$S$5,OMRRR!$A$5:$A$5,A10)</f>
        <v>0</v>
      </c>
      <c r="K10" s="25">
        <f>SUM(D10:F10)+I10+J10</f>
        <v>301476.40074507409</v>
      </c>
      <c r="L10" s="26"/>
      <c r="M10" s="25">
        <f>IF(ISNUMBER(L10),L10,calc_crf*K10)</f>
        <v>14033.78688548951</v>
      </c>
      <c r="N10" s="25">
        <f t="shared" si="0"/>
        <v>13965.060134862459</v>
      </c>
      <c r="O10" s="25">
        <f t="shared" si="0"/>
        <v>0</v>
      </c>
      <c r="P10" s="25">
        <f t="shared" si="0"/>
        <v>0</v>
      </c>
      <c r="Q10" s="25">
        <f t="shared" si="1"/>
        <v>68.726750627050379</v>
      </c>
      <c r="R10" s="25">
        <f t="shared" si="1"/>
        <v>0</v>
      </c>
    </row>
  </sheetData>
  <sheetProtection password="C644" sheet="1" formatColumns="0" formatRows="0" sort="0" autoFilter="0"/>
  <mergeCells count="1">
    <mergeCell ref="N3:R3"/>
  </mergeCell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300-000001000000}">
            <xm:f>D6&lt;&gt;'snap Costs'!D6</xm:f>
            <x14:dxf>
              <fill>
                <patternFill patternType="solid">
                  <fgColor rgb="FFFFE08A"/>
                  <bgColor rgb="FFFFE08A"/>
                </patternFill>
              </fill>
            </x14:dxf>
          </x14:cfRule>
          <xm:sqref>D6:G10</xm:sqref>
        </x14:conditionalFormatting>
        <x14:conditionalFormatting xmlns:xm="http://schemas.microsoft.com/office/excel/2006/main">
          <x14:cfRule type="expression" priority="2" id="{00000000-000E-0000-0300-000002000000}">
            <xm:f>L6&lt;&gt;'snap Costs'!L6</xm:f>
            <x14:dxf>
              <fill>
                <patternFill patternType="solid">
                  <fgColor rgb="FFFFE08A"/>
                  <bgColor rgb="FFFFE08A"/>
                </patternFill>
              </fill>
            </x14:dxf>
          </x14:cfRule>
          <xm:sqref>L6:L10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hidden="1" customWidth="1"/>
    <col min="2" max="2" width="9" customWidth="1"/>
    <col min="3" max="3" width="14" customWidth="1"/>
    <col min="4" max="4" width="26" customWidth="1"/>
    <col min="5" max="5" width="9" customWidth="1"/>
    <col min="6" max="6" width="12" customWidth="1"/>
    <col min="7" max="7" width="9" customWidth="1"/>
    <col min="8" max="8" width="13" customWidth="1"/>
    <col min="9" max="9" width="10" customWidth="1"/>
    <col min="10" max="10" width="11" customWidth="1"/>
    <col min="11" max="11" width="9" customWidth="1"/>
    <col min="12" max="13" width="8" customWidth="1"/>
    <col min="14" max="14" width="13" customWidth="1"/>
    <col min="15" max="16" width="7" customWidth="1"/>
    <col min="17" max="17" width="11" customWidth="1"/>
    <col min="18" max="19" width="14" customWidth="1"/>
  </cols>
  <sheetData>
    <row r="1" spans="1:19" ht="18.75" x14ac:dyDescent="0.3">
      <c r="A1" s="1" t="s">
        <v>83</v>
      </c>
    </row>
    <row r="2" spans="1:19" x14ac:dyDescent="0.25">
      <c r="A2" s="2" t="s">
        <v>84</v>
      </c>
    </row>
    <row r="4" spans="1:19" ht="30" x14ac:dyDescent="0.25">
      <c r="A4" s="11" t="s">
        <v>44</v>
      </c>
      <c r="B4" s="11" t="s">
        <v>45</v>
      </c>
      <c r="C4" s="11" t="s">
        <v>46</v>
      </c>
      <c r="D4" s="11" t="s">
        <v>85</v>
      </c>
      <c r="E4" s="11" t="s">
        <v>86</v>
      </c>
      <c r="F4" s="11" t="s">
        <v>87</v>
      </c>
      <c r="G4" s="11" t="s">
        <v>88</v>
      </c>
      <c r="H4" s="11" t="s">
        <v>89</v>
      </c>
      <c r="I4" s="11" t="s">
        <v>90</v>
      </c>
      <c r="J4" s="11" t="s">
        <v>50</v>
      </c>
      <c r="K4" s="11" t="s">
        <v>91</v>
      </c>
      <c r="L4" s="11" t="s">
        <v>92</v>
      </c>
      <c r="M4" s="11" t="s">
        <v>93</v>
      </c>
      <c r="N4" s="11" t="s">
        <v>94</v>
      </c>
      <c r="O4" s="11" t="s">
        <v>95</v>
      </c>
      <c r="P4" s="11" t="s">
        <v>96</v>
      </c>
      <c r="Q4" s="11" t="s">
        <v>97</v>
      </c>
      <c r="R4" s="11" t="s">
        <v>98</v>
      </c>
      <c r="S4" s="11" t="s">
        <v>99</v>
      </c>
    </row>
  </sheetData>
  <sheetProtection password="C644" sheet="1" formatColumns="0" formatRows="0" sort="0" autoFilter="0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hidden="1" customWidth="1"/>
    <col min="2" max="2" width="9" customWidth="1"/>
    <col min="3" max="3" width="14" customWidth="1"/>
    <col min="4" max="4" width="26" customWidth="1"/>
    <col min="5" max="5" width="8" customWidth="1"/>
    <col min="6" max="6" width="13" customWidth="1"/>
    <col min="7" max="7" width="12" customWidth="1"/>
    <col min="8" max="13" width="14" customWidth="1"/>
    <col min="14" max="14" width="13" customWidth="1"/>
  </cols>
  <sheetData>
    <row r="1" spans="1:14" ht="18.75" x14ac:dyDescent="0.3">
      <c r="A1" s="1" t="s">
        <v>100</v>
      </c>
    </row>
    <row r="2" spans="1:14" x14ac:dyDescent="0.25">
      <c r="A2" s="2" t="s">
        <v>101</v>
      </c>
    </row>
    <row r="4" spans="1:14" ht="45" x14ac:dyDescent="0.25">
      <c r="A4" s="11" t="s">
        <v>44</v>
      </c>
      <c r="B4" s="11" t="s">
        <v>45</v>
      </c>
      <c r="C4" s="11" t="s">
        <v>46</v>
      </c>
      <c r="D4" s="11" t="s">
        <v>102</v>
      </c>
      <c r="E4" s="11" t="s">
        <v>103</v>
      </c>
      <c r="F4" s="11" t="s">
        <v>104</v>
      </c>
      <c r="G4" s="11" t="s">
        <v>105</v>
      </c>
      <c r="H4" s="11" t="s">
        <v>106</v>
      </c>
      <c r="I4" s="11" t="s">
        <v>107</v>
      </c>
      <c r="J4" s="11" t="s">
        <v>73</v>
      </c>
      <c r="K4" s="11" t="s">
        <v>74</v>
      </c>
      <c r="L4" s="11" t="s">
        <v>77</v>
      </c>
      <c r="M4" s="11" t="s">
        <v>108</v>
      </c>
      <c r="N4" s="11" t="s">
        <v>109</v>
      </c>
    </row>
    <row r="5" spans="1:14" x14ac:dyDescent="0.25">
      <c r="A5" s="9" t="str">
        <f>B5&amp;"|"&amp;C5</f>
        <v>A|NA</v>
      </c>
      <c r="B5" s="4" t="s">
        <v>53</v>
      </c>
      <c r="C5" s="4" t="s">
        <v>54</v>
      </c>
      <c r="D5" s="4" t="s">
        <v>54</v>
      </c>
      <c r="E5" s="4">
        <v>1</v>
      </c>
      <c r="F5" s="19">
        <f>SUMIFS(Benefits!$O$6:$O$20,Benefits!$A$6:$A$20,A5)</f>
        <v>1.6</v>
      </c>
      <c r="G5" s="19">
        <f>F5-$F$5</f>
        <v>0</v>
      </c>
      <c r="H5" s="24">
        <f>Costs!D6</f>
        <v>0</v>
      </c>
      <c r="I5" s="24">
        <f>SUM(Costs!D6:F6)</f>
        <v>0</v>
      </c>
      <c r="J5" s="24">
        <f>Costs!I6</f>
        <v>0</v>
      </c>
      <c r="K5" s="24">
        <f>Costs!J6</f>
        <v>0</v>
      </c>
      <c r="L5" s="25">
        <f>Costs!M6</f>
        <v>0</v>
      </c>
      <c r="M5" s="25">
        <f>L5-$L$5</f>
        <v>0</v>
      </c>
      <c r="N5" s="24" t="str">
        <f>IF(G5&gt;0,M5/G5,"n/a")</f>
        <v>n/a</v>
      </c>
    </row>
    <row r="6" spans="1:14" x14ac:dyDescent="0.25">
      <c r="A6" s="9" t="str">
        <f>B6&amp;"|"&amp;C6</f>
        <v>A|A1</v>
      </c>
      <c r="B6" s="4" t="s">
        <v>53</v>
      </c>
      <c r="C6" s="4" t="s">
        <v>57</v>
      </c>
      <c r="D6" s="4" t="s">
        <v>57</v>
      </c>
      <c r="E6" s="4">
        <v>0</v>
      </c>
      <c r="F6" s="19">
        <f>SUMIFS(Benefits!$O$6:$O$20,Benefits!$A$6:$A$20,A6)</f>
        <v>7.8074999999999992</v>
      </c>
      <c r="G6" s="19">
        <f>F6-$F$5</f>
        <v>6.2074999999999996</v>
      </c>
      <c r="H6" s="24">
        <f>Costs!D7</f>
        <v>400000</v>
      </c>
      <c r="I6" s="24">
        <f>SUM(Costs!D7:F7)</f>
        <v>400000</v>
      </c>
      <c r="J6" s="24">
        <f>Costs!I7</f>
        <v>1968.5343267654255</v>
      </c>
      <c r="K6" s="24">
        <f>Costs!J7</f>
        <v>0</v>
      </c>
      <c r="L6" s="25">
        <f>Costs!M7</f>
        <v>18711.715847319345</v>
      </c>
      <c r="M6" s="25">
        <f>L6-$L$5</f>
        <v>18711.715847319345</v>
      </c>
      <c r="N6" s="24">
        <f>IF(G6&gt;0,M6/G6,"n/a")</f>
        <v>3014.3722669866042</v>
      </c>
    </row>
    <row r="7" spans="1:14" x14ac:dyDescent="0.25">
      <c r="A7" s="9" t="str">
        <f>B7&amp;"|"&amp;C7</f>
        <v>A|A2</v>
      </c>
      <c r="B7" s="4" t="s">
        <v>53</v>
      </c>
      <c r="C7" s="4" t="s">
        <v>58</v>
      </c>
      <c r="D7" s="4" t="s">
        <v>58</v>
      </c>
      <c r="E7" s="4">
        <v>0</v>
      </c>
      <c r="F7" s="19">
        <f>SUMIFS(Benefits!$O$6:$O$20,Benefits!$A$6:$A$20,A7)</f>
        <v>4.6849999999999996</v>
      </c>
      <c r="G7" s="19">
        <f>F7-$F$5</f>
        <v>3.0849999999999995</v>
      </c>
      <c r="H7" s="24">
        <f>Costs!D8</f>
        <v>180000</v>
      </c>
      <c r="I7" s="24">
        <f>SUM(Costs!D8:F8)</f>
        <v>180000</v>
      </c>
      <c r="J7" s="24">
        <f>Costs!I8</f>
        <v>885.84044704444148</v>
      </c>
      <c r="K7" s="24">
        <f>Costs!J8</f>
        <v>0</v>
      </c>
      <c r="L7" s="25">
        <f>Costs!M8</f>
        <v>8420.2721312937047</v>
      </c>
      <c r="M7" s="25">
        <f>L7-$L$5</f>
        <v>8420.2721312937047</v>
      </c>
      <c r="N7" s="24">
        <f>IF(G7&gt;0,M7/G7,"n/a")</f>
        <v>2729.4237054436649</v>
      </c>
    </row>
    <row r="8" spans="1:14" x14ac:dyDescent="0.25">
      <c r="A8" s="9" t="str">
        <f>B8&amp;"|"&amp;C8</f>
        <v>B|NA</v>
      </c>
      <c r="B8" s="4" t="s">
        <v>59</v>
      </c>
      <c r="C8" s="4" t="s">
        <v>54</v>
      </c>
      <c r="D8" s="4" t="s">
        <v>54</v>
      </c>
      <c r="E8" s="4">
        <v>1</v>
      </c>
      <c r="F8" s="19">
        <f>SUMIFS(Benefits!$O$6:$O$20,Benefits!$A$6:$A$20,A8)</f>
        <v>2.4</v>
      </c>
      <c r="G8" s="19">
        <f>F8-$F$8</f>
        <v>0</v>
      </c>
      <c r="H8" s="24">
        <f>Costs!D9</f>
        <v>0</v>
      </c>
      <c r="I8" s="24">
        <f>SUM(Costs!D9:F9)</f>
        <v>0</v>
      </c>
      <c r="J8" s="24">
        <f>Costs!I9</f>
        <v>0</v>
      </c>
      <c r="K8" s="24">
        <f>Costs!J9</f>
        <v>0</v>
      </c>
      <c r="L8" s="25">
        <f>Costs!M9</f>
        <v>0</v>
      </c>
      <c r="M8" s="25">
        <f>L8-$L$8</f>
        <v>0</v>
      </c>
      <c r="N8" s="24" t="str">
        <f>IF(G8&gt;0,M8/G8,"n/a")</f>
        <v>n/a</v>
      </c>
    </row>
    <row r="9" spans="1:14" x14ac:dyDescent="0.25">
      <c r="A9" s="9" t="str">
        <f>B9&amp;"|"&amp;C9</f>
        <v>B|B1</v>
      </c>
      <c r="B9" s="4" t="s">
        <v>59</v>
      </c>
      <c r="C9" s="4" t="s">
        <v>60</v>
      </c>
      <c r="D9" s="4" t="s">
        <v>60</v>
      </c>
      <c r="E9" s="4">
        <v>0</v>
      </c>
      <c r="F9" s="19">
        <f>SUMIFS(Benefits!$O$6:$O$20,Benefits!$A$6:$A$20,A9)</f>
        <v>8.33</v>
      </c>
      <c r="G9" s="19">
        <f>F9-$F$8</f>
        <v>5.93</v>
      </c>
      <c r="H9" s="24">
        <f>Costs!D10</f>
        <v>300000</v>
      </c>
      <c r="I9" s="24">
        <f>SUM(Costs!D10:F10)</f>
        <v>300000</v>
      </c>
      <c r="J9" s="24">
        <f>Costs!I10</f>
        <v>1476.4007450740689</v>
      </c>
      <c r="K9" s="24">
        <f>Costs!J10</f>
        <v>0</v>
      </c>
      <c r="L9" s="25">
        <f>Costs!M10</f>
        <v>14033.78688548951</v>
      </c>
      <c r="M9" s="25">
        <f>L9-$L$8</f>
        <v>14033.78688548951</v>
      </c>
      <c r="N9" s="24">
        <f>IF(G9&gt;0,M9/G9,"n/a")</f>
        <v>2366.5745169459547</v>
      </c>
    </row>
  </sheetData>
  <sheetProtection password="C644" sheet="1" formatColumns="0" formatRows="0" sort="0" autoFilter="0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2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hidden="1" customWidth="1"/>
    <col min="2" max="2" width="9" customWidth="1"/>
    <col min="3" max="3" width="14" customWidth="1"/>
    <col min="4" max="4" width="24" customWidth="1"/>
    <col min="5" max="5" width="8" customWidth="1"/>
    <col min="6" max="6" width="7" customWidth="1"/>
    <col min="7" max="7" width="11" customWidth="1"/>
    <col min="8" max="8" width="13" customWidth="1"/>
    <col min="9" max="10" width="11" hidden="1" customWidth="1"/>
    <col min="11" max="11" width="8" hidden="1" customWidth="1"/>
    <col min="12" max="12" width="9" customWidth="1"/>
    <col min="13" max="13" width="8" hidden="1" customWidth="1"/>
    <col min="14" max="15" width="11" hidden="1" customWidth="1"/>
    <col min="16" max="16" width="7" customWidth="1"/>
    <col min="17" max="17" width="8" hidden="1" customWidth="1"/>
    <col min="18" max="19" width="11" hidden="1" customWidth="1"/>
    <col min="20" max="20" width="11" customWidth="1"/>
    <col min="21" max="22" width="13" customWidth="1"/>
    <col min="23" max="24" width="11" customWidth="1"/>
  </cols>
  <sheetData>
    <row r="1" spans="1:24" ht="18.75" x14ac:dyDescent="0.3">
      <c r="A1" s="1" t="s">
        <v>110</v>
      </c>
    </row>
    <row r="2" spans="1:24" x14ac:dyDescent="0.25">
      <c r="A2" s="2" t="s">
        <v>111</v>
      </c>
    </row>
    <row r="4" spans="1:24" ht="45" x14ac:dyDescent="0.25">
      <c r="A4" s="11" t="s">
        <v>44</v>
      </c>
      <c r="B4" s="11" t="s">
        <v>45</v>
      </c>
      <c r="C4" s="11" t="s">
        <v>46</v>
      </c>
      <c r="D4" s="11" t="s">
        <v>102</v>
      </c>
      <c r="E4" s="11" t="s">
        <v>103</v>
      </c>
      <c r="F4" s="11" t="s">
        <v>112</v>
      </c>
      <c r="G4" s="11" t="s">
        <v>105</v>
      </c>
      <c r="H4" s="11" t="s">
        <v>108</v>
      </c>
      <c r="I4" s="11" t="s">
        <v>113</v>
      </c>
      <c r="J4" s="11" t="s">
        <v>114</v>
      </c>
      <c r="K4" s="11" t="s">
        <v>115</v>
      </c>
      <c r="L4" s="11" t="s">
        <v>116</v>
      </c>
      <c r="M4" s="11" t="s">
        <v>117</v>
      </c>
      <c r="N4" s="11" t="s">
        <v>118</v>
      </c>
      <c r="O4" s="11" t="s">
        <v>119</v>
      </c>
      <c r="P4" s="11" t="s">
        <v>120</v>
      </c>
      <c r="Q4" s="11" t="s">
        <v>121</v>
      </c>
      <c r="R4" s="11" t="s">
        <v>122</v>
      </c>
      <c r="S4" s="11" t="s">
        <v>123</v>
      </c>
      <c r="T4" s="11" t="s">
        <v>124</v>
      </c>
      <c r="U4" s="11" t="s">
        <v>125</v>
      </c>
      <c r="V4" s="11" t="s">
        <v>126</v>
      </c>
      <c r="W4" s="11" t="s">
        <v>127</v>
      </c>
      <c r="X4" s="11" t="s">
        <v>128</v>
      </c>
    </row>
    <row r="5" spans="1:24" x14ac:dyDescent="0.25">
      <c r="B5" s="7" t="s">
        <v>53</v>
      </c>
    </row>
    <row r="6" spans="1:24" x14ac:dyDescent="0.25">
      <c r="A6" s="9" t="str">
        <f>B6&amp;"|"&amp;C6</f>
        <v>A|NA</v>
      </c>
      <c r="B6" s="4" t="s">
        <v>53</v>
      </c>
      <c r="C6" s="4" t="s">
        <v>54</v>
      </c>
      <c r="D6" s="4" t="s">
        <v>54</v>
      </c>
      <c r="E6" s="4">
        <v>1</v>
      </c>
      <c r="F6" s="4">
        <v>1</v>
      </c>
      <c r="G6" s="19">
        <f>Summary!G5</f>
        <v>0</v>
      </c>
      <c r="H6" s="25">
        <f>Summary!M5</f>
        <v>0</v>
      </c>
      <c r="I6" s="6">
        <f>ROUND(G6*10^in_out_dp,0)</f>
        <v>0</v>
      </c>
      <c r="J6" s="6">
        <f>ROUND(H6*10^in_cost_dp,0)</f>
        <v>0</v>
      </c>
      <c r="K6" s="9">
        <f>SUMPRODUCT(($I$6:$I$8=I6)*($J$6:$J$8&lt;J6)+($I$6:$I$8&gt;I6)*($J$6:$J$8&lt;=J6))</f>
        <v>0</v>
      </c>
      <c r="L6" s="9">
        <f>IF(OR(E6=1,K6=0),1,0)</f>
        <v>1</v>
      </c>
      <c r="M6" s="9">
        <f>IF(AND(L6=1,E6=0,I6&gt;0),1,0)</f>
        <v>0</v>
      </c>
      <c r="N6" s="27">
        <f>IF(M6=1,MAX(J6/I6,SUMPRODUCT(MAX(((J6-$J$6:$J$8)*($M$6:$M$8*($I$6:$I$8&lt;I6)))/((I6-$I$6:$I$8)*($M$6:$M$8*($I$6:$I$8&lt;I6))+1-($M$6:$M$8*($I$6:$I$8&lt;I6)))-(1-($M$6:$M$8*($I$6:$I$8&lt;I6)))*1E+300))),0)</f>
        <v>0</v>
      </c>
      <c r="O6" s="27">
        <f>IF(M6=1,SUMPRODUCT(MIN(((($J$6:$J$8-J6)*($M$6:$M$8*($I$6:$I$8&gt;I6)))/(($I$6:$I$8-I6)*($M$6:$M$8*($I$6:$I$8&gt;I6))+1-($M$6:$M$8*($I$6:$I$8&gt;I6)))+(1-($M$6:$M$8*($I$6:$I$8&gt;I6)))*1E+300))),0)</f>
        <v>0</v>
      </c>
      <c r="P6" s="9">
        <f>IF(E6=1,1,IF(AND(M6=1,N6&lt;=O6),1,0))</f>
        <v>1</v>
      </c>
      <c r="Q6" s="9">
        <f>IF(P6=1,1+SUMPRODUCT($P$6:$P$8*(($I$6:$I$8&lt;I6)+($I$6:$I$8=I6)*($F$6:$F$8&lt;F6))),0)</f>
        <v>1</v>
      </c>
      <c r="R6" s="9">
        <f>IF(Q6&lt;=1,0,SUMPRODUCT(($Q$6:$Q$8=Q6-1)*$I$6:$I$8))</f>
        <v>0</v>
      </c>
      <c r="S6" s="9">
        <f>IF(Q6&lt;=1,0,SUMPRODUCT(($Q$6:$Q$8=Q6-1)*$J$6:$J$8))</f>
        <v>0</v>
      </c>
      <c r="T6" s="19">
        <f>IF(Q6=0,"",(I6-R6)/10^in_out_dp)</f>
        <v>0</v>
      </c>
      <c r="U6" s="25">
        <f>IF(Q6=0,"",(J6-S6)/10^in_cost_dp)</f>
        <v>0</v>
      </c>
      <c r="V6" s="25">
        <f>IF(Q6=0,"",IF(I6=R6,0,U6/T6))</f>
        <v>0</v>
      </c>
      <c r="W6" s="25" t="str">
        <f>IF(I6&gt;0,(J6/10^in_cost_dp)/(I6/10^in_out_dp),"n/a")</f>
        <v>n/a</v>
      </c>
      <c r="X6" s="9">
        <f>IF(Sites!$C$5=C6,1,0)</f>
        <v>0</v>
      </c>
    </row>
    <row r="7" spans="1:24" x14ac:dyDescent="0.25">
      <c r="A7" s="9" t="str">
        <f>B7&amp;"|"&amp;C7</f>
        <v>A|A1</v>
      </c>
      <c r="B7" s="4" t="s">
        <v>53</v>
      </c>
      <c r="C7" s="4" t="s">
        <v>57</v>
      </c>
      <c r="D7" s="4" t="s">
        <v>57</v>
      </c>
      <c r="E7" s="4">
        <v>0</v>
      </c>
      <c r="F7" s="4">
        <v>2</v>
      </c>
      <c r="G7" s="19">
        <f>Summary!G6</f>
        <v>6.2074999999999996</v>
      </c>
      <c r="H7" s="25">
        <f>Summary!M6</f>
        <v>18711.715847319345</v>
      </c>
      <c r="I7" s="6">
        <f>ROUND(G7*10^in_out_dp,0)</f>
        <v>6208</v>
      </c>
      <c r="J7" s="6">
        <f>ROUND(H7*10^in_cost_dp,0)</f>
        <v>1871172</v>
      </c>
      <c r="K7" s="9">
        <f>SUMPRODUCT(($I$6:$I$8=I7)*($J$6:$J$8&lt;J7)+($I$6:$I$8&gt;I7)*($J$6:$J$8&lt;=J7))</f>
        <v>0</v>
      </c>
      <c r="L7" s="9">
        <f>IF(OR(E7=1,K7=0),1,0)</f>
        <v>1</v>
      </c>
      <c r="M7" s="9">
        <f>IF(AND(L7=1,E7=0,I7&gt;0),1,0)</f>
        <v>1</v>
      </c>
      <c r="N7" s="27">
        <f>IF(M7=1,MAX(J7/I7,SUMPRODUCT(MAX(((J7-$J$6:$J$8)*($M$6:$M$8*($I$6:$I$8&lt;I7)))/((I7-$I$6:$I$8)*($M$6:$M$8*($I$6:$I$8&lt;I7))+1-($M$6:$M$8*($I$6:$I$8&lt;I7)))-(1-($M$6:$M$8*($I$6:$I$8&lt;I7)))*1E+300))),0)</f>
        <v>329.53730387447968</v>
      </c>
      <c r="O7" s="27">
        <f>IF(M7=1,SUMPRODUCT(MIN(((($J$6:$J$8-J7)*($M$6:$M$8*($I$6:$I$8&gt;I7)))/(($I$6:$I$8-I7)*($M$6:$M$8*($I$6:$I$8&gt;I7))+1-($M$6:$M$8*($I$6:$I$8&gt;I7)))+(1-($M$6:$M$8*($I$6:$I$8&gt;I7)))*1E+300))),0)</f>
        <v>1.0000000000000001E+300</v>
      </c>
      <c r="P7" s="9">
        <f>IF(E7=1,1,IF(AND(M7=1,N7&lt;=O7),1,0))</f>
        <v>1</v>
      </c>
      <c r="Q7" s="9">
        <f>IF(P7=1,1+SUMPRODUCT($P$6:$P$8*(($I$6:$I$8&lt;I7)+($I$6:$I$8=I7)*($F$6:$F$8&lt;F7))),0)</f>
        <v>3</v>
      </c>
      <c r="R7" s="9">
        <f>IF(Q7&lt;=1,0,SUMPRODUCT(($Q$6:$Q$8=Q7-1)*$I$6:$I$8))</f>
        <v>3085</v>
      </c>
      <c r="S7" s="9">
        <f>IF(Q7&lt;=1,0,SUMPRODUCT(($Q$6:$Q$8=Q7-1)*$J$6:$J$8))</f>
        <v>842027</v>
      </c>
      <c r="T7" s="19">
        <f>IF(Q7=0,"",(I7-R7)/10^in_out_dp)</f>
        <v>3.1230000000000002</v>
      </c>
      <c r="U7" s="25">
        <f>IF(Q7=0,"",(J7-S7)/10^in_cost_dp)</f>
        <v>10291.450000000001</v>
      </c>
      <c r="V7" s="25">
        <f>IF(Q7=0,"",IF(I7=R7,0,U7/T7))</f>
        <v>3295.3730387447968</v>
      </c>
      <c r="W7" s="25">
        <f>IF(I7&gt;0,(J7/10^in_cost_dp)/(I7/10^in_out_dp),"n/a")</f>
        <v>3014.1301546391755</v>
      </c>
      <c r="X7" s="9">
        <f>IF(Sites!$C$5=C7,1,0)</f>
        <v>1</v>
      </c>
    </row>
    <row r="8" spans="1:24" x14ac:dyDescent="0.25">
      <c r="A8" s="9" t="str">
        <f>B8&amp;"|"&amp;C8</f>
        <v>A|A2</v>
      </c>
      <c r="B8" s="4" t="s">
        <v>53</v>
      </c>
      <c r="C8" s="4" t="s">
        <v>58</v>
      </c>
      <c r="D8" s="4" t="s">
        <v>58</v>
      </c>
      <c r="E8" s="4">
        <v>0</v>
      </c>
      <c r="F8" s="4">
        <v>3</v>
      </c>
      <c r="G8" s="19">
        <f>Summary!G7</f>
        <v>3.0849999999999995</v>
      </c>
      <c r="H8" s="25">
        <f>Summary!M7</f>
        <v>8420.2721312937047</v>
      </c>
      <c r="I8" s="6">
        <f>ROUND(G8*10^in_out_dp,0)</f>
        <v>3085</v>
      </c>
      <c r="J8" s="6">
        <f>ROUND(H8*10^in_cost_dp,0)</f>
        <v>842027</v>
      </c>
      <c r="K8" s="9">
        <f>SUMPRODUCT(($I$6:$I$8=I8)*($J$6:$J$8&lt;J8)+($I$6:$I$8&gt;I8)*($J$6:$J$8&lt;=J8))</f>
        <v>0</v>
      </c>
      <c r="L8" s="9">
        <f>IF(OR(E8=1,K8=0),1,0)</f>
        <v>1</v>
      </c>
      <c r="M8" s="9">
        <f>IF(AND(L8=1,E8=0,I8&gt;0),1,0)</f>
        <v>1</v>
      </c>
      <c r="N8" s="27">
        <f>IF(M8=1,MAX(J8/I8,SUMPRODUCT(MAX(((J8-$J$6:$J$8)*($M$6:$M$8*($I$6:$I$8&lt;I8)))/((I8-$I$6:$I$8)*($M$6:$M$8*($I$6:$I$8&lt;I8))+1-($M$6:$M$8*($I$6:$I$8&lt;I8)))-(1-($M$6:$M$8*($I$6:$I$8&lt;I8)))*1E+300))),0)</f>
        <v>272.94230145867101</v>
      </c>
      <c r="O8" s="27">
        <f>IF(M8=1,SUMPRODUCT(MIN(((($J$6:$J$8-J8)*($M$6:$M$8*($I$6:$I$8&gt;I8)))/(($I$6:$I$8-I8)*($M$6:$M$8*($I$6:$I$8&gt;I8))+1-($M$6:$M$8*($I$6:$I$8&gt;I8)))+(1-($M$6:$M$8*($I$6:$I$8&gt;I8)))*1E+300))),0)</f>
        <v>329.53730387447968</v>
      </c>
      <c r="P8" s="9">
        <f>IF(E8=1,1,IF(AND(M8=1,N8&lt;=O8),1,0))</f>
        <v>1</v>
      </c>
      <c r="Q8" s="9">
        <f>IF(P8=1,1+SUMPRODUCT($P$6:$P$8*(($I$6:$I$8&lt;I8)+($I$6:$I$8=I8)*($F$6:$F$8&lt;F8))),0)</f>
        <v>2</v>
      </c>
      <c r="R8" s="9">
        <f>IF(Q8&lt;=1,0,SUMPRODUCT(($Q$6:$Q$8=Q8-1)*$I$6:$I$8))</f>
        <v>0</v>
      </c>
      <c r="S8" s="9">
        <f>IF(Q8&lt;=1,0,SUMPRODUCT(($Q$6:$Q$8=Q8-1)*$J$6:$J$8))</f>
        <v>0</v>
      </c>
      <c r="T8" s="19">
        <f>IF(Q8=0,"",(I8-R8)/10^in_out_dp)</f>
        <v>3.085</v>
      </c>
      <c r="U8" s="25">
        <f>IF(Q8=0,"",(J8-S8)/10^in_cost_dp)</f>
        <v>8420.27</v>
      </c>
      <c r="V8" s="25">
        <f>IF(Q8=0,"",IF(I8=R8,0,U8/T8))</f>
        <v>2729.42301458671</v>
      </c>
      <c r="W8" s="25">
        <f>IF(I8&gt;0,(J8/10^in_cost_dp)/(I8/10^in_out_dp),"n/a")</f>
        <v>2729.42301458671</v>
      </c>
      <c r="X8" s="9">
        <f>IF(Sites!$C$5=C8,1,0)</f>
        <v>0</v>
      </c>
    </row>
    <row r="10" spans="1:24" x14ac:dyDescent="0.25">
      <c r="B10" s="7" t="s">
        <v>59</v>
      </c>
    </row>
    <row r="11" spans="1:24" x14ac:dyDescent="0.25">
      <c r="A11" s="9" t="str">
        <f>B11&amp;"|"&amp;C11</f>
        <v>B|NA</v>
      </c>
      <c r="B11" s="4" t="s">
        <v>59</v>
      </c>
      <c r="C11" s="4" t="s">
        <v>54</v>
      </c>
      <c r="D11" s="4" t="s">
        <v>54</v>
      </c>
      <c r="E11" s="4">
        <v>1</v>
      </c>
      <c r="F11" s="4">
        <v>1</v>
      </c>
      <c r="G11" s="19">
        <f>Summary!G8</f>
        <v>0</v>
      </c>
      <c r="H11" s="25">
        <f>Summary!M8</f>
        <v>0</v>
      </c>
      <c r="I11" s="6">
        <f>ROUND(G11*10^in_out_dp,0)</f>
        <v>0</v>
      </c>
      <c r="J11" s="6">
        <f>ROUND(H11*10^in_cost_dp,0)</f>
        <v>0</v>
      </c>
      <c r="K11" s="9">
        <f>SUMPRODUCT(($I$11:$I$12=I11)*($J$11:$J$12&lt;J11)+($I$11:$I$12&gt;I11)*($J$11:$J$12&lt;=J11))</f>
        <v>0</v>
      </c>
      <c r="L11" s="9">
        <f>IF(OR(E11=1,K11=0),1,0)</f>
        <v>1</v>
      </c>
      <c r="M11" s="9">
        <f>IF(AND(L11=1,E11=0,I11&gt;0),1,0)</f>
        <v>0</v>
      </c>
      <c r="N11" s="27">
        <f>IF(M11=1,MAX(J11/I11,SUMPRODUCT(MAX(((J11-$J$11:$J$12)*($M$11:$M$12*($I$11:$I$12&lt;I11)))/((I11-$I$11:$I$12)*($M$11:$M$12*($I$11:$I$12&lt;I11))+1-($M$11:$M$12*($I$11:$I$12&lt;I11)))-(1-($M$11:$M$12*($I$11:$I$12&lt;I11)))*1E+300))),0)</f>
        <v>0</v>
      </c>
      <c r="O11" s="27">
        <f>IF(M11=1,SUMPRODUCT(MIN(((($J$11:$J$12-J11)*($M$11:$M$12*($I$11:$I$12&gt;I11)))/(($I$11:$I$12-I11)*($M$11:$M$12*($I$11:$I$12&gt;I11))+1-($M$11:$M$12*($I$11:$I$12&gt;I11)))+(1-($M$11:$M$12*($I$11:$I$12&gt;I11)))*1E+300))),0)</f>
        <v>0</v>
      </c>
      <c r="P11" s="9">
        <f>IF(E11=1,1,IF(AND(M11=1,N11&lt;=O11),1,0))</f>
        <v>1</v>
      </c>
      <c r="Q11" s="9">
        <f>IF(P11=1,1+SUMPRODUCT($P$11:$P$12*(($I$11:$I$12&lt;I11)+($I$11:$I$12=I11)*($F$11:$F$12&lt;F11))),0)</f>
        <v>1</v>
      </c>
      <c r="R11" s="9">
        <f>IF(Q11&lt;=1,0,SUMPRODUCT(($Q$11:$Q$12=Q11-1)*$I$11:$I$12))</f>
        <v>0</v>
      </c>
      <c r="S11" s="9">
        <f>IF(Q11&lt;=1,0,SUMPRODUCT(($Q$11:$Q$12=Q11-1)*$J$11:$J$12))</f>
        <v>0</v>
      </c>
      <c r="T11" s="19">
        <f>IF(Q11=0,"",(I11-R11)/10^in_out_dp)</f>
        <v>0</v>
      </c>
      <c r="U11" s="25">
        <f>IF(Q11=0,"",(J11-S11)/10^in_cost_dp)</f>
        <v>0</v>
      </c>
      <c r="V11" s="25">
        <f>IF(Q11=0,"",IF(I11=R11,0,U11/T11))</f>
        <v>0</v>
      </c>
      <c r="W11" s="25" t="str">
        <f>IF(I11&gt;0,(J11/10^in_cost_dp)/(I11/10^in_out_dp),"n/a")</f>
        <v>n/a</v>
      </c>
      <c r="X11" s="9">
        <f>IF(Sites!$C$6=C11,1,0)</f>
        <v>1</v>
      </c>
    </row>
    <row r="12" spans="1:24" x14ac:dyDescent="0.25">
      <c r="A12" s="9" t="str">
        <f>B12&amp;"|"&amp;C12</f>
        <v>B|B1</v>
      </c>
      <c r="B12" s="4" t="s">
        <v>59</v>
      </c>
      <c r="C12" s="4" t="s">
        <v>60</v>
      </c>
      <c r="D12" s="4" t="s">
        <v>60</v>
      </c>
      <c r="E12" s="4">
        <v>0</v>
      </c>
      <c r="F12" s="4">
        <v>2</v>
      </c>
      <c r="G12" s="19">
        <f>Summary!G9</f>
        <v>5.93</v>
      </c>
      <c r="H12" s="25">
        <f>Summary!M9</f>
        <v>14033.78688548951</v>
      </c>
      <c r="I12" s="6">
        <f>ROUND(G12*10^in_out_dp,0)</f>
        <v>5930</v>
      </c>
      <c r="J12" s="6">
        <f>ROUND(H12*10^in_cost_dp,0)</f>
        <v>1403379</v>
      </c>
      <c r="K12" s="9">
        <f>SUMPRODUCT(($I$11:$I$12=I12)*($J$11:$J$12&lt;J12)+($I$11:$I$12&gt;I12)*($J$11:$J$12&lt;=J12))</f>
        <v>0</v>
      </c>
      <c r="L12" s="9">
        <f>IF(OR(E12=1,K12=0),1,0)</f>
        <v>1</v>
      </c>
      <c r="M12" s="9">
        <f>IF(AND(L12=1,E12=0,I12&gt;0),1,0)</f>
        <v>1</v>
      </c>
      <c r="N12" s="27">
        <f>IF(M12=1,MAX(J12/I12,SUMPRODUCT(MAX(((J12-$J$11:$J$12)*($M$11:$M$12*($I$11:$I$12&lt;I12)))/((I12-$I$11:$I$12)*($M$11:$M$12*($I$11:$I$12&lt;I12))+1-($M$11:$M$12*($I$11:$I$12&lt;I12)))-(1-($M$11:$M$12*($I$11:$I$12&lt;I12)))*1E+300))),0)</f>
        <v>236.65750421585159</v>
      </c>
      <c r="O12" s="27">
        <f>IF(M12=1,SUMPRODUCT(MIN(((($J$11:$J$12-J12)*($M$11:$M$12*($I$11:$I$12&gt;I12)))/(($I$11:$I$12-I12)*($M$11:$M$12*($I$11:$I$12&gt;I12))+1-($M$11:$M$12*($I$11:$I$12&gt;I12)))+(1-($M$11:$M$12*($I$11:$I$12&gt;I12)))*1E+300))),0)</f>
        <v>1.0000000000000001E+300</v>
      </c>
      <c r="P12" s="9">
        <f>IF(E12=1,1,IF(AND(M12=1,N12&lt;=O12),1,0))</f>
        <v>1</v>
      </c>
      <c r="Q12" s="9">
        <f>IF(P12=1,1+SUMPRODUCT($P$11:$P$12*(($I$11:$I$12&lt;I12)+($I$11:$I$12=I12)*($F$11:$F$12&lt;F12))),0)</f>
        <v>2</v>
      </c>
      <c r="R12" s="9">
        <f>IF(Q12&lt;=1,0,SUMPRODUCT(($Q$11:$Q$12=Q12-1)*$I$11:$I$12))</f>
        <v>0</v>
      </c>
      <c r="S12" s="9">
        <f>IF(Q12&lt;=1,0,SUMPRODUCT(($Q$11:$Q$12=Q12-1)*$J$11:$J$12))</f>
        <v>0</v>
      </c>
      <c r="T12" s="19">
        <f>IF(Q12=0,"",(I12-R12)/10^in_out_dp)</f>
        <v>5.93</v>
      </c>
      <c r="U12" s="25">
        <f>IF(Q12=0,"",(J12-S12)/10^in_cost_dp)</f>
        <v>14033.79</v>
      </c>
      <c r="V12" s="25">
        <f>IF(Q12=0,"",IF(I12=R12,0,U12/T12))</f>
        <v>2366.5750421585162</v>
      </c>
      <c r="W12" s="25">
        <f>IF(I12&gt;0,(J12/10^in_cost_dp)/(I12/10^in_out_dp),"n/a")</f>
        <v>2366.5750421585162</v>
      </c>
      <c r="X12" s="9">
        <f>IF(Sites!$C$6=C12,1,0)</f>
        <v>0</v>
      </c>
    </row>
  </sheetData>
  <sheetProtection password="C644" sheet="1" formatColumns="0" formatRows="0" sort="0" autoFilter="0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"/>
  <sheetViews>
    <sheetView showGridLines="0" workbookViewId="0"/>
  </sheetViews>
  <sheetFormatPr defaultRowHeight="15" x14ac:dyDescent="0.25"/>
  <cols>
    <col min="1" max="1" width="9" customWidth="1"/>
    <col min="2" max="2" width="28" customWidth="1"/>
    <col min="3" max="3" width="16" customWidth="1"/>
    <col min="4" max="4" width="10" customWidth="1"/>
    <col min="5" max="5" width="8" customWidth="1"/>
    <col min="6" max="6" width="12" customWidth="1"/>
    <col min="7" max="8" width="14" customWidth="1"/>
    <col min="9" max="10" width="10" customWidth="1"/>
    <col min="11" max="11" width="9" customWidth="1"/>
    <col min="12" max="12" width="8" customWidth="1"/>
    <col min="13" max="13" width="12" customWidth="1"/>
  </cols>
  <sheetData>
    <row r="1" spans="1:13" ht="18.75" x14ac:dyDescent="0.3">
      <c r="A1" s="1" t="s">
        <v>129</v>
      </c>
    </row>
    <row r="2" spans="1:13" x14ac:dyDescent="0.25">
      <c r="A2" s="2" t="s">
        <v>130</v>
      </c>
    </row>
    <row r="4" spans="1:13" ht="30" x14ac:dyDescent="0.25">
      <c r="A4" s="11" t="s">
        <v>45</v>
      </c>
      <c r="B4" s="11" t="s">
        <v>102</v>
      </c>
      <c r="C4" s="11" t="s">
        <v>131</v>
      </c>
      <c r="D4" s="11" t="s">
        <v>103</v>
      </c>
      <c r="E4" s="11" t="s">
        <v>132</v>
      </c>
      <c r="F4" s="11" t="s">
        <v>105</v>
      </c>
      <c r="G4" s="11" t="s">
        <v>108</v>
      </c>
      <c r="H4" s="11" t="s">
        <v>106</v>
      </c>
      <c r="I4" s="11" t="s">
        <v>113</v>
      </c>
      <c r="J4" s="11" t="s">
        <v>114</v>
      </c>
      <c r="K4" s="11" t="s">
        <v>116</v>
      </c>
      <c r="L4" s="11" t="s">
        <v>120</v>
      </c>
      <c r="M4" s="11" t="s">
        <v>133</v>
      </c>
    </row>
    <row r="5" spans="1:13" x14ac:dyDescent="0.25">
      <c r="A5" s="4" t="s">
        <v>53</v>
      </c>
      <c r="B5" s="4"/>
      <c r="C5" s="14" t="s">
        <v>57</v>
      </c>
      <c r="D5" s="4" t="s">
        <v>54</v>
      </c>
      <c r="E5" s="9">
        <f>IF(C5&lt;&gt;D5,1,0)</f>
        <v>1</v>
      </c>
      <c r="F5" s="19">
        <f>IFERROR(INDEX('Site CE-ICA'!$G$5:$G$12,MATCH(A5&amp;"|"&amp;C5,'Site CE-ICA'!$A$5:$A$12,0)),0)</f>
        <v>6.2074999999999996</v>
      </c>
      <c r="G5" s="25">
        <f>IFERROR(INDEX('Site CE-ICA'!$H$5:$H$12,MATCH(A5&amp;"|"&amp;C5,'Site CE-ICA'!$A$5:$A$12,0)),0)</f>
        <v>18711.715847319345</v>
      </c>
      <c r="H5" s="24">
        <f>IFERROR(INDEX(Summary!$H$5:$H$7,MATCH(C5,Summary!$C$5:$C$7,0)),0)</f>
        <v>400000</v>
      </c>
      <c r="I5" s="6">
        <f>IF(E5=1,IFERROR(INDEX('Site CE-ICA'!$I$5:$I$12,MATCH(A5&amp;"|"&amp;C5,'Site CE-ICA'!$A$5:$A$12,0)),0),0)</f>
        <v>6208</v>
      </c>
      <c r="J5" s="6">
        <f>IF(E5=1,IFERROR(INDEX('Site CE-ICA'!$J$5:$J$12,MATCH(A5&amp;"|"&amp;C5,'Site CE-ICA'!$A$5:$A$12,0)),0),0)</f>
        <v>1871172</v>
      </c>
      <c r="K5" s="9">
        <f>IFERROR(INDEX('Site CE-ICA'!$L$5:$L$12,MATCH(A5&amp;"|"&amp;C5,'Site CE-ICA'!$A$5:$A$12,0)),0)</f>
        <v>1</v>
      </c>
      <c r="L5" s="9">
        <f>IFERROR(INDEX('Site CE-ICA'!$P$5:$P$12,MATCH(A5&amp;"|"&amp;C5,'Site CE-ICA'!$A$5:$A$12,0)),0)</f>
        <v>1</v>
      </c>
      <c r="M5" s="4" t="s">
        <v>134</v>
      </c>
    </row>
    <row r="6" spans="1:13" x14ac:dyDescent="0.25">
      <c r="A6" s="4" t="s">
        <v>59</v>
      </c>
      <c r="B6" s="4"/>
      <c r="C6" s="14" t="s">
        <v>54</v>
      </c>
      <c r="D6" s="4" t="s">
        <v>54</v>
      </c>
      <c r="E6" s="9">
        <f>IF(C6&lt;&gt;D6,1,0)</f>
        <v>0</v>
      </c>
      <c r="F6" s="19">
        <f>IFERROR(INDEX('Site CE-ICA'!$G$5:$G$12,MATCH(A6&amp;"|"&amp;C6,'Site CE-ICA'!$A$5:$A$12,0)),0)</f>
        <v>0</v>
      </c>
      <c r="G6" s="25">
        <f>IFERROR(INDEX('Site CE-ICA'!$H$5:$H$12,MATCH(A6&amp;"|"&amp;C6,'Site CE-ICA'!$A$5:$A$12,0)),0)</f>
        <v>0</v>
      </c>
      <c r="H6" s="24">
        <f>IFERROR(INDEX(Summary!$H$8:$H$9,MATCH(C6,Summary!$C$8:$C$9,0)),0)</f>
        <v>0</v>
      </c>
      <c r="I6" s="6">
        <f>IF(E6=1,IFERROR(INDEX('Site CE-ICA'!$I$5:$I$12,MATCH(A6&amp;"|"&amp;C6,'Site CE-ICA'!$A$5:$A$12,0)),0),0)</f>
        <v>0</v>
      </c>
      <c r="J6" s="6">
        <f>IF(E6=1,IFERROR(INDEX('Site CE-ICA'!$J$5:$J$12,MATCH(A6&amp;"|"&amp;C6,'Site CE-ICA'!$A$5:$A$12,0)),0),0)</f>
        <v>0</v>
      </c>
      <c r="K6" s="9">
        <f>IFERROR(INDEX('Site CE-ICA'!$L$5:$L$12,MATCH(A6&amp;"|"&amp;C6,'Site CE-ICA'!$A$5:$A$12,0)),0)</f>
        <v>1</v>
      </c>
      <c r="L6" s="9">
        <f>IFERROR(INDEX('Site CE-ICA'!$P$5:$P$12,MATCH(A6&amp;"|"&amp;C6,'Site CE-ICA'!$A$5:$A$12,0)),0)</f>
        <v>1</v>
      </c>
      <c r="M6" s="4" t="s">
        <v>134</v>
      </c>
    </row>
  </sheetData>
  <sheetProtection password="C644" sheet="1" formatColumns="0" formatRows="0" sort="0" autoFilter="0"/>
  <dataValidations count="2">
    <dataValidation type="list" sqref="C5" xr:uid="{00000000-0002-0000-0700-000000000000}">
      <formula1>"NA,A1,A2"</formula1>
    </dataValidation>
    <dataValidation type="list" sqref="C6" xr:uid="{00000000-0002-0000-0700-000001000000}">
      <formula1>"NA,B1"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700-000001000000}">
            <xm:f>C5&lt;&gt;'snap Sites'!C5</xm:f>
            <x14:dxf>
              <fill>
                <patternFill patternType="solid">
                  <fgColor rgb="FFFFE08A"/>
                  <bgColor rgb="FFFFE08A"/>
                </patternFill>
              </fill>
            </x14:dxf>
          </x14:cfRule>
          <xm:sqref>C5:C6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5"/>
  <sheetViews>
    <sheetView showGridLines="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hidden="1" customWidth="1"/>
    <col min="2" max="2" width="34" customWidth="1"/>
    <col min="3" max="3" width="6" customWidth="1"/>
    <col min="4" max="5" width="7" customWidth="1"/>
    <col min="6" max="6" width="8" customWidth="1"/>
    <col min="7" max="7" width="10" hidden="1" customWidth="1"/>
    <col min="8" max="8" width="11" hidden="1" customWidth="1"/>
    <col min="9" max="9" width="13" customWidth="1"/>
    <col min="10" max="10" width="11" customWidth="1"/>
    <col min="11" max="11" width="13" customWidth="1"/>
    <col min="12" max="12" width="6" hidden="1" customWidth="1"/>
    <col min="13" max="13" width="8" hidden="1" customWidth="1"/>
    <col min="14" max="14" width="9" customWidth="1"/>
    <col min="15" max="15" width="8" hidden="1" customWidth="1"/>
    <col min="16" max="17" width="10" hidden="1" customWidth="1"/>
    <col min="18" max="18" width="7" customWidth="1"/>
    <col min="19" max="19" width="8" customWidth="1"/>
    <col min="20" max="21" width="10" hidden="1" customWidth="1"/>
    <col min="22" max="22" width="11" customWidth="1"/>
    <col min="23" max="24" width="12" customWidth="1"/>
    <col min="25" max="25" width="11" customWidth="1"/>
    <col min="26" max="26" width="7" customWidth="1"/>
    <col min="27" max="27" width="8" customWidth="1"/>
  </cols>
  <sheetData>
    <row r="1" spans="1:27" ht="18.75" x14ac:dyDescent="0.3">
      <c r="A1" s="1" t="s">
        <v>135</v>
      </c>
    </row>
    <row r="2" spans="1:27" x14ac:dyDescent="0.25">
      <c r="A2" s="2" t="s">
        <v>136</v>
      </c>
    </row>
    <row r="4" spans="1:27" x14ac:dyDescent="0.25">
      <c r="C4" s="3" t="s">
        <v>45</v>
      </c>
      <c r="D4" s="11" t="s">
        <v>53</v>
      </c>
      <c r="E4" s="11" t="s">
        <v>59</v>
      </c>
    </row>
    <row r="5" spans="1:27" x14ac:dyDescent="0.25">
      <c r="C5" s="3" t="s">
        <v>132</v>
      </c>
      <c r="D5" s="9">
        <f>Sites!E5</f>
        <v>1</v>
      </c>
      <c r="E5" s="9">
        <f>Sites!E6</f>
        <v>0</v>
      </c>
    </row>
    <row r="6" spans="1:27" x14ac:dyDescent="0.25">
      <c r="C6" s="3" t="s">
        <v>113</v>
      </c>
      <c r="D6" s="6">
        <f>Sites!I5</f>
        <v>6208</v>
      </c>
      <c r="E6" s="6">
        <f>Sites!I6</f>
        <v>0</v>
      </c>
    </row>
    <row r="7" spans="1:27" x14ac:dyDescent="0.25">
      <c r="C7" s="3" t="s">
        <v>114</v>
      </c>
      <c r="D7" s="6">
        <f>Sites!J5</f>
        <v>1871172</v>
      </c>
      <c r="E7" s="6">
        <f>Sites!J6</f>
        <v>0</v>
      </c>
    </row>
    <row r="8" spans="1:27" x14ac:dyDescent="0.25">
      <c r="C8" s="3" t="s">
        <v>106</v>
      </c>
      <c r="D8" s="24">
        <f>Sites!H5</f>
        <v>400000</v>
      </c>
      <c r="E8" s="24">
        <f>Sites!H6</f>
        <v>0</v>
      </c>
    </row>
    <row r="9" spans="1:27" x14ac:dyDescent="0.25">
      <c r="C9" s="3" t="s">
        <v>137</v>
      </c>
      <c r="D9" s="6">
        <f>IF(D5=1,2^SUM(E5:$E$5),0)</f>
        <v>1</v>
      </c>
      <c r="E9" s="6">
        <f>IF(E5=1,1,0)</f>
        <v>0</v>
      </c>
    </row>
    <row r="11" spans="1:27" ht="45" x14ac:dyDescent="0.25">
      <c r="A11" s="11" t="s">
        <v>138</v>
      </c>
      <c r="B11" s="11" t="s">
        <v>139</v>
      </c>
      <c r="C11" s="11" t="s">
        <v>140</v>
      </c>
      <c r="D11" s="11" t="s">
        <v>53</v>
      </c>
      <c r="E11" s="11" t="s">
        <v>59</v>
      </c>
      <c r="F11" s="11" t="s">
        <v>141</v>
      </c>
      <c r="G11" s="11" t="s">
        <v>113</v>
      </c>
      <c r="H11" s="11" t="s">
        <v>114</v>
      </c>
      <c r="I11" s="11" t="s">
        <v>106</v>
      </c>
      <c r="J11" s="11" t="s">
        <v>105</v>
      </c>
      <c r="K11" s="11" t="s">
        <v>77</v>
      </c>
      <c r="L11" s="11" t="s">
        <v>103</v>
      </c>
      <c r="M11" s="11" t="s">
        <v>115</v>
      </c>
      <c r="N11" s="11" t="s">
        <v>116</v>
      </c>
      <c r="O11" s="11" t="s">
        <v>117</v>
      </c>
      <c r="P11" s="11" t="s">
        <v>118</v>
      </c>
      <c r="Q11" s="11" t="s">
        <v>119</v>
      </c>
      <c r="R11" s="11" t="s">
        <v>120</v>
      </c>
      <c r="S11" s="11" t="s">
        <v>121</v>
      </c>
      <c r="T11" s="11" t="s">
        <v>122</v>
      </c>
      <c r="U11" s="11" t="s">
        <v>123</v>
      </c>
      <c r="V11" s="11" t="s">
        <v>124</v>
      </c>
      <c r="W11" s="11" t="s">
        <v>125</v>
      </c>
      <c r="X11" s="11" t="s">
        <v>126</v>
      </c>
      <c r="Y11" s="11" t="s">
        <v>127</v>
      </c>
      <c r="Z11" s="11" t="s">
        <v>142</v>
      </c>
      <c r="AA11" s="11" t="s">
        <v>143</v>
      </c>
    </row>
    <row r="12" spans="1:27" x14ac:dyDescent="0.25">
      <c r="A12" s="4">
        <v>1</v>
      </c>
      <c r="B12" s="4" t="s">
        <v>103</v>
      </c>
      <c r="C12" s="9">
        <f>IF(SUMPRODUCT(D12:E12,1-$D$5:$E$5)=0,1,0)</f>
        <v>1</v>
      </c>
      <c r="D12" s="4">
        <v>0</v>
      </c>
      <c r="E12" s="4">
        <v>0</v>
      </c>
      <c r="F12" s="6">
        <f>IF(C12=1,1+SUMPRODUCT(D12:E12,$D$9:$E$9),"")</f>
        <v>1</v>
      </c>
      <c r="G12" s="6">
        <f>SUMPRODUCT(D12:E12,$D$6:$E$6)</f>
        <v>0</v>
      </c>
      <c r="H12" s="6">
        <f>SUMPRODUCT(D12:E12,$D$7:$E$7)</f>
        <v>0</v>
      </c>
      <c r="I12" s="24">
        <f>SUMPRODUCT(D12:E12,$D$8:$E$8)</f>
        <v>0</v>
      </c>
      <c r="J12" s="19">
        <f>G12/10^in_out_dp</f>
        <v>0</v>
      </c>
      <c r="K12" s="25">
        <f>H12/10^in_cost_dp</f>
        <v>0</v>
      </c>
      <c r="L12" s="9">
        <f>IF(SUM(D12:E12)=0,1,0)</f>
        <v>1</v>
      </c>
      <c r="M12" s="9">
        <f>SUMPRODUCT($C$12:$C$15*(($G$12:$G$15=G12)*($H$12:$H$15&lt;H12)+($G$12:$G$15&gt;G12)*($H$12:$H$15&lt;=H12)))</f>
        <v>0</v>
      </c>
      <c r="N12" s="9">
        <f>IF(C12=0,0,IF(OR(L12=1,M12=0),1,0))</f>
        <v>1</v>
      </c>
      <c r="O12" s="9">
        <f>IF(AND(N12=1,L12=0,G12&gt;0),1,0)</f>
        <v>0</v>
      </c>
      <c r="P12" s="27">
        <f>IF(O12=1,MAX(H12/G12,SUMPRODUCT(MAX(((H12-$H$12:$H$15)*($O$12:$O$15*($G$12:$G$15&lt;G12)))/((G12-$G$12:$G$15)*($O$12:$O$15*($G$12:$G$15&lt;G12))+1-($O$12:$O$15*($G$12:$G$15&lt;G12)))-(1-($O$12:$O$15*($G$12:$G$15&lt;G12)))*1E+300))),0)</f>
        <v>0</v>
      </c>
      <c r="Q12" s="27">
        <f>IF(O12=1,SUMPRODUCT(MIN(((($H$12:$H$15-H12)*($O$12:$O$15*($G$12:$G$15&gt;G12)))/(($G$12:$G$15-G12)*($O$12:$O$15*($G$12:$G$15&gt;G12))+1-($O$12:$O$15*($G$12:$G$15&gt;G12)))+(1-($O$12:$O$15*($G$12:$G$15&gt;G12)))*1E+300))),0)</f>
        <v>0</v>
      </c>
      <c r="R12" s="9">
        <f>IF(C12=0,0,IF(L12=1,1,IF(AND(O12=1,P12&lt;=Q12),1,0)))</f>
        <v>1</v>
      </c>
      <c r="S12" s="9">
        <f>IF(R12=1,1+SUMPRODUCT($R$12:$R$15*(($G$12:$G$15&lt;G12)+($G$12:$G$15=G12)*($A$12:$A$15&lt;A12))),0)</f>
        <v>1</v>
      </c>
      <c r="T12" s="9">
        <f>IF(S12&lt;=1,0,SUMPRODUCT(($S$12:$S$15=S12-1)*$G$12:$G$15))</f>
        <v>0</v>
      </c>
      <c r="U12" s="9">
        <f>IF(S12&lt;=1,0,SUMPRODUCT(($S$12:$S$15=S12-1)*$H$12:$H$15))</f>
        <v>0</v>
      </c>
      <c r="V12" s="19">
        <f>IF(S12=0,"",(G12-T12)/10^in_out_dp)</f>
        <v>0</v>
      </c>
      <c r="W12" s="25">
        <f>IF(S12=0,"",(H12-U12)/10^in_cost_dp)</f>
        <v>0</v>
      </c>
      <c r="X12" s="25">
        <f>IF(S12=0,"",IF(G12=T12,0,W12/V12))</f>
        <v>0</v>
      </c>
      <c r="Y12" s="25" t="str">
        <f>IF(AND(C12=1,G12&gt;0),K12/J12,"n/a")</f>
        <v>n/a</v>
      </c>
      <c r="Z12" s="14">
        <v>1</v>
      </c>
      <c r="AA12" s="6">
        <f>IF(AND(C12=1,Z12=1),1+SUMPRODUCT($C$12:$C$15*$Z$12:$Z$15*(($G$12:$G$15&lt;G12)+($G$12:$G$15=G12)*($H$12:$H$15&lt;H12)+($G$12:$G$15=G12)*($H$12:$H$15=H12)*($A$12:$A$15&lt;A12))),0)</f>
        <v>1</v>
      </c>
    </row>
    <row r="13" spans="1:27" x14ac:dyDescent="0.25">
      <c r="A13" s="4">
        <v>2</v>
      </c>
      <c r="B13" s="4" t="s">
        <v>59</v>
      </c>
      <c r="C13" s="9">
        <f>IF(SUMPRODUCT(D13:E13,1-$D$5:$E$5)=0,1,0)</f>
        <v>0</v>
      </c>
      <c r="D13" s="4">
        <v>0</v>
      </c>
      <c r="E13" s="4">
        <v>1</v>
      </c>
      <c r="F13" s="6" t="str">
        <f>IF(C13=1,1+SUMPRODUCT(D13:E13,$D$9:$E$9),"")</f>
        <v/>
      </c>
      <c r="G13" s="6">
        <f>SUMPRODUCT(D13:E13,$D$6:$E$6)</f>
        <v>0</v>
      </c>
      <c r="H13" s="6">
        <f>SUMPRODUCT(D13:E13,$D$7:$E$7)</f>
        <v>0</v>
      </c>
      <c r="I13" s="24">
        <f>SUMPRODUCT(D13:E13,$D$8:$E$8)</f>
        <v>0</v>
      </c>
      <c r="J13" s="19">
        <f>G13/10^in_out_dp</f>
        <v>0</v>
      </c>
      <c r="K13" s="25">
        <f>H13/10^in_cost_dp</f>
        <v>0</v>
      </c>
      <c r="L13" s="9">
        <f>IF(SUM(D13:E13)=0,1,0)</f>
        <v>0</v>
      </c>
      <c r="M13" s="9">
        <f>SUMPRODUCT($C$12:$C$15*(($G$12:$G$15=G13)*($H$12:$H$15&lt;H13)+($G$12:$G$15&gt;G13)*($H$12:$H$15&lt;=H13)))</f>
        <v>0</v>
      </c>
      <c r="N13" s="9">
        <f>IF(C13=0,0,IF(OR(L13=1,M13=0),1,0))</f>
        <v>0</v>
      </c>
      <c r="O13" s="9">
        <f>IF(AND(N13=1,L13=0,G13&gt;0),1,0)</f>
        <v>0</v>
      </c>
      <c r="P13" s="27">
        <f>IF(O13=1,MAX(H13/G13,SUMPRODUCT(MAX(((H13-$H$12:$H$15)*($O$12:$O$15*($G$12:$G$15&lt;G13)))/((G13-$G$12:$G$15)*($O$12:$O$15*($G$12:$G$15&lt;G13))+1-($O$12:$O$15*($G$12:$G$15&lt;G13)))-(1-($O$12:$O$15*($G$12:$G$15&lt;G13)))*1E+300))),0)</f>
        <v>0</v>
      </c>
      <c r="Q13" s="27">
        <f>IF(O13=1,SUMPRODUCT(MIN(((($H$12:$H$15-H13)*($O$12:$O$15*($G$12:$G$15&gt;G13)))/(($G$12:$G$15-G13)*($O$12:$O$15*($G$12:$G$15&gt;G13))+1-($O$12:$O$15*($G$12:$G$15&gt;G13)))+(1-($O$12:$O$15*($G$12:$G$15&gt;G13)))*1E+300))),0)</f>
        <v>0</v>
      </c>
      <c r="R13" s="9">
        <f>IF(C13=0,0,IF(L13=1,1,IF(AND(O13=1,P13&lt;=Q13),1,0)))</f>
        <v>0</v>
      </c>
      <c r="S13" s="9">
        <f>IF(R13=1,1+SUMPRODUCT($R$12:$R$15*(($G$12:$G$15&lt;G13)+($G$12:$G$15=G13)*($A$12:$A$15&lt;A13))),0)</f>
        <v>0</v>
      </c>
      <c r="T13" s="9">
        <f>IF(S13&lt;=1,0,SUMPRODUCT(($S$12:$S$15=S13-1)*$G$12:$G$15))</f>
        <v>0</v>
      </c>
      <c r="U13" s="9">
        <f>IF(S13&lt;=1,0,SUMPRODUCT(($S$12:$S$15=S13-1)*$H$12:$H$15))</f>
        <v>0</v>
      </c>
      <c r="V13" s="19" t="str">
        <f>IF(S13=0,"",(G13-T13)/10^in_out_dp)</f>
        <v/>
      </c>
      <c r="W13" s="25" t="str">
        <f>IF(S13=0,"",(H13-U13)/10^in_cost_dp)</f>
        <v/>
      </c>
      <c r="X13" s="25" t="str">
        <f>IF(S13=0,"",IF(G13=T13,0,W13/V13))</f>
        <v/>
      </c>
      <c r="Y13" s="25" t="str">
        <f>IF(AND(C13=1,G13&gt;0),K13/J13,"n/a")</f>
        <v>n/a</v>
      </c>
      <c r="Z13" s="14">
        <v>0</v>
      </c>
      <c r="AA13" s="6">
        <f>IF(AND(C13=1,Z13=1),1+SUMPRODUCT($C$12:$C$15*$Z$12:$Z$15*(($G$12:$G$15&lt;G13)+($G$12:$G$15=G13)*($H$12:$H$15&lt;H13)+($G$12:$G$15=G13)*($H$12:$H$15=H13)*($A$12:$A$15&lt;A13))),0)</f>
        <v>0</v>
      </c>
    </row>
    <row r="14" spans="1:27" x14ac:dyDescent="0.25">
      <c r="A14" s="4">
        <v>3</v>
      </c>
      <c r="B14" s="4" t="s">
        <v>53</v>
      </c>
      <c r="C14" s="9">
        <f>IF(SUMPRODUCT(D14:E14,1-$D$5:$E$5)=0,1,0)</f>
        <v>1</v>
      </c>
      <c r="D14" s="4">
        <v>1</v>
      </c>
      <c r="E14" s="4">
        <v>0</v>
      </c>
      <c r="F14" s="6">
        <f>IF(C14=1,1+SUMPRODUCT(D14:E14,$D$9:$E$9),"")</f>
        <v>2</v>
      </c>
      <c r="G14" s="6">
        <f>SUMPRODUCT(D14:E14,$D$6:$E$6)</f>
        <v>6208</v>
      </c>
      <c r="H14" s="6">
        <f>SUMPRODUCT(D14:E14,$D$7:$E$7)</f>
        <v>1871172</v>
      </c>
      <c r="I14" s="24">
        <f>SUMPRODUCT(D14:E14,$D$8:$E$8)</f>
        <v>400000</v>
      </c>
      <c r="J14" s="19">
        <f>G14/10^in_out_dp</f>
        <v>6.2080000000000002</v>
      </c>
      <c r="K14" s="25">
        <f>H14/10^in_cost_dp</f>
        <v>18711.72</v>
      </c>
      <c r="L14" s="9">
        <f>IF(SUM(D14:E14)=0,1,0)</f>
        <v>0</v>
      </c>
      <c r="M14" s="9">
        <f>SUMPRODUCT($C$12:$C$15*(($G$12:$G$15=G14)*($H$12:$H$15&lt;H14)+($G$12:$G$15&gt;G14)*($H$12:$H$15&lt;=H14)))</f>
        <v>0</v>
      </c>
      <c r="N14" s="9">
        <f>IF(C14=0,0,IF(OR(L14=1,M14=0),1,0))</f>
        <v>1</v>
      </c>
      <c r="O14" s="9">
        <f>IF(AND(N14=1,L14=0,G14&gt;0),1,0)</f>
        <v>1</v>
      </c>
      <c r="P14" s="27">
        <f>IF(O14=1,MAX(H14/G14,SUMPRODUCT(MAX(((H14-$H$12:$H$15)*($O$12:$O$15*($G$12:$G$15&lt;G14)))/((G14-$G$12:$G$15)*($O$12:$O$15*($G$12:$G$15&lt;G14))+1-($O$12:$O$15*($G$12:$G$15&lt;G14)))-(1-($O$12:$O$15*($G$12:$G$15&lt;G14)))*1E+300))),0)</f>
        <v>301.41301546391753</v>
      </c>
      <c r="Q14" s="27">
        <f>IF(O14=1,SUMPRODUCT(MIN(((($H$12:$H$15-H14)*($O$12:$O$15*($G$12:$G$15&gt;G14)))/(($G$12:$G$15-G14)*($O$12:$O$15*($G$12:$G$15&gt;G14))+1-($O$12:$O$15*($G$12:$G$15&gt;G14)))+(1-($O$12:$O$15*($G$12:$G$15&gt;G14)))*1E+300))),0)</f>
        <v>1.0000000000000001E+300</v>
      </c>
      <c r="R14" s="9">
        <f>IF(C14=0,0,IF(L14=1,1,IF(AND(O14=1,P14&lt;=Q14),1,0)))</f>
        <v>1</v>
      </c>
      <c r="S14" s="9">
        <f>IF(R14=1,1+SUMPRODUCT($R$12:$R$15*(($G$12:$G$15&lt;G14)+($G$12:$G$15=G14)*($A$12:$A$15&lt;A14))),0)</f>
        <v>2</v>
      </c>
      <c r="T14" s="9">
        <f>IF(S14&lt;=1,0,SUMPRODUCT(($S$12:$S$15=S14-1)*$G$12:$G$15))</f>
        <v>0</v>
      </c>
      <c r="U14" s="9">
        <f>IF(S14&lt;=1,0,SUMPRODUCT(($S$12:$S$15=S14-1)*$H$12:$H$15))</f>
        <v>0</v>
      </c>
      <c r="V14" s="19">
        <f>IF(S14=0,"",(G14-T14)/10^in_out_dp)</f>
        <v>6.2080000000000002</v>
      </c>
      <c r="W14" s="25">
        <f>IF(S14=0,"",(H14-U14)/10^in_cost_dp)</f>
        <v>18711.72</v>
      </c>
      <c r="X14" s="25">
        <f>IF(S14=0,"",IF(G14=T14,0,W14/V14))</f>
        <v>3014.1301546391755</v>
      </c>
      <c r="Y14" s="25">
        <f>IF(AND(C14=1,G14&gt;0),K14/J14,"n/a")</f>
        <v>3014.1301546391755</v>
      </c>
      <c r="Z14" s="14">
        <v>1</v>
      </c>
      <c r="AA14" s="6">
        <f>IF(AND(C14=1,Z14=1),1+SUMPRODUCT($C$12:$C$15*$Z$12:$Z$15*(($G$12:$G$15&lt;G14)+($G$12:$G$15=G14)*($H$12:$H$15&lt;H14)+($G$12:$G$15=G14)*($H$12:$H$15=H14)*($A$12:$A$15&lt;A14))),0)</f>
        <v>2</v>
      </c>
    </row>
    <row r="15" spans="1:27" x14ac:dyDescent="0.25">
      <c r="A15" s="4">
        <v>4</v>
      </c>
      <c r="B15" s="4" t="s">
        <v>144</v>
      </c>
      <c r="C15" s="9">
        <f>IF(SUMPRODUCT(D15:E15,1-$D$5:$E$5)=0,1,0)</f>
        <v>0</v>
      </c>
      <c r="D15" s="4">
        <v>1</v>
      </c>
      <c r="E15" s="4">
        <v>1</v>
      </c>
      <c r="F15" s="6" t="str">
        <f>IF(C15=1,1+SUMPRODUCT(D15:E15,$D$9:$E$9),"")</f>
        <v/>
      </c>
      <c r="G15" s="6">
        <f>SUMPRODUCT(D15:E15,$D$6:$E$6)</f>
        <v>6208</v>
      </c>
      <c r="H15" s="6">
        <f>SUMPRODUCT(D15:E15,$D$7:$E$7)</f>
        <v>1871172</v>
      </c>
      <c r="I15" s="24">
        <f>SUMPRODUCT(D15:E15,$D$8:$E$8)</f>
        <v>400000</v>
      </c>
      <c r="J15" s="19">
        <f>G15/10^in_out_dp</f>
        <v>6.2080000000000002</v>
      </c>
      <c r="K15" s="25">
        <f>H15/10^in_cost_dp</f>
        <v>18711.72</v>
      </c>
      <c r="L15" s="9">
        <f>IF(SUM(D15:E15)=0,1,0)</f>
        <v>0</v>
      </c>
      <c r="M15" s="9">
        <f>SUMPRODUCT($C$12:$C$15*(($G$12:$G$15=G15)*($H$12:$H$15&lt;H15)+($G$12:$G$15&gt;G15)*($H$12:$H$15&lt;=H15)))</f>
        <v>0</v>
      </c>
      <c r="N15" s="9">
        <f>IF(C15=0,0,IF(OR(L15=1,M15=0),1,0))</f>
        <v>0</v>
      </c>
      <c r="O15" s="9">
        <f>IF(AND(N15=1,L15=0,G15&gt;0),1,0)</f>
        <v>0</v>
      </c>
      <c r="P15" s="27">
        <f>IF(O15=1,MAX(H15/G15,SUMPRODUCT(MAX(((H15-$H$12:$H$15)*($O$12:$O$15*($G$12:$G$15&lt;G15)))/((G15-$G$12:$G$15)*($O$12:$O$15*($G$12:$G$15&lt;G15))+1-($O$12:$O$15*($G$12:$G$15&lt;G15)))-(1-($O$12:$O$15*($G$12:$G$15&lt;G15)))*1E+300))),0)</f>
        <v>0</v>
      </c>
      <c r="Q15" s="27">
        <f>IF(O15=1,SUMPRODUCT(MIN(((($H$12:$H$15-H15)*($O$12:$O$15*($G$12:$G$15&gt;G15)))/(($G$12:$G$15-G15)*($O$12:$O$15*($G$12:$G$15&gt;G15))+1-($O$12:$O$15*($G$12:$G$15&gt;G15)))+(1-($O$12:$O$15*($G$12:$G$15&gt;G15)))*1E+300))),0)</f>
        <v>0</v>
      </c>
      <c r="R15" s="9">
        <f>IF(C15=0,0,IF(L15=1,1,IF(AND(O15=1,P15&lt;=Q15),1,0)))</f>
        <v>0</v>
      </c>
      <c r="S15" s="9">
        <f>IF(R15=1,1+SUMPRODUCT($R$12:$R$15*(($G$12:$G$15&lt;G15)+($G$12:$G$15=G15)*($A$12:$A$15&lt;A15))),0)</f>
        <v>0</v>
      </c>
      <c r="T15" s="9">
        <f>IF(S15&lt;=1,0,SUMPRODUCT(($S$12:$S$15=S15-1)*$G$12:$G$15))</f>
        <v>0</v>
      </c>
      <c r="U15" s="9">
        <f>IF(S15&lt;=1,0,SUMPRODUCT(($S$12:$S$15=S15-1)*$H$12:$H$15))</f>
        <v>0</v>
      </c>
      <c r="V15" s="19" t="str">
        <f>IF(S15=0,"",(G15-T15)/10^in_out_dp)</f>
        <v/>
      </c>
      <c r="W15" s="25" t="str">
        <f>IF(S15=0,"",(H15-U15)/10^in_cost_dp)</f>
        <v/>
      </c>
      <c r="X15" s="25" t="str">
        <f>IF(S15=0,"",IF(G15=T15,0,W15/V15))</f>
        <v/>
      </c>
      <c r="Y15" s="25" t="str">
        <f>IF(AND(C15=1,G15&gt;0),K15/J15,"n/a")</f>
        <v>n/a</v>
      </c>
      <c r="Z15" s="14">
        <v>1</v>
      </c>
      <c r="AA15" s="6">
        <f>IF(AND(C15=1,Z15=1),1+SUMPRODUCT($C$12:$C$15*$Z$12:$Z$15*(($G$12:$G$15&lt;G15)+($G$12:$G$15=G15)*($H$12:$H$15&lt;H15)+($G$12:$G$15=G15)*($H$12:$H$15=H15)*($A$12:$A$15&lt;A15))),0)</f>
        <v>0</v>
      </c>
    </row>
  </sheetData>
  <sheetProtection password="C644" sheet="1" formatColumns="0" formatRows="0" sort="0" autoFilter="0"/>
  <dataValidations count="1">
    <dataValidation type="list" sqref="Z12:Z15" xr:uid="{00000000-0002-0000-0800-000000000000}">
      <formula1>"0,1"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800-000001000000}">
            <xm:f>Z12&lt;&gt;'snap Watershed plans'!Z12</xm:f>
            <x14:dxf>
              <fill>
                <patternFill patternType="solid">
                  <fgColor rgb="FFFFE08A"/>
                  <bgColor rgb="FFFFE08A"/>
                </patternFill>
              </fill>
            </x14:dxf>
          </x14:cfRule>
          <xm:sqref>Z12:Z15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9"/>
  <sheetViews>
    <sheetView showGridLines="0" workbookViewId="0"/>
  </sheetViews>
  <sheetFormatPr defaultRowHeight="15" x14ac:dyDescent="0.25"/>
  <cols>
    <col min="1" max="1" width="7" customWidth="1"/>
    <col min="2" max="2" width="10" customWidth="1"/>
    <col min="3" max="3" width="40" customWidth="1"/>
    <col min="4" max="4" width="12" customWidth="1"/>
    <col min="5" max="6" width="15" customWidth="1"/>
    <col min="7" max="8" width="12" customWidth="1"/>
    <col min="9" max="9" width="13" customWidth="1"/>
    <col min="10" max="10" width="14" customWidth="1"/>
    <col min="11" max="11" width="10" customWidth="1"/>
    <col min="12" max="12" width="50" customWidth="1"/>
  </cols>
  <sheetData>
    <row r="1" spans="1:8" ht="18.75" x14ac:dyDescent="0.3">
      <c r="A1" s="1" t="s">
        <v>145</v>
      </c>
    </row>
    <row r="2" spans="1:8" x14ac:dyDescent="0.25">
      <c r="A2" s="2" t="s">
        <v>146</v>
      </c>
    </row>
    <row r="4" spans="1:8" x14ac:dyDescent="0.25">
      <c r="A4" s="7" t="s">
        <v>147</v>
      </c>
    </row>
    <row r="5" spans="1:8" ht="30" x14ac:dyDescent="0.25">
      <c r="A5" s="11" t="s">
        <v>148</v>
      </c>
      <c r="B5" s="11" t="s">
        <v>141</v>
      </c>
      <c r="C5" s="11" t="s">
        <v>139</v>
      </c>
      <c r="D5" s="11" t="s">
        <v>105</v>
      </c>
      <c r="E5" s="11" t="s">
        <v>77</v>
      </c>
      <c r="F5" s="11" t="s">
        <v>106</v>
      </c>
      <c r="G5" s="11" t="s">
        <v>127</v>
      </c>
      <c r="H5" s="11" t="s">
        <v>126</v>
      </c>
    </row>
    <row r="6" spans="1:8" x14ac:dyDescent="0.25">
      <c r="A6" s="4">
        <v>1</v>
      </c>
      <c r="B6" s="6">
        <f>IFERROR(INDEX('Watershed plans'!$F$12:$F$15,MATCH(1,'Watershed plans'!$S$12:$S$15,0)),"")</f>
        <v>1</v>
      </c>
      <c r="C6" s="9" t="str">
        <f>IFERROR(INDEX('Watershed plans'!$B$12:$B$15,MATCH(1,'Watershed plans'!$S$12:$S$15,0)),"")</f>
        <v>No Action</v>
      </c>
      <c r="D6" s="19">
        <f>IFERROR(INDEX('Watershed plans'!$J$12:$J$15,MATCH(1,'Watershed plans'!$S$12:$S$15,0)),"")</f>
        <v>0</v>
      </c>
      <c r="E6" s="25">
        <f>IFERROR(INDEX('Watershed plans'!$K$12:$K$15,MATCH(1,'Watershed plans'!$S$12:$S$15,0)),"")</f>
        <v>0</v>
      </c>
      <c r="F6" s="24">
        <f>IFERROR(INDEX('Watershed plans'!$I$12:$I$15,MATCH(1,'Watershed plans'!$S$12:$S$15,0)),"")</f>
        <v>0</v>
      </c>
      <c r="G6" s="25" t="str">
        <f>IFERROR(INDEX('Watershed plans'!$Y$12:$Y$15,MATCH(1,'Watershed plans'!$S$12:$S$15,0)),"")</f>
        <v>n/a</v>
      </c>
      <c r="H6" s="25">
        <f>IFERROR(INDEX('Watershed plans'!$X$12:$X$15,MATCH(1,'Watershed plans'!$S$12:$S$15,0)),"")</f>
        <v>0</v>
      </c>
    </row>
    <row r="7" spans="1:8" x14ac:dyDescent="0.25">
      <c r="A7" s="4">
        <v>2</v>
      </c>
      <c r="B7" s="6">
        <f>IFERROR(INDEX('Watershed plans'!$F$12:$F$15,MATCH(2,'Watershed plans'!$S$12:$S$15,0)),"")</f>
        <v>2</v>
      </c>
      <c r="C7" s="9" t="str">
        <f>IFERROR(INDEX('Watershed plans'!$B$12:$B$15,MATCH(2,'Watershed plans'!$S$12:$S$15,0)),"")</f>
        <v>A</v>
      </c>
      <c r="D7" s="19">
        <f>IFERROR(INDEX('Watershed plans'!$J$12:$J$15,MATCH(2,'Watershed plans'!$S$12:$S$15,0)),"")</f>
        <v>6.2080000000000002</v>
      </c>
      <c r="E7" s="25">
        <f>IFERROR(INDEX('Watershed plans'!$K$12:$K$15,MATCH(2,'Watershed plans'!$S$12:$S$15,0)),"")</f>
        <v>18711.72</v>
      </c>
      <c r="F7" s="24">
        <f>IFERROR(INDEX('Watershed plans'!$I$12:$I$15,MATCH(2,'Watershed plans'!$S$12:$S$15,0)),"")</f>
        <v>400000</v>
      </c>
      <c r="G7" s="25">
        <f>IFERROR(INDEX('Watershed plans'!$Y$12:$Y$15,MATCH(2,'Watershed plans'!$S$12:$S$15,0)),"")</f>
        <v>3014.1301546391755</v>
      </c>
      <c r="H7" s="25">
        <f>IFERROR(INDEX('Watershed plans'!$X$12:$X$15,MATCH(2,'Watershed plans'!$S$12:$S$15,0)),"")</f>
        <v>3014.1301546391755</v>
      </c>
    </row>
    <row r="8" spans="1:8" x14ac:dyDescent="0.25">
      <c r="A8" s="4">
        <v>3</v>
      </c>
      <c r="B8" s="6" t="str">
        <f>IFERROR(INDEX('Watershed plans'!$F$12:$F$15,MATCH(3,'Watershed plans'!$S$12:$S$15,0)),"")</f>
        <v/>
      </c>
      <c r="C8" s="9" t="str">
        <f>IFERROR(INDEX('Watershed plans'!$B$12:$B$15,MATCH(3,'Watershed plans'!$S$12:$S$15,0)),"")</f>
        <v/>
      </c>
      <c r="D8" s="19" t="str">
        <f>IFERROR(INDEX('Watershed plans'!$J$12:$J$15,MATCH(3,'Watershed plans'!$S$12:$S$15,0)),"")</f>
        <v/>
      </c>
      <c r="E8" s="25" t="str">
        <f>IFERROR(INDEX('Watershed plans'!$K$12:$K$15,MATCH(3,'Watershed plans'!$S$12:$S$15,0)),"")</f>
        <v/>
      </c>
      <c r="F8" s="24" t="str">
        <f>IFERROR(INDEX('Watershed plans'!$I$12:$I$15,MATCH(3,'Watershed plans'!$S$12:$S$15,0)),"")</f>
        <v/>
      </c>
      <c r="G8" s="25" t="str">
        <f>IFERROR(INDEX('Watershed plans'!$Y$12:$Y$15,MATCH(3,'Watershed plans'!$S$12:$S$15,0)),"")</f>
        <v/>
      </c>
      <c r="H8" s="25" t="str">
        <f>IFERROR(INDEX('Watershed plans'!$X$12:$X$15,MATCH(3,'Watershed plans'!$S$12:$S$15,0)),"")</f>
        <v/>
      </c>
    </row>
    <row r="9" spans="1:8" x14ac:dyDescent="0.25">
      <c r="A9" s="4">
        <v>4</v>
      </c>
      <c r="B9" s="6" t="str">
        <f>IFERROR(INDEX('Watershed plans'!$F$12:$F$15,MATCH(4,'Watershed plans'!$S$12:$S$15,0)),"")</f>
        <v/>
      </c>
      <c r="C9" s="9" t="str">
        <f>IFERROR(INDEX('Watershed plans'!$B$12:$B$15,MATCH(4,'Watershed plans'!$S$12:$S$15,0)),"")</f>
        <v/>
      </c>
      <c r="D9" s="19" t="str">
        <f>IFERROR(INDEX('Watershed plans'!$J$12:$J$15,MATCH(4,'Watershed plans'!$S$12:$S$15,0)),"")</f>
        <v/>
      </c>
      <c r="E9" s="25" t="str">
        <f>IFERROR(INDEX('Watershed plans'!$K$12:$K$15,MATCH(4,'Watershed plans'!$S$12:$S$15,0)),"")</f>
        <v/>
      </c>
      <c r="F9" s="24" t="str">
        <f>IFERROR(INDEX('Watershed plans'!$I$12:$I$15,MATCH(4,'Watershed plans'!$S$12:$S$15,0)),"")</f>
        <v/>
      </c>
      <c r="G9" s="25" t="str">
        <f>IFERROR(INDEX('Watershed plans'!$Y$12:$Y$15,MATCH(4,'Watershed plans'!$S$12:$S$15,0)),"")</f>
        <v/>
      </c>
      <c r="H9" s="25" t="str">
        <f>IFERROR(INDEX('Watershed plans'!$X$12:$X$15,MATCH(4,'Watershed plans'!$S$12:$S$15,0)),"")</f>
        <v/>
      </c>
    </row>
    <row r="10" spans="1:8" x14ac:dyDescent="0.25">
      <c r="A10" s="4">
        <v>5</v>
      </c>
      <c r="B10" s="6" t="str">
        <f>IFERROR(INDEX('Watershed plans'!$F$12:$F$15,MATCH(5,'Watershed plans'!$S$12:$S$15,0)),"")</f>
        <v/>
      </c>
      <c r="C10" s="9" t="str">
        <f>IFERROR(INDEX('Watershed plans'!$B$12:$B$15,MATCH(5,'Watershed plans'!$S$12:$S$15,0)),"")</f>
        <v/>
      </c>
      <c r="D10" s="19" t="str">
        <f>IFERROR(INDEX('Watershed plans'!$J$12:$J$15,MATCH(5,'Watershed plans'!$S$12:$S$15,0)),"")</f>
        <v/>
      </c>
      <c r="E10" s="25" t="str">
        <f>IFERROR(INDEX('Watershed plans'!$K$12:$K$15,MATCH(5,'Watershed plans'!$S$12:$S$15,0)),"")</f>
        <v/>
      </c>
      <c r="F10" s="24" t="str">
        <f>IFERROR(INDEX('Watershed plans'!$I$12:$I$15,MATCH(5,'Watershed plans'!$S$12:$S$15,0)),"")</f>
        <v/>
      </c>
      <c r="G10" s="25" t="str">
        <f>IFERROR(INDEX('Watershed plans'!$Y$12:$Y$15,MATCH(5,'Watershed plans'!$S$12:$S$15,0)),"")</f>
        <v/>
      </c>
      <c r="H10" s="25" t="str">
        <f>IFERROR(INDEX('Watershed plans'!$X$12:$X$15,MATCH(5,'Watershed plans'!$S$12:$S$15,0)),"")</f>
        <v/>
      </c>
    </row>
    <row r="11" spans="1:8" x14ac:dyDescent="0.25">
      <c r="A11" s="4">
        <v>6</v>
      </c>
      <c r="B11" s="6" t="str">
        <f>IFERROR(INDEX('Watershed plans'!$F$12:$F$15,MATCH(6,'Watershed plans'!$S$12:$S$15,0)),"")</f>
        <v/>
      </c>
      <c r="C11" s="9" t="str">
        <f>IFERROR(INDEX('Watershed plans'!$B$12:$B$15,MATCH(6,'Watershed plans'!$S$12:$S$15,0)),"")</f>
        <v/>
      </c>
      <c r="D11" s="19" t="str">
        <f>IFERROR(INDEX('Watershed plans'!$J$12:$J$15,MATCH(6,'Watershed plans'!$S$12:$S$15,0)),"")</f>
        <v/>
      </c>
      <c r="E11" s="25" t="str">
        <f>IFERROR(INDEX('Watershed plans'!$K$12:$K$15,MATCH(6,'Watershed plans'!$S$12:$S$15,0)),"")</f>
        <v/>
      </c>
      <c r="F11" s="24" t="str">
        <f>IFERROR(INDEX('Watershed plans'!$I$12:$I$15,MATCH(6,'Watershed plans'!$S$12:$S$15,0)),"")</f>
        <v/>
      </c>
      <c r="G11" s="25" t="str">
        <f>IFERROR(INDEX('Watershed plans'!$Y$12:$Y$15,MATCH(6,'Watershed plans'!$S$12:$S$15,0)),"")</f>
        <v/>
      </c>
      <c r="H11" s="25" t="str">
        <f>IFERROR(INDEX('Watershed plans'!$X$12:$X$15,MATCH(6,'Watershed plans'!$S$12:$S$15,0)),"")</f>
        <v/>
      </c>
    </row>
    <row r="12" spans="1:8" x14ac:dyDescent="0.25">
      <c r="A12" s="4">
        <v>7</v>
      </c>
      <c r="B12" s="6" t="str">
        <f>IFERROR(INDEX('Watershed plans'!$F$12:$F$15,MATCH(7,'Watershed plans'!$S$12:$S$15,0)),"")</f>
        <v/>
      </c>
      <c r="C12" s="9" t="str">
        <f>IFERROR(INDEX('Watershed plans'!$B$12:$B$15,MATCH(7,'Watershed plans'!$S$12:$S$15,0)),"")</f>
        <v/>
      </c>
      <c r="D12" s="19" t="str">
        <f>IFERROR(INDEX('Watershed plans'!$J$12:$J$15,MATCH(7,'Watershed plans'!$S$12:$S$15,0)),"")</f>
        <v/>
      </c>
      <c r="E12" s="25" t="str">
        <f>IFERROR(INDEX('Watershed plans'!$K$12:$K$15,MATCH(7,'Watershed plans'!$S$12:$S$15,0)),"")</f>
        <v/>
      </c>
      <c r="F12" s="24" t="str">
        <f>IFERROR(INDEX('Watershed plans'!$I$12:$I$15,MATCH(7,'Watershed plans'!$S$12:$S$15,0)),"")</f>
        <v/>
      </c>
      <c r="G12" s="25" t="str">
        <f>IFERROR(INDEX('Watershed plans'!$Y$12:$Y$15,MATCH(7,'Watershed plans'!$S$12:$S$15,0)),"")</f>
        <v/>
      </c>
      <c r="H12" s="25" t="str">
        <f>IFERROR(INDEX('Watershed plans'!$X$12:$X$15,MATCH(7,'Watershed plans'!$S$12:$S$15,0)),"")</f>
        <v/>
      </c>
    </row>
    <row r="13" spans="1:8" x14ac:dyDescent="0.25">
      <c r="A13" s="4">
        <v>8</v>
      </c>
      <c r="B13" s="6" t="str">
        <f>IFERROR(INDEX('Watershed plans'!$F$12:$F$15,MATCH(8,'Watershed plans'!$S$12:$S$15,0)),"")</f>
        <v/>
      </c>
      <c r="C13" s="9" t="str">
        <f>IFERROR(INDEX('Watershed plans'!$B$12:$B$15,MATCH(8,'Watershed plans'!$S$12:$S$15,0)),"")</f>
        <v/>
      </c>
      <c r="D13" s="19" t="str">
        <f>IFERROR(INDEX('Watershed plans'!$J$12:$J$15,MATCH(8,'Watershed plans'!$S$12:$S$15,0)),"")</f>
        <v/>
      </c>
      <c r="E13" s="25" t="str">
        <f>IFERROR(INDEX('Watershed plans'!$K$12:$K$15,MATCH(8,'Watershed plans'!$S$12:$S$15,0)),"")</f>
        <v/>
      </c>
      <c r="F13" s="24" t="str">
        <f>IFERROR(INDEX('Watershed plans'!$I$12:$I$15,MATCH(8,'Watershed plans'!$S$12:$S$15,0)),"")</f>
        <v/>
      </c>
      <c r="G13" s="25" t="str">
        <f>IFERROR(INDEX('Watershed plans'!$Y$12:$Y$15,MATCH(8,'Watershed plans'!$S$12:$S$15,0)),"")</f>
        <v/>
      </c>
      <c r="H13" s="25" t="str">
        <f>IFERROR(INDEX('Watershed plans'!$X$12:$X$15,MATCH(8,'Watershed plans'!$S$12:$S$15,0)),"")</f>
        <v/>
      </c>
    </row>
    <row r="14" spans="1:8" x14ac:dyDescent="0.25">
      <c r="A14" s="4">
        <v>9</v>
      </c>
      <c r="B14" s="6" t="str">
        <f>IFERROR(INDEX('Watershed plans'!$F$12:$F$15,MATCH(9,'Watershed plans'!$S$12:$S$15,0)),"")</f>
        <v/>
      </c>
      <c r="C14" s="9" t="str">
        <f>IFERROR(INDEX('Watershed plans'!$B$12:$B$15,MATCH(9,'Watershed plans'!$S$12:$S$15,0)),"")</f>
        <v/>
      </c>
      <c r="D14" s="19" t="str">
        <f>IFERROR(INDEX('Watershed plans'!$J$12:$J$15,MATCH(9,'Watershed plans'!$S$12:$S$15,0)),"")</f>
        <v/>
      </c>
      <c r="E14" s="25" t="str">
        <f>IFERROR(INDEX('Watershed plans'!$K$12:$K$15,MATCH(9,'Watershed plans'!$S$12:$S$15,0)),"")</f>
        <v/>
      </c>
      <c r="F14" s="24" t="str">
        <f>IFERROR(INDEX('Watershed plans'!$I$12:$I$15,MATCH(9,'Watershed plans'!$S$12:$S$15,0)),"")</f>
        <v/>
      </c>
      <c r="G14" s="25" t="str">
        <f>IFERROR(INDEX('Watershed plans'!$Y$12:$Y$15,MATCH(9,'Watershed plans'!$S$12:$S$15,0)),"")</f>
        <v/>
      </c>
      <c r="H14" s="25" t="str">
        <f>IFERROR(INDEX('Watershed plans'!$X$12:$X$15,MATCH(9,'Watershed plans'!$S$12:$S$15,0)),"")</f>
        <v/>
      </c>
    </row>
    <row r="15" spans="1:8" x14ac:dyDescent="0.25">
      <c r="A15" s="4">
        <v>10</v>
      </c>
      <c r="B15" s="6" t="str">
        <f>IFERROR(INDEX('Watershed plans'!$F$12:$F$15,MATCH(10,'Watershed plans'!$S$12:$S$15,0)),"")</f>
        <v/>
      </c>
      <c r="C15" s="9" t="str">
        <f>IFERROR(INDEX('Watershed plans'!$B$12:$B$15,MATCH(10,'Watershed plans'!$S$12:$S$15,0)),"")</f>
        <v/>
      </c>
      <c r="D15" s="19" t="str">
        <f>IFERROR(INDEX('Watershed plans'!$J$12:$J$15,MATCH(10,'Watershed plans'!$S$12:$S$15,0)),"")</f>
        <v/>
      </c>
      <c r="E15" s="25" t="str">
        <f>IFERROR(INDEX('Watershed plans'!$K$12:$K$15,MATCH(10,'Watershed plans'!$S$12:$S$15,0)),"")</f>
        <v/>
      </c>
      <c r="F15" s="24" t="str">
        <f>IFERROR(INDEX('Watershed plans'!$I$12:$I$15,MATCH(10,'Watershed plans'!$S$12:$S$15,0)),"")</f>
        <v/>
      </c>
      <c r="G15" s="25" t="str">
        <f>IFERROR(INDEX('Watershed plans'!$Y$12:$Y$15,MATCH(10,'Watershed plans'!$S$12:$S$15,0)),"")</f>
        <v/>
      </c>
      <c r="H15" s="25" t="str">
        <f>IFERROR(INDEX('Watershed plans'!$X$12:$X$15,MATCH(10,'Watershed plans'!$S$12:$S$15,0)),"")</f>
        <v/>
      </c>
    </row>
    <row r="16" spans="1:8" x14ac:dyDescent="0.25">
      <c r="A16" s="4">
        <v>11</v>
      </c>
      <c r="B16" s="6" t="str">
        <f>IFERROR(INDEX('Watershed plans'!$F$12:$F$15,MATCH(11,'Watershed plans'!$S$12:$S$15,0)),"")</f>
        <v/>
      </c>
      <c r="C16" s="9" t="str">
        <f>IFERROR(INDEX('Watershed plans'!$B$12:$B$15,MATCH(11,'Watershed plans'!$S$12:$S$15,0)),"")</f>
        <v/>
      </c>
      <c r="D16" s="19" t="str">
        <f>IFERROR(INDEX('Watershed plans'!$J$12:$J$15,MATCH(11,'Watershed plans'!$S$12:$S$15,0)),"")</f>
        <v/>
      </c>
      <c r="E16" s="25" t="str">
        <f>IFERROR(INDEX('Watershed plans'!$K$12:$K$15,MATCH(11,'Watershed plans'!$S$12:$S$15,0)),"")</f>
        <v/>
      </c>
      <c r="F16" s="24" t="str">
        <f>IFERROR(INDEX('Watershed plans'!$I$12:$I$15,MATCH(11,'Watershed plans'!$S$12:$S$15,0)),"")</f>
        <v/>
      </c>
      <c r="G16" s="25" t="str">
        <f>IFERROR(INDEX('Watershed plans'!$Y$12:$Y$15,MATCH(11,'Watershed plans'!$S$12:$S$15,0)),"")</f>
        <v/>
      </c>
      <c r="H16" s="25" t="str">
        <f>IFERROR(INDEX('Watershed plans'!$X$12:$X$15,MATCH(11,'Watershed plans'!$S$12:$S$15,0)),"")</f>
        <v/>
      </c>
    </row>
    <row r="17" spans="1:8" x14ac:dyDescent="0.25">
      <c r="A17" s="4">
        <v>12</v>
      </c>
      <c r="B17" s="6" t="str">
        <f>IFERROR(INDEX('Watershed plans'!$F$12:$F$15,MATCH(12,'Watershed plans'!$S$12:$S$15,0)),"")</f>
        <v/>
      </c>
      <c r="C17" s="9" t="str">
        <f>IFERROR(INDEX('Watershed plans'!$B$12:$B$15,MATCH(12,'Watershed plans'!$S$12:$S$15,0)),"")</f>
        <v/>
      </c>
      <c r="D17" s="19" t="str">
        <f>IFERROR(INDEX('Watershed plans'!$J$12:$J$15,MATCH(12,'Watershed plans'!$S$12:$S$15,0)),"")</f>
        <v/>
      </c>
      <c r="E17" s="25" t="str">
        <f>IFERROR(INDEX('Watershed plans'!$K$12:$K$15,MATCH(12,'Watershed plans'!$S$12:$S$15,0)),"")</f>
        <v/>
      </c>
      <c r="F17" s="24" t="str">
        <f>IFERROR(INDEX('Watershed plans'!$I$12:$I$15,MATCH(12,'Watershed plans'!$S$12:$S$15,0)),"")</f>
        <v/>
      </c>
      <c r="G17" s="25" t="str">
        <f>IFERROR(INDEX('Watershed plans'!$Y$12:$Y$15,MATCH(12,'Watershed plans'!$S$12:$S$15,0)),"")</f>
        <v/>
      </c>
      <c r="H17" s="25" t="str">
        <f>IFERROR(INDEX('Watershed plans'!$X$12:$X$15,MATCH(12,'Watershed plans'!$S$12:$S$15,0)),"")</f>
        <v/>
      </c>
    </row>
    <row r="18" spans="1:8" x14ac:dyDescent="0.25">
      <c r="A18" s="4">
        <v>13</v>
      </c>
      <c r="B18" s="6" t="str">
        <f>IFERROR(INDEX('Watershed plans'!$F$12:$F$15,MATCH(13,'Watershed plans'!$S$12:$S$15,0)),"")</f>
        <v/>
      </c>
      <c r="C18" s="9" t="str">
        <f>IFERROR(INDEX('Watershed plans'!$B$12:$B$15,MATCH(13,'Watershed plans'!$S$12:$S$15,0)),"")</f>
        <v/>
      </c>
      <c r="D18" s="19" t="str">
        <f>IFERROR(INDEX('Watershed plans'!$J$12:$J$15,MATCH(13,'Watershed plans'!$S$12:$S$15,0)),"")</f>
        <v/>
      </c>
      <c r="E18" s="25" t="str">
        <f>IFERROR(INDEX('Watershed plans'!$K$12:$K$15,MATCH(13,'Watershed plans'!$S$12:$S$15,0)),"")</f>
        <v/>
      </c>
      <c r="F18" s="24" t="str">
        <f>IFERROR(INDEX('Watershed plans'!$I$12:$I$15,MATCH(13,'Watershed plans'!$S$12:$S$15,0)),"")</f>
        <v/>
      </c>
      <c r="G18" s="25" t="str">
        <f>IFERROR(INDEX('Watershed plans'!$Y$12:$Y$15,MATCH(13,'Watershed plans'!$S$12:$S$15,0)),"")</f>
        <v/>
      </c>
      <c r="H18" s="25" t="str">
        <f>IFERROR(INDEX('Watershed plans'!$X$12:$X$15,MATCH(13,'Watershed plans'!$S$12:$S$15,0)),"")</f>
        <v/>
      </c>
    </row>
    <row r="19" spans="1:8" x14ac:dyDescent="0.25">
      <c r="A19" s="4">
        <v>14</v>
      </c>
      <c r="B19" s="6" t="str">
        <f>IFERROR(INDEX('Watershed plans'!$F$12:$F$15,MATCH(14,'Watershed plans'!$S$12:$S$15,0)),"")</f>
        <v/>
      </c>
      <c r="C19" s="9" t="str">
        <f>IFERROR(INDEX('Watershed plans'!$B$12:$B$15,MATCH(14,'Watershed plans'!$S$12:$S$15,0)),"")</f>
        <v/>
      </c>
      <c r="D19" s="19" t="str">
        <f>IFERROR(INDEX('Watershed plans'!$J$12:$J$15,MATCH(14,'Watershed plans'!$S$12:$S$15,0)),"")</f>
        <v/>
      </c>
      <c r="E19" s="25" t="str">
        <f>IFERROR(INDEX('Watershed plans'!$K$12:$K$15,MATCH(14,'Watershed plans'!$S$12:$S$15,0)),"")</f>
        <v/>
      </c>
      <c r="F19" s="24" t="str">
        <f>IFERROR(INDEX('Watershed plans'!$I$12:$I$15,MATCH(14,'Watershed plans'!$S$12:$S$15,0)),"")</f>
        <v/>
      </c>
      <c r="G19" s="25" t="str">
        <f>IFERROR(INDEX('Watershed plans'!$Y$12:$Y$15,MATCH(14,'Watershed plans'!$S$12:$S$15,0)),"")</f>
        <v/>
      </c>
      <c r="H19" s="25" t="str">
        <f>IFERROR(INDEX('Watershed plans'!$X$12:$X$15,MATCH(14,'Watershed plans'!$S$12:$S$15,0)),"")</f>
        <v/>
      </c>
    </row>
    <row r="20" spans="1:8" x14ac:dyDescent="0.25">
      <c r="A20" s="4">
        <v>15</v>
      </c>
      <c r="B20" s="6" t="str">
        <f>IFERROR(INDEX('Watershed plans'!$F$12:$F$15,MATCH(15,'Watershed plans'!$S$12:$S$15,0)),"")</f>
        <v/>
      </c>
      <c r="C20" s="9" t="str">
        <f>IFERROR(INDEX('Watershed plans'!$B$12:$B$15,MATCH(15,'Watershed plans'!$S$12:$S$15,0)),"")</f>
        <v/>
      </c>
      <c r="D20" s="19" t="str">
        <f>IFERROR(INDEX('Watershed plans'!$J$12:$J$15,MATCH(15,'Watershed plans'!$S$12:$S$15,0)),"")</f>
        <v/>
      </c>
      <c r="E20" s="25" t="str">
        <f>IFERROR(INDEX('Watershed plans'!$K$12:$K$15,MATCH(15,'Watershed plans'!$S$12:$S$15,0)),"")</f>
        <v/>
      </c>
      <c r="F20" s="24" t="str">
        <f>IFERROR(INDEX('Watershed plans'!$I$12:$I$15,MATCH(15,'Watershed plans'!$S$12:$S$15,0)),"")</f>
        <v/>
      </c>
      <c r="G20" s="25" t="str">
        <f>IFERROR(INDEX('Watershed plans'!$Y$12:$Y$15,MATCH(15,'Watershed plans'!$S$12:$S$15,0)),"")</f>
        <v/>
      </c>
      <c r="H20" s="25" t="str">
        <f>IFERROR(INDEX('Watershed plans'!$X$12:$X$15,MATCH(15,'Watershed plans'!$S$12:$S$15,0)),"")</f>
        <v/>
      </c>
    </row>
    <row r="21" spans="1:8" x14ac:dyDescent="0.25">
      <c r="A21" s="4">
        <v>16</v>
      </c>
      <c r="B21" s="6" t="str">
        <f>IFERROR(INDEX('Watershed plans'!$F$12:$F$15,MATCH(16,'Watershed plans'!$S$12:$S$15,0)),"")</f>
        <v/>
      </c>
      <c r="C21" s="9" t="str">
        <f>IFERROR(INDEX('Watershed plans'!$B$12:$B$15,MATCH(16,'Watershed plans'!$S$12:$S$15,0)),"")</f>
        <v/>
      </c>
      <c r="D21" s="19" t="str">
        <f>IFERROR(INDEX('Watershed plans'!$J$12:$J$15,MATCH(16,'Watershed plans'!$S$12:$S$15,0)),"")</f>
        <v/>
      </c>
      <c r="E21" s="25" t="str">
        <f>IFERROR(INDEX('Watershed plans'!$K$12:$K$15,MATCH(16,'Watershed plans'!$S$12:$S$15,0)),"")</f>
        <v/>
      </c>
      <c r="F21" s="24" t="str">
        <f>IFERROR(INDEX('Watershed plans'!$I$12:$I$15,MATCH(16,'Watershed plans'!$S$12:$S$15,0)),"")</f>
        <v/>
      </c>
      <c r="G21" s="25" t="str">
        <f>IFERROR(INDEX('Watershed plans'!$Y$12:$Y$15,MATCH(16,'Watershed plans'!$S$12:$S$15,0)),"")</f>
        <v/>
      </c>
      <c r="H21" s="25" t="str">
        <f>IFERROR(INDEX('Watershed plans'!$X$12:$X$15,MATCH(16,'Watershed plans'!$S$12:$S$15,0)),"")</f>
        <v/>
      </c>
    </row>
    <row r="22" spans="1:8" x14ac:dyDescent="0.25">
      <c r="A22" s="4">
        <v>17</v>
      </c>
      <c r="B22" s="6" t="str">
        <f>IFERROR(INDEX('Watershed plans'!$F$12:$F$15,MATCH(17,'Watershed plans'!$S$12:$S$15,0)),"")</f>
        <v/>
      </c>
      <c r="C22" s="9" t="str">
        <f>IFERROR(INDEX('Watershed plans'!$B$12:$B$15,MATCH(17,'Watershed plans'!$S$12:$S$15,0)),"")</f>
        <v/>
      </c>
      <c r="D22" s="19" t="str">
        <f>IFERROR(INDEX('Watershed plans'!$J$12:$J$15,MATCH(17,'Watershed plans'!$S$12:$S$15,0)),"")</f>
        <v/>
      </c>
      <c r="E22" s="25" t="str">
        <f>IFERROR(INDEX('Watershed plans'!$K$12:$K$15,MATCH(17,'Watershed plans'!$S$12:$S$15,0)),"")</f>
        <v/>
      </c>
      <c r="F22" s="24" t="str">
        <f>IFERROR(INDEX('Watershed plans'!$I$12:$I$15,MATCH(17,'Watershed plans'!$S$12:$S$15,0)),"")</f>
        <v/>
      </c>
      <c r="G22" s="25" t="str">
        <f>IFERROR(INDEX('Watershed plans'!$Y$12:$Y$15,MATCH(17,'Watershed plans'!$S$12:$S$15,0)),"")</f>
        <v/>
      </c>
      <c r="H22" s="25" t="str">
        <f>IFERROR(INDEX('Watershed plans'!$X$12:$X$15,MATCH(17,'Watershed plans'!$S$12:$S$15,0)),"")</f>
        <v/>
      </c>
    </row>
    <row r="23" spans="1:8" x14ac:dyDescent="0.25">
      <c r="A23" s="4">
        <v>18</v>
      </c>
      <c r="B23" s="6" t="str">
        <f>IFERROR(INDEX('Watershed plans'!$F$12:$F$15,MATCH(18,'Watershed plans'!$S$12:$S$15,0)),"")</f>
        <v/>
      </c>
      <c r="C23" s="9" t="str">
        <f>IFERROR(INDEX('Watershed plans'!$B$12:$B$15,MATCH(18,'Watershed plans'!$S$12:$S$15,0)),"")</f>
        <v/>
      </c>
      <c r="D23" s="19" t="str">
        <f>IFERROR(INDEX('Watershed plans'!$J$12:$J$15,MATCH(18,'Watershed plans'!$S$12:$S$15,0)),"")</f>
        <v/>
      </c>
      <c r="E23" s="25" t="str">
        <f>IFERROR(INDEX('Watershed plans'!$K$12:$K$15,MATCH(18,'Watershed plans'!$S$12:$S$15,0)),"")</f>
        <v/>
      </c>
      <c r="F23" s="24" t="str">
        <f>IFERROR(INDEX('Watershed plans'!$I$12:$I$15,MATCH(18,'Watershed plans'!$S$12:$S$15,0)),"")</f>
        <v/>
      </c>
      <c r="G23" s="25" t="str">
        <f>IFERROR(INDEX('Watershed plans'!$Y$12:$Y$15,MATCH(18,'Watershed plans'!$S$12:$S$15,0)),"")</f>
        <v/>
      </c>
      <c r="H23" s="25" t="str">
        <f>IFERROR(INDEX('Watershed plans'!$X$12:$X$15,MATCH(18,'Watershed plans'!$S$12:$S$15,0)),"")</f>
        <v/>
      </c>
    </row>
    <row r="24" spans="1:8" x14ac:dyDescent="0.25">
      <c r="A24" s="4">
        <v>19</v>
      </c>
      <c r="B24" s="6" t="str">
        <f>IFERROR(INDEX('Watershed plans'!$F$12:$F$15,MATCH(19,'Watershed plans'!$S$12:$S$15,0)),"")</f>
        <v/>
      </c>
      <c r="C24" s="9" t="str">
        <f>IFERROR(INDEX('Watershed plans'!$B$12:$B$15,MATCH(19,'Watershed plans'!$S$12:$S$15,0)),"")</f>
        <v/>
      </c>
      <c r="D24" s="19" t="str">
        <f>IFERROR(INDEX('Watershed plans'!$J$12:$J$15,MATCH(19,'Watershed plans'!$S$12:$S$15,0)),"")</f>
        <v/>
      </c>
      <c r="E24" s="25" t="str">
        <f>IFERROR(INDEX('Watershed plans'!$K$12:$K$15,MATCH(19,'Watershed plans'!$S$12:$S$15,0)),"")</f>
        <v/>
      </c>
      <c r="F24" s="24" t="str">
        <f>IFERROR(INDEX('Watershed plans'!$I$12:$I$15,MATCH(19,'Watershed plans'!$S$12:$S$15,0)),"")</f>
        <v/>
      </c>
      <c r="G24" s="25" t="str">
        <f>IFERROR(INDEX('Watershed plans'!$Y$12:$Y$15,MATCH(19,'Watershed plans'!$S$12:$S$15,0)),"")</f>
        <v/>
      </c>
      <c r="H24" s="25" t="str">
        <f>IFERROR(INDEX('Watershed plans'!$X$12:$X$15,MATCH(19,'Watershed plans'!$S$12:$S$15,0)),"")</f>
        <v/>
      </c>
    </row>
    <row r="25" spans="1:8" x14ac:dyDescent="0.25">
      <c r="A25" s="4">
        <v>20</v>
      </c>
      <c r="B25" s="6" t="str">
        <f>IFERROR(INDEX('Watershed plans'!$F$12:$F$15,MATCH(20,'Watershed plans'!$S$12:$S$15,0)),"")</f>
        <v/>
      </c>
      <c r="C25" s="9" t="str">
        <f>IFERROR(INDEX('Watershed plans'!$B$12:$B$15,MATCH(20,'Watershed plans'!$S$12:$S$15,0)),"")</f>
        <v/>
      </c>
      <c r="D25" s="19" t="str">
        <f>IFERROR(INDEX('Watershed plans'!$J$12:$J$15,MATCH(20,'Watershed plans'!$S$12:$S$15,0)),"")</f>
        <v/>
      </c>
      <c r="E25" s="25" t="str">
        <f>IFERROR(INDEX('Watershed plans'!$K$12:$K$15,MATCH(20,'Watershed plans'!$S$12:$S$15,0)),"")</f>
        <v/>
      </c>
      <c r="F25" s="24" t="str">
        <f>IFERROR(INDEX('Watershed plans'!$I$12:$I$15,MATCH(20,'Watershed plans'!$S$12:$S$15,0)),"")</f>
        <v/>
      </c>
      <c r="G25" s="25" t="str">
        <f>IFERROR(INDEX('Watershed plans'!$Y$12:$Y$15,MATCH(20,'Watershed plans'!$S$12:$S$15,0)),"")</f>
        <v/>
      </c>
      <c r="H25" s="25" t="str">
        <f>IFERROR(INDEX('Watershed plans'!$X$12:$X$15,MATCH(20,'Watershed plans'!$S$12:$S$15,0)),"")</f>
        <v/>
      </c>
    </row>
    <row r="26" spans="1:8" x14ac:dyDescent="0.25">
      <c r="A26" s="4">
        <v>21</v>
      </c>
      <c r="B26" s="6" t="str">
        <f>IFERROR(INDEX('Watershed plans'!$F$12:$F$15,MATCH(21,'Watershed plans'!$S$12:$S$15,0)),"")</f>
        <v/>
      </c>
      <c r="C26" s="9" t="str">
        <f>IFERROR(INDEX('Watershed plans'!$B$12:$B$15,MATCH(21,'Watershed plans'!$S$12:$S$15,0)),"")</f>
        <v/>
      </c>
      <c r="D26" s="19" t="str">
        <f>IFERROR(INDEX('Watershed plans'!$J$12:$J$15,MATCH(21,'Watershed plans'!$S$12:$S$15,0)),"")</f>
        <v/>
      </c>
      <c r="E26" s="25" t="str">
        <f>IFERROR(INDEX('Watershed plans'!$K$12:$K$15,MATCH(21,'Watershed plans'!$S$12:$S$15,0)),"")</f>
        <v/>
      </c>
      <c r="F26" s="24" t="str">
        <f>IFERROR(INDEX('Watershed plans'!$I$12:$I$15,MATCH(21,'Watershed plans'!$S$12:$S$15,0)),"")</f>
        <v/>
      </c>
      <c r="G26" s="25" t="str">
        <f>IFERROR(INDEX('Watershed plans'!$Y$12:$Y$15,MATCH(21,'Watershed plans'!$S$12:$S$15,0)),"")</f>
        <v/>
      </c>
      <c r="H26" s="25" t="str">
        <f>IFERROR(INDEX('Watershed plans'!$X$12:$X$15,MATCH(21,'Watershed plans'!$S$12:$S$15,0)),"")</f>
        <v/>
      </c>
    </row>
    <row r="27" spans="1:8" x14ac:dyDescent="0.25">
      <c r="A27" s="4">
        <v>22</v>
      </c>
      <c r="B27" s="6" t="str">
        <f>IFERROR(INDEX('Watershed plans'!$F$12:$F$15,MATCH(22,'Watershed plans'!$S$12:$S$15,0)),"")</f>
        <v/>
      </c>
      <c r="C27" s="9" t="str">
        <f>IFERROR(INDEX('Watershed plans'!$B$12:$B$15,MATCH(22,'Watershed plans'!$S$12:$S$15,0)),"")</f>
        <v/>
      </c>
      <c r="D27" s="19" t="str">
        <f>IFERROR(INDEX('Watershed plans'!$J$12:$J$15,MATCH(22,'Watershed plans'!$S$12:$S$15,0)),"")</f>
        <v/>
      </c>
      <c r="E27" s="25" t="str">
        <f>IFERROR(INDEX('Watershed plans'!$K$12:$K$15,MATCH(22,'Watershed plans'!$S$12:$S$15,0)),"")</f>
        <v/>
      </c>
      <c r="F27" s="24" t="str">
        <f>IFERROR(INDEX('Watershed plans'!$I$12:$I$15,MATCH(22,'Watershed plans'!$S$12:$S$15,0)),"")</f>
        <v/>
      </c>
      <c r="G27" s="25" t="str">
        <f>IFERROR(INDEX('Watershed plans'!$Y$12:$Y$15,MATCH(22,'Watershed plans'!$S$12:$S$15,0)),"")</f>
        <v/>
      </c>
      <c r="H27" s="25" t="str">
        <f>IFERROR(INDEX('Watershed plans'!$X$12:$X$15,MATCH(22,'Watershed plans'!$S$12:$S$15,0)),"")</f>
        <v/>
      </c>
    </row>
    <row r="28" spans="1:8" x14ac:dyDescent="0.25">
      <c r="A28" s="4">
        <v>23</v>
      </c>
      <c r="B28" s="6" t="str">
        <f>IFERROR(INDEX('Watershed plans'!$F$12:$F$15,MATCH(23,'Watershed plans'!$S$12:$S$15,0)),"")</f>
        <v/>
      </c>
      <c r="C28" s="9" t="str">
        <f>IFERROR(INDEX('Watershed plans'!$B$12:$B$15,MATCH(23,'Watershed plans'!$S$12:$S$15,0)),"")</f>
        <v/>
      </c>
      <c r="D28" s="19" t="str">
        <f>IFERROR(INDEX('Watershed plans'!$J$12:$J$15,MATCH(23,'Watershed plans'!$S$12:$S$15,0)),"")</f>
        <v/>
      </c>
      <c r="E28" s="25" t="str">
        <f>IFERROR(INDEX('Watershed plans'!$K$12:$K$15,MATCH(23,'Watershed plans'!$S$12:$S$15,0)),"")</f>
        <v/>
      </c>
      <c r="F28" s="24" t="str">
        <f>IFERROR(INDEX('Watershed plans'!$I$12:$I$15,MATCH(23,'Watershed plans'!$S$12:$S$15,0)),"")</f>
        <v/>
      </c>
      <c r="G28" s="25" t="str">
        <f>IFERROR(INDEX('Watershed plans'!$Y$12:$Y$15,MATCH(23,'Watershed plans'!$S$12:$S$15,0)),"")</f>
        <v/>
      </c>
      <c r="H28" s="25" t="str">
        <f>IFERROR(INDEX('Watershed plans'!$X$12:$X$15,MATCH(23,'Watershed plans'!$S$12:$S$15,0)),"")</f>
        <v/>
      </c>
    </row>
    <row r="29" spans="1:8" x14ac:dyDescent="0.25">
      <c r="A29" s="4">
        <v>24</v>
      </c>
      <c r="B29" s="6" t="str">
        <f>IFERROR(INDEX('Watershed plans'!$F$12:$F$15,MATCH(24,'Watershed plans'!$S$12:$S$15,0)),"")</f>
        <v/>
      </c>
      <c r="C29" s="9" t="str">
        <f>IFERROR(INDEX('Watershed plans'!$B$12:$B$15,MATCH(24,'Watershed plans'!$S$12:$S$15,0)),"")</f>
        <v/>
      </c>
      <c r="D29" s="19" t="str">
        <f>IFERROR(INDEX('Watershed plans'!$J$12:$J$15,MATCH(24,'Watershed plans'!$S$12:$S$15,0)),"")</f>
        <v/>
      </c>
      <c r="E29" s="25" t="str">
        <f>IFERROR(INDEX('Watershed plans'!$K$12:$K$15,MATCH(24,'Watershed plans'!$S$12:$S$15,0)),"")</f>
        <v/>
      </c>
      <c r="F29" s="24" t="str">
        <f>IFERROR(INDEX('Watershed plans'!$I$12:$I$15,MATCH(24,'Watershed plans'!$S$12:$S$15,0)),"")</f>
        <v/>
      </c>
      <c r="G29" s="25" t="str">
        <f>IFERROR(INDEX('Watershed plans'!$Y$12:$Y$15,MATCH(24,'Watershed plans'!$S$12:$S$15,0)),"")</f>
        <v/>
      </c>
      <c r="H29" s="25" t="str">
        <f>IFERROR(INDEX('Watershed plans'!$X$12:$X$15,MATCH(24,'Watershed plans'!$S$12:$S$15,0)),"")</f>
        <v/>
      </c>
    </row>
    <row r="30" spans="1:8" x14ac:dyDescent="0.25">
      <c r="A30" s="4">
        <v>25</v>
      </c>
      <c r="B30" s="6" t="str">
        <f>IFERROR(INDEX('Watershed plans'!$F$12:$F$15,MATCH(25,'Watershed plans'!$S$12:$S$15,0)),"")</f>
        <v/>
      </c>
      <c r="C30" s="9" t="str">
        <f>IFERROR(INDEX('Watershed plans'!$B$12:$B$15,MATCH(25,'Watershed plans'!$S$12:$S$15,0)),"")</f>
        <v/>
      </c>
      <c r="D30" s="19" t="str">
        <f>IFERROR(INDEX('Watershed plans'!$J$12:$J$15,MATCH(25,'Watershed plans'!$S$12:$S$15,0)),"")</f>
        <v/>
      </c>
      <c r="E30" s="25" t="str">
        <f>IFERROR(INDEX('Watershed plans'!$K$12:$K$15,MATCH(25,'Watershed plans'!$S$12:$S$15,0)),"")</f>
        <v/>
      </c>
      <c r="F30" s="24" t="str">
        <f>IFERROR(INDEX('Watershed plans'!$I$12:$I$15,MATCH(25,'Watershed plans'!$S$12:$S$15,0)),"")</f>
        <v/>
      </c>
      <c r="G30" s="25" t="str">
        <f>IFERROR(INDEX('Watershed plans'!$Y$12:$Y$15,MATCH(25,'Watershed plans'!$S$12:$S$15,0)),"")</f>
        <v/>
      </c>
      <c r="H30" s="25" t="str">
        <f>IFERROR(INDEX('Watershed plans'!$X$12:$X$15,MATCH(25,'Watershed plans'!$S$12:$S$15,0)),"")</f>
        <v/>
      </c>
    </row>
    <row r="31" spans="1:8" x14ac:dyDescent="0.25">
      <c r="A31" s="4">
        <v>26</v>
      </c>
      <c r="B31" s="6" t="str">
        <f>IFERROR(INDEX('Watershed plans'!$F$12:$F$15,MATCH(26,'Watershed plans'!$S$12:$S$15,0)),"")</f>
        <v/>
      </c>
      <c r="C31" s="9" t="str">
        <f>IFERROR(INDEX('Watershed plans'!$B$12:$B$15,MATCH(26,'Watershed plans'!$S$12:$S$15,0)),"")</f>
        <v/>
      </c>
      <c r="D31" s="19" t="str">
        <f>IFERROR(INDEX('Watershed plans'!$J$12:$J$15,MATCH(26,'Watershed plans'!$S$12:$S$15,0)),"")</f>
        <v/>
      </c>
      <c r="E31" s="25" t="str">
        <f>IFERROR(INDEX('Watershed plans'!$K$12:$K$15,MATCH(26,'Watershed plans'!$S$12:$S$15,0)),"")</f>
        <v/>
      </c>
      <c r="F31" s="24" t="str">
        <f>IFERROR(INDEX('Watershed plans'!$I$12:$I$15,MATCH(26,'Watershed plans'!$S$12:$S$15,0)),"")</f>
        <v/>
      </c>
      <c r="G31" s="25" t="str">
        <f>IFERROR(INDEX('Watershed plans'!$Y$12:$Y$15,MATCH(26,'Watershed plans'!$S$12:$S$15,0)),"")</f>
        <v/>
      </c>
      <c r="H31" s="25" t="str">
        <f>IFERROR(INDEX('Watershed plans'!$X$12:$X$15,MATCH(26,'Watershed plans'!$S$12:$S$15,0)),"")</f>
        <v/>
      </c>
    </row>
    <row r="32" spans="1:8" x14ac:dyDescent="0.25">
      <c r="A32" s="4">
        <v>27</v>
      </c>
      <c r="B32" s="6" t="str">
        <f>IFERROR(INDEX('Watershed plans'!$F$12:$F$15,MATCH(27,'Watershed plans'!$S$12:$S$15,0)),"")</f>
        <v/>
      </c>
      <c r="C32" s="9" t="str">
        <f>IFERROR(INDEX('Watershed plans'!$B$12:$B$15,MATCH(27,'Watershed plans'!$S$12:$S$15,0)),"")</f>
        <v/>
      </c>
      <c r="D32" s="19" t="str">
        <f>IFERROR(INDEX('Watershed plans'!$J$12:$J$15,MATCH(27,'Watershed plans'!$S$12:$S$15,0)),"")</f>
        <v/>
      </c>
      <c r="E32" s="25" t="str">
        <f>IFERROR(INDEX('Watershed plans'!$K$12:$K$15,MATCH(27,'Watershed plans'!$S$12:$S$15,0)),"")</f>
        <v/>
      </c>
      <c r="F32" s="24" t="str">
        <f>IFERROR(INDEX('Watershed plans'!$I$12:$I$15,MATCH(27,'Watershed plans'!$S$12:$S$15,0)),"")</f>
        <v/>
      </c>
      <c r="G32" s="25" t="str">
        <f>IFERROR(INDEX('Watershed plans'!$Y$12:$Y$15,MATCH(27,'Watershed plans'!$S$12:$S$15,0)),"")</f>
        <v/>
      </c>
      <c r="H32" s="25" t="str">
        <f>IFERROR(INDEX('Watershed plans'!$X$12:$X$15,MATCH(27,'Watershed plans'!$S$12:$S$15,0)),"")</f>
        <v/>
      </c>
    </row>
    <row r="33" spans="1:8" x14ac:dyDescent="0.25">
      <c r="A33" s="4">
        <v>28</v>
      </c>
      <c r="B33" s="6" t="str">
        <f>IFERROR(INDEX('Watershed plans'!$F$12:$F$15,MATCH(28,'Watershed plans'!$S$12:$S$15,0)),"")</f>
        <v/>
      </c>
      <c r="C33" s="9" t="str">
        <f>IFERROR(INDEX('Watershed plans'!$B$12:$B$15,MATCH(28,'Watershed plans'!$S$12:$S$15,0)),"")</f>
        <v/>
      </c>
      <c r="D33" s="19" t="str">
        <f>IFERROR(INDEX('Watershed plans'!$J$12:$J$15,MATCH(28,'Watershed plans'!$S$12:$S$15,0)),"")</f>
        <v/>
      </c>
      <c r="E33" s="25" t="str">
        <f>IFERROR(INDEX('Watershed plans'!$K$12:$K$15,MATCH(28,'Watershed plans'!$S$12:$S$15,0)),"")</f>
        <v/>
      </c>
      <c r="F33" s="24" t="str">
        <f>IFERROR(INDEX('Watershed plans'!$I$12:$I$15,MATCH(28,'Watershed plans'!$S$12:$S$15,0)),"")</f>
        <v/>
      </c>
      <c r="G33" s="25" t="str">
        <f>IFERROR(INDEX('Watershed plans'!$Y$12:$Y$15,MATCH(28,'Watershed plans'!$S$12:$S$15,0)),"")</f>
        <v/>
      </c>
      <c r="H33" s="25" t="str">
        <f>IFERROR(INDEX('Watershed plans'!$X$12:$X$15,MATCH(28,'Watershed plans'!$S$12:$S$15,0)),"")</f>
        <v/>
      </c>
    </row>
    <row r="34" spans="1:8" x14ac:dyDescent="0.25">
      <c r="A34" s="4">
        <v>29</v>
      </c>
      <c r="B34" s="6" t="str">
        <f>IFERROR(INDEX('Watershed plans'!$F$12:$F$15,MATCH(29,'Watershed plans'!$S$12:$S$15,0)),"")</f>
        <v/>
      </c>
      <c r="C34" s="9" t="str">
        <f>IFERROR(INDEX('Watershed plans'!$B$12:$B$15,MATCH(29,'Watershed plans'!$S$12:$S$15,0)),"")</f>
        <v/>
      </c>
      <c r="D34" s="19" t="str">
        <f>IFERROR(INDEX('Watershed plans'!$J$12:$J$15,MATCH(29,'Watershed plans'!$S$12:$S$15,0)),"")</f>
        <v/>
      </c>
      <c r="E34" s="25" t="str">
        <f>IFERROR(INDEX('Watershed plans'!$K$12:$K$15,MATCH(29,'Watershed plans'!$S$12:$S$15,0)),"")</f>
        <v/>
      </c>
      <c r="F34" s="24" t="str">
        <f>IFERROR(INDEX('Watershed plans'!$I$12:$I$15,MATCH(29,'Watershed plans'!$S$12:$S$15,0)),"")</f>
        <v/>
      </c>
      <c r="G34" s="25" t="str">
        <f>IFERROR(INDEX('Watershed plans'!$Y$12:$Y$15,MATCH(29,'Watershed plans'!$S$12:$S$15,0)),"")</f>
        <v/>
      </c>
      <c r="H34" s="25" t="str">
        <f>IFERROR(INDEX('Watershed plans'!$X$12:$X$15,MATCH(29,'Watershed plans'!$S$12:$S$15,0)),"")</f>
        <v/>
      </c>
    </row>
    <row r="35" spans="1:8" x14ac:dyDescent="0.25">
      <c r="A35" s="4">
        <v>30</v>
      </c>
      <c r="B35" s="6" t="str">
        <f>IFERROR(INDEX('Watershed plans'!$F$12:$F$15,MATCH(30,'Watershed plans'!$S$12:$S$15,0)),"")</f>
        <v/>
      </c>
      <c r="C35" s="9" t="str">
        <f>IFERROR(INDEX('Watershed plans'!$B$12:$B$15,MATCH(30,'Watershed plans'!$S$12:$S$15,0)),"")</f>
        <v/>
      </c>
      <c r="D35" s="19" t="str">
        <f>IFERROR(INDEX('Watershed plans'!$J$12:$J$15,MATCH(30,'Watershed plans'!$S$12:$S$15,0)),"")</f>
        <v/>
      </c>
      <c r="E35" s="25" t="str">
        <f>IFERROR(INDEX('Watershed plans'!$K$12:$K$15,MATCH(30,'Watershed plans'!$S$12:$S$15,0)),"")</f>
        <v/>
      </c>
      <c r="F35" s="24" t="str">
        <f>IFERROR(INDEX('Watershed plans'!$I$12:$I$15,MATCH(30,'Watershed plans'!$S$12:$S$15,0)),"")</f>
        <v/>
      </c>
      <c r="G35" s="25" t="str">
        <f>IFERROR(INDEX('Watershed plans'!$Y$12:$Y$15,MATCH(30,'Watershed plans'!$S$12:$S$15,0)),"")</f>
        <v/>
      </c>
      <c r="H35" s="25" t="str">
        <f>IFERROR(INDEX('Watershed plans'!$X$12:$X$15,MATCH(30,'Watershed plans'!$S$12:$S$15,0)),"")</f>
        <v/>
      </c>
    </row>
    <row r="36" spans="1:8" x14ac:dyDescent="0.25">
      <c r="A36" s="4">
        <v>31</v>
      </c>
      <c r="B36" s="6" t="str">
        <f>IFERROR(INDEX('Watershed plans'!$F$12:$F$15,MATCH(31,'Watershed plans'!$S$12:$S$15,0)),"")</f>
        <v/>
      </c>
      <c r="C36" s="9" t="str">
        <f>IFERROR(INDEX('Watershed plans'!$B$12:$B$15,MATCH(31,'Watershed plans'!$S$12:$S$15,0)),"")</f>
        <v/>
      </c>
      <c r="D36" s="19" t="str">
        <f>IFERROR(INDEX('Watershed plans'!$J$12:$J$15,MATCH(31,'Watershed plans'!$S$12:$S$15,0)),"")</f>
        <v/>
      </c>
      <c r="E36" s="25" t="str">
        <f>IFERROR(INDEX('Watershed plans'!$K$12:$K$15,MATCH(31,'Watershed plans'!$S$12:$S$15,0)),"")</f>
        <v/>
      </c>
      <c r="F36" s="24" t="str">
        <f>IFERROR(INDEX('Watershed plans'!$I$12:$I$15,MATCH(31,'Watershed plans'!$S$12:$S$15,0)),"")</f>
        <v/>
      </c>
      <c r="G36" s="25" t="str">
        <f>IFERROR(INDEX('Watershed plans'!$Y$12:$Y$15,MATCH(31,'Watershed plans'!$S$12:$S$15,0)),"")</f>
        <v/>
      </c>
      <c r="H36" s="25" t="str">
        <f>IFERROR(INDEX('Watershed plans'!$X$12:$X$15,MATCH(31,'Watershed plans'!$S$12:$S$15,0)),"")</f>
        <v/>
      </c>
    </row>
    <row r="37" spans="1:8" x14ac:dyDescent="0.25">
      <c r="A37" s="4">
        <v>32</v>
      </c>
      <c r="B37" s="6" t="str">
        <f>IFERROR(INDEX('Watershed plans'!$F$12:$F$15,MATCH(32,'Watershed plans'!$S$12:$S$15,0)),"")</f>
        <v/>
      </c>
      <c r="C37" s="9" t="str">
        <f>IFERROR(INDEX('Watershed plans'!$B$12:$B$15,MATCH(32,'Watershed plans'!$S$12:$S$15,0)),"")</f>
        <v/>
      </c>
      <c r="D37" s="19" t="str">
        <f>IFERROR(INDEX('Watershed plans'!$J$12:$J$15,MATCH(32,'Watershed plans'!$S$12:$S$15,0)),"")</f>
        <v/>
      </c>
      <c r="E37" s="25" t="str">
        <f>IFERROR(INDEX('Watershed plans'!$K$12:$K$15,MATCH(32,'Watershed plans'!$S$12:$S$15,0)),"")</f>
        <v/>
      </c>
      <c r="F37" s="24" t="str">
        <f>IFERROR(INDEX('Watershed plans'!$I$12:$I$15,MATCH(32,'Watershed plans'!$S$12:$S$15,0)),"")</f>
        <v/>
      </c>
      <c r="G37" s="25" t="str">
        <f>IFERROR(INDEX('Watershed plans'!$Y$12:$Y$15,MATCH(32,'Watershed plans'!$S$12:$S$15,0)),"")</f>
        <v/>
      </c>
      <c r="H37" s="25" t="str">
        <f>IFERROR(INDEX('Watershed plans'!$X$12:$X$15,MATCH(32,'Watershed plans'!$S$12:$S$15,0)),"")</f>
        <v/>
      </c>
    </row>
    <row r="38" spans="1:8" x14ac:dyDescent="0.25">
      <c r="A38" s="4">
        <v>33</v>
      </c>
      <c r="B38" s="6" t="str">
        <f>IFERROR(INDEX('Watershed plans'!$F$12:$F$15,MATCH(33,'Watershed plans'!$S$12:$S$15,0)),"")</f>
        <v/>
      </c>
      <c r="C38" s="9" t="str">
        <f>IFERROR(INDEX('Watershed plans'!$B$12:$B$15,MATCH(33,'Watershed plans'!$S$12:$S$15,0)),"")</f>
        <v/>
      </c>
      <c r="D38" s="19" t="str">
        <f>IFERROR(INDEX('Watershed plans'!$J$12:$J$15,MATCH(33,'Watershed plans'!$S$12:$S$15,0)),"")</f>
        <v/>
      </c>
      <c r="E38" s="25" t="str">
        <f>IFERROR(INDEX('Watershed plans'!$K$12:$K$15,MATCH(33,'Watershed plans'!$S$12:$S$15,0)),"")</f>
        <v/>
      </c>
      <c r="F38" s="24" t="str">
        <f>IFERROR(INDEX('Watershed plans'!$I$12:$I$15,MATCH(33,'Watershed plans'!$S$12:$S$15,0)),"")</f>
        <v/>
      </c>
      <c r="G38" s="25" t="str">
        <f>IFERROR(INDEX('Watershed plans'!$Y$12:$Y$15,MATCH(33,'Watershed plans'!$S$12:$S$15,0)),"")</f>
        <v/>
      </c>
      <c r="H38" s="25" t="str">
        <f>IFERROR(INDEX('Watershed plans'!$X$12:$X$15,MATCH(33,'Watershed plans'!$S$12:$S$15,0)),"")</f>
        <v/>
      </c>
    </row>
    <row r="39" spans="1:8" x14ac:dyDescent="0.25">
      <c r="A39" s="4">
        <v>34</v>
      </c>
      <c r="B39" s="6" t="str">
        <f>IFERROR(INDEX('Watershed plans'!$F$12:$F$15,MATCH(34,'Watershed plans'!$S$12:$S$15,0)),"")</f>
        <v/>
      </c>
      <c r="C39" s="9" t="str">
        <f>IFERROR(INDEX('Watershed plans'!$B$12:$B$15,MATCH(34,'Watershed plans'!$S$12:$S$15,0)),"")</f>
        <v/>
      </c>
      <c r="D39" s="19" t="str">
        <f>IFERROR(INDEX('Watershed plans'!$J$12:$J$15,MATCH(34,'Watershed plans'!$S$12:$S$15,0)),"")</f>
        <v/>
      </c>
      <c r="E39" s="25" t="str">
        <f>IFERROR(INDEX('Watershed plans'!$K$12:$K$15,MATCH(34,'Watershed plans'!$S$12:$S$15,0)),"")</f>
        <v/>
      </c>
      <c r="F39" s="24" t="str">
        <f>IFERROR(INDEX('Watershed plans'!$I$12:$I$15,MATCH(34,'Watershed plans'!$S$12:$S$15,0)),"")</f>
        <v/>
      </c>
      <c r="G39" s="25" t="str">
        <f>IFERROR(INDEX('Watershed plans'!$Y$12:$Y$15,MATCH(34,'Watershed plans'!$S$12:$S$15,0)),"")</f>
        <v/>
      </c>
      <c r="H39" s="25" t="str">
        <f>IFERROR(INDEX('Watershed plans'!$X$12:$X$15,MATCH(34,'Watershed plans'!$S$12:$S$15,0)),"")</f>
        <v/>
      </c>
    </row>
    <row r="40" spans="1:8" x14ac:dyDescent="0.25">
      <c r="A40" s="4">
        <v>35</v>
      </c>
      <c r="B40" s="6" t="str">
        <f>IFERROR(INDEX('Watershed plans'!$F$12:$F$15,MATCH(35,'Watershed plans'!$S$12:$S$15,0)),"")</f>
        <v/>
      </c>
      <c r="C40" s="9" t="str">
        <f>IFERROR(INDEX('Watershed plans'!$B$12:$B$15,MATCH(35,'Watershed plans'!$S$12:$S$15,0)),"")</f>
        <v/>
      </c>
      <c r="D40" s="19" t="str">
        <f>IFERROR(INDEX('Watershed plans'!$J$12:$J$15,MATCH(35,'Watershed plans'!$S$12:$S$15,0)),"")</f>
        <v/>
      </c>
      <c r="E40" s="25" t="str">
        <f>IFERROR(INDEX('Watershed plans'!$K$12:$K$15,MATCH(35,'Watershed plans'!$S$12:$S$15,0)),"")</f>
        <v/>
      </c>
      <c r="F40" s="24" t="str">
        <f>IFERROR(INDEX('Watershed plans'!$I$12:$I$15,MATCH(35,'Watershed plans'!$S$12:$S$15,0)),"")</f>
        <v/>
      </c>
      <c r="G40" s="25" t="str">
        <f>IFERROR(INDEX('Watershed plans'!$Y$12:$Y$15,MATCH(35,'Watershed plans'!$S$12:$S$15,0)),"")</f>
        <v/>
      </c>
      <c r="H40" s="25" t="str">
        <f>IFERROR(INDEX('Watershed plans'!$X$12:$X$15,MATCH(35,'Watershed plans'!$S$12:$S$15,0)),"")</f>
        <v/>
      </c>
    </row>
    <row r="41" spans="1:8" x14ac:dyDescent="0.25">
      <c r="A41" s="4">
        <v>36</v>
      </c>
      <c r="B41" s="6" t="str">
        <f>IFERROR(INDEX('Watershed plans'!$F$12:$F$15,MATCH(36,'Watershed plans'!$S$12:$S$15,0)),"")</f>
        <v/>
      </c>
      <c r="C41" s="9" t="str">
        <f>IFERROR(INDEX('Watershed plans'!$B$12:$B$15,MATCH(36,'Watershed plans'!$S$12:$S$15,0)),"")</f>
        <v/>
      </c>
      <c r="D41" s="19" t="str">
        <f>IFERROR(INDEX('Watershed plans'!$J$12:$J$15,MATCH(36,'Watershed plans'!$S$12:$S$15,0)),"")</f>
        <v/>
      </c>
      <c r="E41" s="25" t="str">
        <f>IFERROR(INDEX('Watershed plans'!$K$12:$K$15,MATCH(36,'Watershed plans'!$S$12:$S$15,0)),"")</f>
        <v/>
      </c>
      <c r="F41" s="24" t="str">
        <f>IFERROR(INDEX('Watershed plans'!$I$12:$I$15,MATCH(36,'Watershed plans'!$S$12:$S$15,0)),"")</f>
        <v/>
      </c>
      <c r="G41" s="25" t="str">
        <f>IFERROR(INDEX('Watershed plans'!$Y$12:$Y$15,MATCH(36,'Watershed plans'!$S$12:$S$15,0)),"")</f>
        <v/>
      </c>
      <c r="H41" s="25" t="str">
        <f>IFERROR(INDEX('Watershed plans'!$X$12:$X$15,MATCH(36,'Watershed plans'!$S$12:$S$15,0)),"")</f>
        <v/>
      </c>
    </row>
    <row r="42" spans="1:8" x14ac:dyDescent="0.25">
      <c r="A42" s="4">
        <v>37</v>
      </c>
      <c r="B42" s="6" t="str">
        <f>IFERROR(INDEX('Watershed plans'!$F$12:$F$15,MATCH(37,'Watershed plans'!$S$12:$S$15,0)),"")</f>
        <v/>
      </c>
      <c r="C42" s="9" t="str">
        <f>IFERROR(INDEX('Watershed plans'!$B$12:$B$15,MATCH(37,'Watershed plans'!$S$12:$S$15,0)),"")</f>
        <v/>
      </c>
      <c r="D42" s="19" t="str">
        <f>IFERROR(INDEX('Watershed plans'!$J$12:$J$15,MATCH(37,'Watershed plans'!$S$12:$S$15,0)),"")</f>
        <v/>
      </c>
      <c r="E42" s="25" t="str">
        <f>IFERROR(INDEX('Watershed plans'!$K$12:$K$15,MATCH(37,'Watershed plans'!$S$12:$S$15,0)),"")</f>
        <v/>
      </c>
      <c r="F42" s="24" t="str">
        <f>IFERROR(INDEX('Watershed plans'!$I$12:$I$15,MATCH(37,'Watershed plans'!$S$12:$S$15,0)),"")</f>
        <v/>
      </c>
      <c r="G42" s="25" t="str">
        <f>IFERROR(INDEX('Watershed plans'!$Y$12:$Y$15,MATCH(37,'Watershed plans'!$S$12:$S$15,0)),"")</f>
        <v/>
      </c>
      <c r="H42" s="25" t="str">
        <f>IFERROR(INDEX('Watershed plans'!$X$12:$X$15,MATCH(37,'Watershed plans'!$S$12:$S$15,0)),"")</f>
        <v/>
      </c>
    </row>
    <row r="43" spans="1:8" x14ac:dyDescent="0.25">
      <c r="A43" s="4">
        <v>38</v>
      </c>
      <c r="B43" s="6" t="str">
        <f>IFERROR(INDEX('Watershed plans'!$F$12:$F$15,MATCH(38,'Watershed plans'!$S$12:$S$15,0)),"")</f>
        <v/>
      </c>
      <c r="C43" s="9" t="str">
        <f>IFERROR(INDEX('Watershed plans'!$B$12:$B$15,MATCH(38,'Watershed plans'!$S$12:$S$15,0)),"")</f>
        <v/>
      </c>
      <c r="D43" s="19" t="str">
        <f>IFERROR(INDEX('Watershed plans'!$J$12:$J$15,MATCH(38,'Watershed plans'!$S$12:$S$15,0)),"")</f>
        <v/>
      </c>
      <c r="E43" s="25" t="str">
        <f>IFERROR(INDEX('Watershed plans'!$K$12:$K$15,MATCH(38,'Watershed plans'!$S$12:$S$15,0)),"")</f>
        <v/>
      </c>
      <c r="F43" s="24" t="str">
        <f>IFERROR(INDEX('Watershed plans'!$I$12:$I$15,MATCH(38,'Watershed plans'!$S$12:$S$15,0)),"")</f>
        <v/>
      </c>
      <c r="G43" s="25" t="str">
        <f>IFERROR(INDEX('Watershed plans'!$Y$12:$Y$15,MATCH(38,'Watershed plans'!$S$12:$S$15,0)),"")</f>
        <v/>
      </c>
      <c r="H43" s="25" t="str">
        <f>IFERROR(INDEX('Watershed plans'!$X$12:$X$15,MATCH(38,'Watershed plans'!$S$12:$S$15,0)),"")</f>
        <v/>
      </c>
    </row>
    <row r="44" spans="1:8" x14ac:dyDescent="0.25">
      <c r="A44" s="4">
        <v>39</v>
      </c>
      <c r="B44" s="6" t="str">
        <f>IFERROR(INDEX('Watershed plans'!$F$12:$F$15,MATCH(39,'Watershed plans'!$S$12:$S$15,0)),"")</f>
        <v/>
      </c>
      <c r="C44" s="9" t="str">
        <f>IFERROR(INDEX('Watershed plans'!$B$12:$B$15,MATCH(39,'Watershed plans'!$S$12:$S$15,0)),"")</f>
        <v/>
      </c>
      <c r="D44" s="19" t="str">
        <f>IFERROR(INDEX('Watershed plans'!$J$12:$J$15,MATCH(39,'Watershed plans'!$S$12:$S$15,0)),"")</f>
        <v/>
      </c>
      <c r="E44" s="25" t="str">
        <f>IFERROR(INDEX('Watershed plans'!$K$12:$K$15,MATCH(39,'Watershed plans'!$S$12:$S$15,0)),"")</f>
        <v/>
      </c>
      <c r="F44" s="24" t="str">
        <f>IFERROR(INDEX('Watershed plans'!$I$12:$I$15,MATCH(39,'Watershed plans'!$S$12:$S$15,0)),"")</f>
        <v/>
      </c>
      <c r="G44" s="25" t="str">
        <f>IFERROR(INDEX('Watershed plans'!$Y$12:$Y$15,MATCH(39,'Watershed plans'!$S$12:$S$15,0)),"")</f>
        <v/>
      </c>
      <c r="H44" s="25" t="str">
        <f>IFERROR(INDEX('Watershed plans'!$X$12:$X$15,MATCH(39,'Watershed plans'!$S$12:$S$15,0)),"")</f>
        <v/>
      </c>
    </row>
    <row r="45" spans="1:8" x14ac:dyDescent="0.25">
      <c r="A45" s="4">
        <v>40</v>
      </c>
      <c r="B45" s="6" t="str">
        <f>IFERROR(INDEX('Watershed plans'!$F$12:$F$15,MATCH(40,'Watershed plans'!$S$12:$S$15,0)),"")</f>
        <v/>
      </c>
      <c r="C45" s="9" t="str">
        <f>IFERROR(INDEX('Watershed plans'!$B$12:$B$15,MATCH(40,'Watershed plans'!$S$12:$S$15,0)),"")</f>
        <v/>
      </c>
      <c r="D45" s="19" t="str">
        <f>IFERROR(INDEX('Watershed plans'!$J$12:$J$15,MATCH(40,'Watershed plans'!$S$12:$S$15,0)),"")</f>
        <v/>
      </c>
      <c r="E45" s="25" t="str">
        <f>IFERROR(INDEX('Watershed plans'!$K$12:$K$15,MATCH(40,'Watershed plans'!$S$12:$S$15,0)),"")</f>
        <v/>
      </c>
      <c r="F45" s="24" t="str">
        <f>IFERROR(INDEX('Watershed plans'!$I$12:$I$15,MATCH(40,'Watershed plans'!$S$12:$S$15,0)),"")</f>
        <v/>
      </c>
      <c r="G45" s="25" t="str">
        <f>IFERROR(INDEX('Watershed plans'!$Y$12:$Y$15,MATCH(40,'Watershed plans'!$S$12:$S$15,0)),"")</f>
        <v/>
      </c>
      <c r="H45" s="25" t="str">
        <f>IFERROR(INDEX('Watershed plans'!$X$12:$X$15,MATCH(40,'Watershed plans'!$S$12:$S$15,0)),"")</f>
        <v/>
      </c>
    </row>
    <row r="48" spans="1:8" x14ac:dyDescent="0.25">
      <c r="A48" s="7" t="s">
        <v>149</v>
      </c>
    </row>
    <row r="49" spans="1:12" ht="30" x14ac:dyDescent="0.25">
      <c r="A49" s="11" t="s">
        <v>150</v>
      </c>
      <c r="B49" s="11" t="s">
        <v>141</v>
      </c>
      <c r="C49" s="11" t="s">
        <v>139</v>
      </c>
      <c r="D49" s="11" t="s">
        <v>105</v>
      </c>
      <c r="E49" s="11" t="s">
        <v>77</v>
      </c>
      <c r="F49" s="11" t="s">
        <v>106</v>
      </c>
      <c r="G49" s="11" t="s">
        <v>127</v>
      </c>
      <c r="H49" s="11" t="s">
        <v>151</v>
      </c>
      <c r="I49" s="11" t="s">
        <v>152</v>
      </c>
      <c r="J49" s="11" t="s">
        <v>153</v>
      </c>
      <c r="K49" s="11" t="s">
        <v>154</v>
      </c>
      <c r="L49" s="11" t="s">
        <v>155</v>
      </c>
    </row>
    <row r="50" spans="1:12" x14ac:dyDescent="0.25">
      <c r="A50" s="4">
        <v>1</v>
      </c>
      <c r="B50" s="6">
        <f>IFERROR(INDEX('Watershed plans'!$F$12:$F$15,MATCH(1,'Watershed plans'!$AA$12:$AA$15,0)),"")</f>
        <v>1</v>
      </c>
      <c r="C50" s="9" t="str">
        <f>IFERROR(INDEX('Watershed plans'!$B$12:$B$15,MATCH(1,'Watershed plans'!$AA$12:$AA$15,0)),"")</f>
        <v>No Action</v>
      </c>
      <c r="D50" s="19">
        <f>IFERROR(INDEX('Watershed plans'!$J$12:$J$15,MATCH(1,'Watershed plans'!$AA$12:$AA$15,0)),"")</f>
        <v>0</v>
      </c>
      <c r="E50" s="25">
        <f>IFERROR(INDEX('Watershed plans'!$K$12:$K$15,MATCH(1,'Watershed plans'!$AA$12:$AA$15,0)),"")</f>
        <v>0</v>
      </c>
      <c r="F50" s="24">
        <f>IFERROR(INDEX('Watershed plans'!$I$12:$I$15,MATCH(1,'Watershed plans'!$AA$12:$AA$15,0)),"")</f>
        <v>0</v>
      </c>
      <c r="G50" s="25" t="str">
        <f>IFERROR(INDEX('Watershed plans'!$Y$12:$Y$15,MATCH(1,'Watershed plans'!$AA$12:$AA$15,0)),"")</f>
        <v>n/a</v>
      </c>
      <c r="H50" s="9"/>
      <c r="I50" s="9"/>
      <c r="J50" s="9"/>
      <c r="K50" s="14"/>
      <c r="L50" s="28"/>
    </row>
    <row r="51" spans="1:12" x14ac:dyDescent="0.25">
      <c r="A51" s="4">
        <v>2</v>
      </c>
      <c r="B51" s="6">
        <f>IFERROR(INDEX('Watershed plans'!$F$12:$F$15,MATCH(2,'Watershed plans'!$AA$12:$AA$15,0)),"")</f>
        <v>2</v>
      </c>
      <c r="C51" s="9" t="str">
        <f>IFERROR(INDEX('Watershed plans'!$B$12:$B$15,MATCH(2,'Watershed plans'!$AA$12:$AA$15,0)),"")</f>
        <v>A</v>
      </c>
      <c r="D51" s="19">
        <f>IFERROR(INDEX('Watershed plans'!$J$12:$J$15,MATCH(2,'Watershed plans'!$AA$12:$AA$15,0)),"")</f>
        <v>6.2080000000000002</v>
      </c>
      <c r="E51" s="25">
        <f>IFERROR(INDEX('Watershed plans'!$K$12:$K$15,MATCH(2,'Watershed plans'!$AA$12:$AA$15,0)),"")</f>
        <v>18711.72</v>
      </c>
      <c r="F51" s="24">
        <f>IFERROR(INDEX('Watershed plans'!$I$12:$I$15,MATCH(2,'Watershed plans'!$AA$12:$AA$15,0)),"")</f>
        <v>400000</v>
      </c>
      <c r="G51" s="25">
        <f>IFERROR(INDEX('Watershed plans'!$Y$12:$Y$15,MATCH(2,'Watershed plans'!$AA$12:$AA$15,0)),"")</f>
        <v>3014.1301546391755</v>
      </c>
      <c r="H51" s="19">
        <f t="shared" ref="H51:H89" si="0">IF(ISNUMBER(D51),D51-D50,"")</f>
        <v>6.2080000000000002</v>
      </c>
      <c r="I51" s="25">
        <f t="shared" ref="I51:I89" si="1">IF(ISNUMBER(E51),E51-E50,"")</f>
        <v>18711.72</v>
      </c>
      <c r="J51" s="25">
        <f t="shared" ref="J51:J89" si="2">IF(AND(ISNUMBER(H51),H51&lt;&gt;0),I51/H51,"")</f>
        <v>3014.1301546391755</v>
      </c>
      <c r="K51" s="14"/>
      <c r="L51" s="28"/>
    </row>
    <row r="52" spans="1:12" x14ac:dyDescent="0.25">
      <c r="A52" s="4">
        <v>3</v>
      </c>
      <c r="B52" s="6" t="str">
        <f>IFERROR(INDEX('Watershed plans'!$F$12:$F$15,MATCH(3,'Watershed plans'!$AA$12:$AA$15,0)),"")</f>
        <v/>
      </c>
      <c r="C52" s="9" t="str">
        <f>IFERROR(INDEX('Watershed plans'!$B$12:$B$15,MATCH(3,'Watershed plans'!$AA$12:$AA$15,0)),"")</f>
        <v/>
      </c>
      <c r="D52" s="19" t="str">
        <f>IFERROR(INDEX('Watershed plans'!$J$12:$J$15,MATCH(3,'Watershed plans'!$AA$12:$AA$15,0)),"")</f>
        <v/>
      </c>
      <c r="E52" s="25" t="str">
        <f>IFERROR(INDEX('Watershed plans'!$K$12:$K$15,MATCH(3,'Watershed plans'!$AA$12:$AA$15,0)),"")</f>
        <v/>
      </c>
      <c r="F52" s="24" t="str">
        <f>IFERROR(INDEX('Watershed plans'!$I$12:$I$15,MATCH(3,'Watershed plans'!$AA$12:$AA$15,0)),"")</f>
        <v/>
      </c>
      <c r="G52" s="25" t="str">
        <f>IFERROR(INDEX('Watershed plans'!$Y$12:$Y$15,MATCH(3,'Watershed plans'!$AA$12:$AA$15,0)),"")</f>
        <v/>
      </c>
      <c r="H52" s="19" t="str">
        <f t="shared" si="0"/>
        <v/>
      </c>
      <c r="I52" s="25" t="str">
        <f t="shared" si="1"/>
        <v/>
      </c>
      <c r="J52" s="25" t="str">
        <f t="shared" si="2"/>
        <v/>
      </c>
      <c r="K52" s="14"/>
      <c r="L52" s="28"/>
    </row>
    <row r="53" spans="1:12" x14ac:dyDescent="0.25">
      <c r="A53" s="4">
        <v>4</v>
      </c>
      <c r="B53" s="6" t="str">
        <f>IFERROR(INDEX('Watershed plans'!$F$12:$F$15,MATCH(4,'Watershed plans'!$AA$12:$AA$15,0)),"")</f>
        <v/>
      </c>
      <c r="C53" s="9" t="str">
        <f>IFERROR(INDEX('Watershed plans'!$B$12:$B$15,MATCH(4,'Watershed plans'!$AA$12:$AA$15,0)),"")</f>
        <v/>
      </c>
      <c r="D53" s="19" t="str">
        <f>IFERROR(INDEX('Watershed plans'!$J$12:$J$15,MATCH(4,'Watershed plans'!$AA$12:$AA$15,0)),"")</f>
        <v/>
      </c>
      <c r="E53" s="25" t="str">
        <f>IFERROR(INDEX('Watershed plans'!$K$12:$K$15,MATCH(4,'Watershed plans'!$AA$12:$AA$15,0)),"")</f>
        <v/>
      </c>
      <c r="F53" s="24" t="str">
        <f>IFERROR(INDEX('Watershed plans'!$I$12:$I$15,MATCH(4,'Watershed plans'!$AA$12:$AA$15,0)),"")</f>
        <v/>
      </c>
      <c r="G53" s="25" t="str">
        <f>IFERROR(INDEX('Watershed plans'!$Y$12:$Y$15,MATCH(4,'Watershed plans'!$AA$12:$AA$15,0)),"")</f>
        <v/>
      </c>
      <c r="H53" s="19" t="str">
        <f t="shared" si="0"/>
        <v/>
      </c>
      <c r="I53" s="25" t="str">
        <f t="shared" si="1"/>
        <v/>
      </c>
      <c r="J53" s="25" t="str">
        <f t="shared" si="2"/>
        <v/>
      </c>
      <c r="K53" s="14"/>
      <c r="L53" s="28"/>
    </row>
    <row r="54" spans="1:12" x14ac:dyDescent="0.25">
      <c r="A54" s="4">
        <v>5</v>
      </c>
      <c r="B54" s="6" t="str">
        <f>IFERROR(INDEX('Watershed plans'!$F$12:$F$15,MATCH(5,'Watershed plans'!$AA$12:$AA$15,0)),"")</f>
        <v/>
      </c>
      <c r="C54" s="9" t="str">
        <f>IFERROR(INDEX('Watershed plans'!$B$12:$B$15,MATCH(5,'Watershed plans'!$AA$12:$AA$15,0)),"")</f>
        <v/>
      </c>
      <c r="D54" s="19" t="str">
        <f>IFERROR(INDEX('Watershed plans'!$J$12:$J$15,MATCH(5,'Watershed plans'!$AA$12:$AA$15,0)),"")</f>
        <v/>
      </c>
      <c r="E54" s="25" t="str">
        <f>IFERROR(INDEX('Watershed plans'!$K$12:$K$15,MATCH(5,'Watershed plans'!$AA$12:$AA$15,0)),"")</f>
        <v/>
      </c>
      <c r="F54" s="24" t="str">
        <f>IFERROR(INDEX('Watershed plans'!$I$12:$I$15,MATCH(5,'Watershed plans'!$AA$12:$AA$15,0)),"")</f>
        <v/>
      </c>
      <c r="G54" s="25" t="str">
        <f>IFERROR(INDEX('Watershed plans'!$Y$12:$Y$15,MATCH(5,'Watershed plans'!$AA$12:$AA$15,0)),"")</f>
        <v/>
      </c>
      <c r="H54" s="19" t="str">
        <f t="shared" si="0"/>
        <v/>
      </c>
      <c r="I54" s="25" t="str">
        <f t="shared" si="1"/>
        <v/>
      </c>
      <c r="J54" s="25" t="str">
        <f t="shared" si="2"/>
        <v/>
      </c>
      <c r="K54" s="14"/>
      <c r="L54" s="28"/>
    </row>
    <row r="55" spans="1:12" x14ac:dyDescent="0.25">
      <c r="A55" s="4">
        <v>6</v>
      </c>
      <c r="B55" s="6" t="str">
        <f>IFERROR(INDEX('Watershed plans'!$F$12:$F$15,MATCH(6,'Watershed plans'!$AA$12:$AA$15,0)),"")</f>
        <v/>
      </c>
      <c r="C55" s="9" t="str">
        <f>IFERROR(INDEX('Watershed plans'!$B$12:$B$15,MATCH(6,'Watershed plans'!$AA$12:$AA$15,0)),"")</f>
        <v/>
      </c>
      <c r="D55" s="19" t="str">
        <f>IFERROR(INDEX('Watershed plans'!$J$12:$J$15,MATCH(6,'Watershed plans'!$AA$12:$AA$15,0)),"")</f>
        <v/>
      </c>
      <c r="E55" s="25" t="str">
        <f>IFERROR(INDEX('Watershed plans'!$K$12:$K$15,MATCH(6,'Watershed plans'!$AA$12:$AA$15,0)),"")</f>
        <v/>
      </c>
      <c r="F55" s="24" t="str">
        <f>IFERROR(INDEX('Watershed plans'!$I$12:$I$15,MATCH(6,'Watershed plans'!$AA$12:$AA$15,0)),"")</f>
        <v/>
      </c>
      <c r="G55" s="25" t="str">
        <f>IFERROR(INDEX('Watershed plans'!$Y$12:$Y$15,MATCH(6,'Watershed plans'!$AA$12:$AA$15,0)),"")</f>
        <v/>
      </c>
      <c r="H55" s="19" t="str">
        <f t="shared" si="0"/>
        <v/>
      </c>
      <c r="I55" s="25" t="str">
        <f t="shared" si="1"/>
        <v/>
      </c>
      <c r="J55" s="25" t="str">
        <f t="shared" si="2"/>
        <v/>
      </c>
      <c r="K55" s="14"/>
      <c r="L55" s="28"/>
    </row>
    <row r="56" spans="1:12" x14ac:dyDescent="0.25">
      <c r="A56" s="4">
        <v>7</v>
      </c>
      <c r="B56" s="6" t="str">
        <f>IFERROR(INDEX('Watershed plans'!$F$12:$F$15,MATCH(7,'Watershed plans'!$AA$12:$AA$15,0)),"")</f>
        <v/>
      </c>
      <c r="C56" s="9" t="str">
        <f>IFERROR(INDEX('Watershed plans'!$B$12:$B$15,MATCH(7,'Watershed plans'!$AA$12:$AA$15,0)),"")</f>
        <v/>
      </c>
      <c r="D56" s="19" t="str">
        <f>IFERROR(INDEX('Watershed plans'!$J$12:$J$15,MATCH(7,'Watershed plans'!$AA$12:$AA$15,0)),"")</f>
        <v/>
      </c>
      <c r="E56" s="25" t="str">
        <f>IFERROR(INDEX('Watershed plans'!$K$12:$K$15,MATCH(7,'Watershed plans'!$AA$12:$AA$15,0)),"")</f>
        <v/>
      </c>
      <c r="F56" s="24" t="str">
        <f>IFERROR(INDEX('Watershed plans'!$I$12:$I$15,MATCH(7,'Watershed plans'!$AA$12:$AA$15,0)),"")</f>
        <v/>
      </c>
      <c r="G56" s="25" t="str">
        <f>IFERROR(INDEX('Watershed plans'!$Y$12:$Y$15,MATCH(7,'Watershed plans'!$AA$12:$AA$15,0)),"")</f>
        <v/>
      </c>
      <c r="H56" s="19" t="str">
        <f t="shared" si="0"/>
        <v/>
      </c>
      <c r="I56" s="25" t="str">
        <f t="shared" si="1"/>
        <v/>
      </c>
      <c r="J56" s="25" t="str">
        <f t="shared" si="2"/>
        <v/>
      </c>
      <c r="K56" s="14"/>
      <c r="L56" s="28"/>
    </row>
    <row r="57" spans="1:12" x14ac:dyDescent="0.25">
      <c r="A57" s="4">
        <v>8</v>
      </c>
      <c r="B57" s="6" t="str">
        <f>IFERROR(INDEX('Watershed plans'!$F$12:$F$15,MATCH(8,'Watershed plans'!$AA$12:$AA$15,0)),"")</f>
        <v/>
      </c>
      <c r="C57" s="9" t="str">
        <f>IFERROR(INDEX('Watershed plans'!$B$12:$B$15,MATCH(8,'Watershed plans'!$AA$12:$AA$15,0)),"")</f>
        <v/>
      </c>
      <c r="D57" s="19" t="str">
        <f>IFERROR(INDEX('Watershed plans'!$J$12:$J$15,MATCH(8,'Watershed plans'!$AA$12:$AA$15,0)),"")</f>
        <v/>
      </c>
      <c r="E57" s="25" t="str">
        <f>IFERROR(INDEX('Watershed plans'!$K$12:$K$15,MATCH(8,'Watershed plans'!$AA$12:$AA$15,0)),"")</f>
        <v/>
      </c>
      <c r="F57" s="24" t="str">
        <f>IFERROR(INDEX('Watershed plans'!$I$12:$I$15,MATCH(8,'Watershed plans'!$AA$12:$AA$15,0)),"")</f>
        <v/>
      </c>
      <c r="G57" s="25" t="str">
        <f>IFERROR(INDEX('Watershed plans'!$Y$12:$Y$15,MATCH(8,'Watershed plans'!$AA$12:$AA$15,0)),"")</f>
        <v/>
      </c>
      <c r="H57" s="19" t="str">
        <f t="shared" si="0"/>
        <v/>
      </c>
      <c r="I57" s="25" t="str">
        <f t="shared" si="1"/>
        <v/>
      </c>
      <c r="J57" s="25" t="str">
        <f t="shared" si="2"/>
        <v/>
      </c>
      <c r="K57" s="14"/>
      <c r="L57" s="28"/>
    </row>
    <row r="58" spans="1:12" x14ac:dyDescent="0.25">
      <c r="A58" s="4">
        <v>9</v>
      </c>
      <c r="B58" s="6" t="str">
        <f>IFERROR(INDEX('Watershed plans'!$F$12:$F$15,MATCH(9,'Watershed plans'!$AA$12:$AA$15,0)),"")</f>
        <v/>
      </c>
      <c r="C58" s="9" t="str">
        <f>IFERROR(INDEX('Watershed plans'!$B$12:$B$15,MATCH(9,'Watershed plans'!$AA$12:$AA$15,0)),"")</f>
        <v/>
      </c>
      <c r="D58" s="19" t="str">
        <f>IFERROR(INDEX('Watershed plans'!$J$12:$J$15,MATCH(9,'Watershed plans'!$AA$12:$AA$15,0)),"")</f>
        <v/>
      </c>
      <c r="E58" s="25" t="str">
        <f>IFERROR(INDEX('Watershed plans'!$K$12:$K$15,MATCH(9,'Watershed plans'!$AA$12:$AA$15,0)),"")</f>
        <v/>
      </c>
      <c r="F58" s="24" t="str">
        <f>IFERROR(INDEX('Watershed plans'!$I$12:$I$15,MATCH(9,'Watershed plans'!$AA$12:$AA$15,0)),"")</f>
        <v/>
      </c>
      <c r="G58" s="25" t="str">
        <f>IFERROR(INDEX('Watershed plans'!$Y$12:$Y$15,MATCH(9,'Watershed plans'!$AA$12:$AA$15,0)),"")</f>
        <v/>
      </c>
      <c r="H58" s="19" t="str">
        <f t="shared" si="0"/>
        <v/>
      </c>
      <c r="I58" s="25" t="str">
        <f t="shared" si="1"/>
        <v/>
      </c>
      <c r="J58" s="25" t="str">
        <f t="shared" si="2"/>
        <v/>
      </c>
      <c r="K58" s="14"/>
      <c r="L58" s="28"/>
    </row>
    <row r="59" spans="1:12" x14ac:dyDescent="0.25">
      <c r="A59" s="4">
        <v>10</v>
      </c>
      <c r="B59" s="6" t="str">
        <f>IFERROR(INDEX('Watershed plans'!$F$12:$F$15,MATCH(10,'Watershed plans'!$AA$12:$AA$15,0)),"")</f>
        <v/>
      </c>
      <c r="C59" s="9" t="str">
        <f>IFERROR(INDEX('Watershed plans'!$B$12:$B$15,MATCH(10,'Watershed plans'!$AA$12:$AA$15,0)),"")</f>
        <v/>
      </c>
      <c r="D59" s="19" t="str">
        <f>IFERROR(INDEX('Watershed plans'!$J$12:$J$15,MATCH(10,'Watershed plans'!$AA$12:$AA$15,0)),"")</f>
        <v/>
      </c>
      <c r="E59" s="25" t="str">
        <f>IFERROR(INDEX('Watershed plans'!$K$12:$K$15,MATCH(10,'Watershed plans'!$AA$12:$AA$15,0)),"")</f>
        <v/>
      </c>
      <c r="F59" s="24" t="str">
        <f>IFERROR(INDEX('Watershed plans'!$I$12:$I$15,MATCH(10,'Watershed plans'!$AA$12:$AA$15,0)),"")</f>
        <v/>
      </c>
      <c r="G59" s="25" t="str">
        <f>IFERROR(INDEX('Watershed plans'!$Y$12:$Y$15,MATCH(10,'Watershed plans'!$AA$12:$AA$15,0)),"")</f>
        <v/>
      </c>
      <c r="H59" s="19" t="str">
        <f t="shared" si="0"/>
        <v/>
      </c>
      <c r="I59" s="25" t="str">
        <f t="shared" si="1"/>
        <v/>
      </c>
      <c r="J59" s="25" t="str">
        <f t="shared" si="2"/>
        <v/>
      </c>
      <c r="K59" s="14"/>
      <c r="L59" s="28"/>
    </row>
    <row r="60" spans="1:12" x14ac:dyDescent="0.25">
      <c r="A60" s="4">
        <v>11</v>
      </c>
      <c r="B60" s="6" t="str">
        <f>IFERROR(INDEX('Watershed plans'!$F$12:$F$15,MATCH(11,'Watershed plans'!$AA$12:$AA$15,0)),"")</f>
        <v/>
      </c>
      <c r="C60" s="9" t="str">
        <f>IFERROR(INDEX('Watershed plans'!$B$12:$B$15,MATCH(11,'Watershed plans'!$AA$12:$AA$15,0)),"")</f>
        <v/>
      </c>
      <c r="D60" s="19" t="str">
        <f>IFERROR(INDEX('Watershed plans'!$J$12:$J$15,MATCH(11,'Watershed plans'!$AA$12:$AA$15,0)),"")</f>
        <v/>
      </c>
      <c r="E60" s="25" t="str">
        <f>IFERROR(INDEX('Watershed plans'!$K$12:$K$15,MATCH(11,'Watershed plans'!$AA$12:$AA$15,0)),"")</f>
        <v/>
      </c>
      <c r="F60" s="24" t="str">
        <f>IFERROR(INDEX('Watershed plans'!$I$12:$I$15,MATCH(11,'Watershed plans'!$AA$12:$AA$15,0)),"")</f>
        <v/>
      </c>
      <c r="G60" s="25" t="str">
        <f>IFERROR(INDEX('Watershed plans'!$Y$12:$Y$15,MATCH(11,'Watershed plans'!$AA$12:$AA$15,0)),"")</f>
        <v/>
      </c>
      <c r="H60" s="19" t="str">
        <f t="shared" si="0"/>
        <v/>
      </c>
      <c r="I60" s="25" t="str">
        <f t="shared" si="1"/>
        <v/>
      </c>
      <c r="J60" s="25" t="str">
        <f t="shared" si="2"/>
        <v/>
      </c>
      <c r="K60" s="14"/>
      <c r="L60" s="28"/>
    </row>
    <row r="61" spans="1:12" x14ac:dyDescent="0.25">
      <c r="A61" s="4">
        <v>12</v>
      </c>
      <c r="B61" s="6" t="str">
        <f>IFERROR(INDEX('Watershed plans'!$F$12:$F$15,MATCH(12,'Watershed plans'!$AA$12:$AA$15,0)),"")</f>
        <v/>
      </c>
      <c r="C61" s="9" t="str">
        <f>IFERROR(INDEX('Watershed plans'!$B$12:$B$15,MATCH(12,'Watershed plans'!$AA$12:$AA$15,0)),"")</f>
        <v/>
      </c>
      <c r="D61" s="19" t="str">
        <f>IFERROR(INDEX('Watershed plans'!$J$12:$J$15,MATCH(12,'Watershed plans'!$AA$12:$AA$15,0)),"")</f>
        <v/>
      </c>
      <c r="E61" s="25" t="str">
        <f>IFERROR(INDEX('Watershed plans'!$K$12:$K$15,MATCH(12,'Watershed plans'!$AA$12:$AA$15,0)),"")</f>
        <v/>
      </c>
      <c r="F61" s="24" t="str">
        <f>IFERROR(INDEX('Watershed plans'!$I$12:$I$15,MATCH(12,'Watershed plans'!$AA$12:$AA$15,0)),"")</f>
        <v/>
      </c>
      <c r="G61" s="25" t="str">
        <f>IFERROR(INDEX('Watershed plans'!$Y$12:$Y$15,MATCH(12,'Watershed plans'!$AA$12:$AA$15,0)),"")</f>
        <v/>
      </c>
      <c r="H61" s="19" t="str">
        <f t="shared" si="0"/>
        <v/>
      </c>
      <c r="I61" s="25" t="str">
        <f t="shared" si="1"/>
        <v/>
      </c>
      <c r="J61" s="25" t="str">
        <f t="shared" si="2"/>
        <v/>
      </c>
      <c r="K61" s="14"/>
      <c r="L61" s="28"/>
    </row>
    <row r="62" spans="1:12" x14ac:dyDescent="0.25">
      <c r="A62" s="4">
        <v>13</v>
      </c>
      <c r="B62" s="6" t="str">
        <f>IFERROR(INDEX('Watershed plans'!$F$12:$F$15,MATCH(13,'Watershed plans'!$AA$12:$AA$15,0)),"")</f>
        <v/>
      </c>
      <c r="C62" s="9" t="str">
        <f>IFERROR(INDEX('Watershed plans'!$B$12:$B$15,MATCH(13,'Watershed plans'!$AA$12:$AA$15,0)),"")</f>
        <v/>
      </c>
      <c r="D62" s="19" t="str">
        <f>IFERROR(INDEX('Watershed plans'!$J$12:$J$15,MATCH(13,'Watershed plans'!$AA$12:$AA$15,0)),"")</f>
        <v/>
      </c>
      <c r="E62" s="25" t="str">
        <f>IFERROR(INDEX('Watershed plans'!$K$12:$K$15,MATCH(13,'Watershed plans'!$AA$12:$AA$15,0)),"")</f>
        <v/>
      </c>
      <c r="F62" s="24" t="str">
        <f>IFERROR(INDEX('Watershed plans'!$I$12:$I$15,MATCH(13,'Watershed plans'!$AA$12:$AA$15,0)),"")</f>
        <v/>
      </c>
      <c r="G62" s="25" t="str">
        <f>IFERROR(INDEX('Watershed plans'!$Y$12:$Y$15,MATCH(13,'Watershed plans'!$AA$12:$AA$15,0)),"")</f>
        <v/>
      </c>
      <c r="H62" s="19" t="str">
        <f t="shared" si="0"/>
        <v/>
      </c>
      <c r="I62" s="25" t="str">
        <f t="shared" si="1"/>
        <v/>
      </c>
      <c r="J62" s="25" t="str">
        <f t="shared" si="2"/>
        <v/>
      </c>
      <c r="K62" s="14"/>
      <c r="L62" s="28"/>
    </row>
    <row r="63" spans="1:12" x14ac:dyDescent="0.25">
      <c r="A63" s="4">
        <v>14</v>
      </c>
      <c r="B63" s="6" t="str">
        <f>IFERROR(INDEX('Watershed plans'!$F$12:$F$15,MATCH(14,'Watershed plans'!$AA$12:$AA$15,0)),"")</f>
        <v/>
      </c>
      <c r="C63" s="9" t="str">
        <f>IFERROR(INDEX('Watershed plans'!$B$12:$B$15,MATCH(14,'Watershed plans'!$AA$12:$AA$15,0)),"")</f>
        <v/>
      </c>
      <c r="D63" s="19" t="str">
        <f>IFERROR(INDEX('Watershed plans'!$J$12:$J$15,MATCH(14,'Watershed plans'!$AA$12:$AA$15,0)),"")</f>
        <v/>
      </c>
      <c r="E63" s="25" t="str">
        <f>IFERROR(INDEX('Watershed plans'!$K$12:$K$15,MATCH(14,'Watershed plans'!$AA$12:$AA$15,0)),"")</f>
        <v/>
      </c>
      <c r="F63" s="24" t="str">
        <f>IFERROR(INDEX('Watershed plans'!$I$12:$I$15,MATCH(14,'Watershed plans'!$AA$12:$AA$15,0)),"")</f>
        <v/>
      </c>
      <c r="G63" s="25" t="str">
        <f>IFERROR(INDEX('Watershed plans'!$Y$12:$Y$15,MATCH(14,'Watershed plans'!$AA$12:$AA$15,0)),"")</f>
        <v/>
      </c>
      <c r="H63" s="19" t="str">
        <f t="shared" si="0"/>
        <v/>
      </c>
      <c r="I63" s="25" t="str">
        <f t="shared" si="1"/>
        <v/>
      </c>
      <c r="J63" s="25" t="str">
        <f t="shared" si="2"/>
        <v/>
      </c>
      <c r="K63" s="14"/>
      <c r="L63" s="28"/>
    </row>
    <row r="64" spans="1:12" x14ac:dyDescent="0.25">
      <c r="A64" s="4">
        <v>15</v>
      </c>
      <c r="B64" s="6" t="str">
        <f>IFERROR(INDEX('Watershed plans'!$F$12:$F$15,MATCH(15,'Watershed plans'!$AA$12:$AA$15,0)),"")</f>
        <v/>
      </c>
      <c r="C64" s="9" t="str">
        <f>IFERROR(INDEX('Watershed plans'!$B$12:$B$15,MATCH(15,'Watershed plans'!$AA$12:$AA$15,0)),"")</f>
        <v/>
      </c>
      <c r="D64" s="19" t="str">
        <f>IFERROR(INDEX('Watershed plans'!$J$12:$J$15,MATCH(15,'Watershed plans'!$AA$12:$AA$15,0)),"")</f>
        <v/>
      </c>
      <c r="E64" s="25" t="str">
        <f>IFERROR(INDEX('Watershed plans'!$K$12:$K$15,MATCH(15,'Watershed plans'!$AA$12:$AA$15,0)),"")</f>
        <v/>
      </c>
      <c r="F64" s="24" t="str">
        <f>IFERROR(INDEX('Watershed plans'!$I$12:$I$15,MATCH(15,'Watershed plans'!$AA$12:$AA$15,0)),"")</f>
        <v/>
      </c>
      <c r="G64" s="25" t="str">
        <f>IFERROR(INDEX('Watershed plans'!$Y$12:$Y$15,MATCH(15,'Watershed plans'!$AA$12:$AA$15,0)),"")</f>
        <v/>
      </c>
      <c r="H64" s="19" t="str">
        <f t="shared" si="0"/>
        <v/>
      </c>
      <c r="I64" s="25" t="str">
        <f t="shared" si="1"/>
        <v/>
      </c>
      <c r="J64" s="25" t="str">
        <f t="shared" si="2"/>
        <v/>
      </c>
      <c r="K64" s="14"/>
      <c r="L64" s="28"/>
    </row>
    <row r="65" spans="1:12" x14ac:dyDescent="0.25">
      <c r="A65" s="4">
        <v>16</v>
      </c>
      <c r="B65" s="6" t="str">
        <f>IFERROR(INDEX('Watershed plans'!$F$12:$F$15,MATCH(16,'Watershed plans'!$AA$12:$AA$15,0)),"")</f>
        <v/>
      </c>
      <c r="C65" s="9" t="str">
        <f>IFERROR(INDEX('Watershed plans'!$B$12:$B$15,MATCH(16,'Watershed plans'!$AA$12:$AA$15,0)),"")</f>
        <v/>
      </c>
      <c r="D65" s="19" t="str">
        <f>IFERROR(INDEX('Watershed plans'!$J$12:$J$15,MATCH(16,'Watershed plans'!$AA$12:$AA$15,0)),"")</f>
        <v/>
      </c>
      <c r="E65" s="25" t="str">
        <f>IFERROR(INDEX('Watershed plans'!$K$12:$K$15,MATCH(16,'Watershed plans'!$AA$12:$AA$15,0)),"")</f>
        <v/>
      </c>
      <c r="F65" s="24" t="str">
        <f>IFERROR(INDEX('Watershed plans'!$I$12:$I$15,MATCH(16,'Watershed plans'!$AA$12:$AA$15,0)),"")</f>
        <v/>
      </c>
      <c r="G65" s="25" t="str">
        <f>IFERROR(INDEX('Watershed plans'!$Y$12:$Y$15,MATCH(16,'Watershed plans'!$AA$12:$AA$15,0)),"")</f>
        <v/>
      </c>
      <c r="H65" s="19" t="str">
        <f t="shared" si="0"/>
        <v/>
      </c>
      <c r="I65" s="25" t="str">
        <f t="shared" si="1"/>
        <v/>
      </c>
      <c r="J65" s="25" t="str">
        <f t="shared" si="2"/>
        <v/>
      </c>
      <c r="K65" s="14"/>
      <c r="L65" s="28"/>
    </row>
    <row r="66" spans="1:12" x14ac:dyDescent="0.25">
      <c r="A66" s="4">
        <v>17</v>
      </c>
      <c r="B66" s="6" t="str">
        <f>IFERROR(INDEX('Watershed plans'!$F$12:$F$15,MATCH(17,'Watershed plans'!$AA$12:$AA$15,0)),"")</f>
        <v/>
      </c>
      <c r="C66" s="9" t="str">
        <f>IFERROR(INDEX('Watershed plans'!$B$12:$B$15,MATCH(17,'Watershed plans'!$AA$12:$AA$15,0)),"")</f>
        <v/>
      </c>
      <c r="D66" s="19" t="str">
        <f>IFERROR(INDEX('Watershed plans'!$J$12:$J$15,MATCH(17,'Watershed plans'!$AA$12:$AA$15,0)),"")</f>
        <v/>
      </c>
      <c r="E66" s="25" t="str">
        <f>IFERROR(INDEX('Watershed plans'!$K$12:$K$15,MATCH(17,'Watershed plans'!$AA$12:$AA$15,0)),"")</f>
        <v/>
      </c>
      <c r="F66" s="24" t="str">
        <f>IFERROR(INDEX('Watershed plans'!$I$12:$I$15,MATCH(17,'Watershed plans'!$AA$12:$AA$15,0)),"")</f>
        <v/>
      </c>
      <c r="G66" s="25" t="str">
        <f>IFERROR(INDEX('Watershed plans'!$Y$12:$Y$15,MATCH(17,'Watershed plans'!$AA$12:$AA$15,0)),"")</f>
        <v/>
      </c>
      <c r="H66" s="19" t="str">
        <f t="shared" si="0"/>
        <v/>
      </c>
      <c r="I66" s="25" t="str">
        <f t="shared" si="1"/>
        <v/>
      </c>
      <c r="J66" s="25" t="str">
        <f t="shared" si="2"/>
        <v/>
      </c>
      <c r="K66" s="14"/>
      <c r="L66" s="28"/>
    </row>
    <row r="67" spans="1:12" x14ac:dyDescent="0.25">
      <c r="A67" s="4">
        <v>18</v>
      </c>
      <c r="B67" s="6" t="str">
        <f>IFERROR(INDEX('Watershed plans'!$F$12:$F$15,MATCH(18,'Watershed plans'!$AA$12:$AA$15,0)),"")</f>
        <v/>
      </c>
      <c r="C67" s="9" t="str">
        <f>IFERROR(INDEX('Watershed plans'!$B$12:$B$15,MATCH(18,'Watershed plans'!$AA$12:$AA$15,0)),"")</f>
        <v/>
      </c>
      <c r="D67" s="19" t="str">
        <f>IFERROR(INDEX('Watershed plans'!$J$12:$J$15,MATCH(18,'Watershed plans'!$AA$12:$AA$15,0)),"")</f>
        <v/>
      </c>
      <c r="E67" s="25" t="str">
        <f>IFERROR(INDEX('Watershed plans'!$K$12:$K$15,MATCH(18,'Watershed plans'!$AA$12:$AA$15,0)),"")</f>
        <v/>
      </c>
      <c r="F67" s="24" t="str">
        <f>IFERROR(INDEX('Watershed plans'!$I$12:$I$15,MATCH(18,'Watershed plans'!$AA$12:$AA$15,0)),"")</f>
        <v/>
      </c>
      <c r="G67" s="25" t="str">
        <f>IFERROR(INDEX('Watershed plans'!$Y$12:$Y$15,MATCH(18,'Watershed plans'!$AA$12:$AA$15,0)),"")</f>
        <v/>
      </c>
      <c r="H67" s="19" t="str">
        <f t="shared" si="0"/>
        <v/>
      </c>
      <c r="I67" s="25" t="str">
        <f t="shared" si="1"/>
        <v/>
      </c>
      <c r="J67" s="25" t="str">
        <f t="shared" si="2"/>
        <v/>
      </c>
      <c r="K67" s="14"/>
      <c r="L67" s="28"/>
    </row>
    <row r="68" spans="1:12" x14ac:dyDescent="0.25">
      <c r="A68" s="4">
        <v>19</v>
      </c>
      <c r="B68" s="6" t="str">
        <f>IFERROR(INDEX('Watershed plans'!$F$12:$F$15,MATCH(19,'Watershed plans'!$AA$12:$AA$15,0)),"")</f>
        <v/>
      </c>
      <c r="C68" s="9" t="str">
        <f>IFERROR(INDEX('Watershed plans'!$B$12:$B$15,MATCH(19,'Watershed plans'!$AA$12:$AA$15,0)),"")</f>
        <v/>
      </c>
      <c r="D68" s="19" t="str">
        <f>IFERROR(INDEX('Watershed plans'!$J$12:$J$15,MATCH(19,'Watershed plans'!$AA$12:$AA$15,0)),"")</f>
        <v/>
      </c>
      <c r="E68" s="25" t="str">
        <f>IFERROR(INDEX('Watershed plans'!$K$12:$K$15,MATCH(19,'Watershed plans'!$AA$12:$AA$15,0)),"")</f>
        <v/>
      </c>
      <c r="F68" s="24" t="str">
        <f>IFERROR(INDEX('Watershed plans'!$I$12:$I$15,MATCH(19,'Watershed plans'!$AA$12:$AA$15,0)),"")</f>
        <v/>
      </c>
      <c r="G68" s="25" t="str">
        <f>IFERROR(INDEX('Watershed plans'!$Y$12:$Y$15,MATCH(19,'Watershed plans'!$AA$12:$AA$15,0)),"")</f>
        <v/>
      </c>
      <c r="H68" s="19" t="str">
        <f t="shared" si="0"/>
        <v/>
      </c>
      <c r="I68" s="25" t="str">
        <f t="shared" si="1"/>
        <v/>
      </c>
      <c r="J68" s="25" t="str">
        <f t="shared" si="2"/>
        <v/>
      </c>
      <c r="K68" s="14"/>
      <c r="L68" s="28"/>
    </row>
    <row r="69" spans="1:12" x14ac:dyDescent="0.25">
      <c r="A69" s="4">
        <v>20</v>
      </c>
      <c r="B69" s="6" t="str">
        <f>IFERROR(INDEX('Watershed plans'!$F$12:$F$15,MATCH(20,'Watershed plans'!$AA$12:$AA$15,0)),"")</f>
        <v/>
      </c>
      <c r="C69" s="9" t="str">
        <f>IFERROR(INDEX('Watershed plans'!$B$12:$B$15,MATCH(20,'Watershed plans'!$AA$12:$AA$15,0)),"")</f>
        <v/>
      </c>
      <c r="D69" s="19" t="str">
        <f>IFERROR(INDEX('Watershed plans'!$J$12:$J$15,MATCH(20,'Watershed plans'!$AA$12:$AA$15,0)),"")</f>
        <v/>
      </c>
      <c r="E69" s="25" t="str">
        <f>IFERROR(INDEX('Watershed plans'!$K$12:$K$15,MATCH(20,'Watershed plans'!$AA$12:$AA$15,0)),"")</f>
        <v/>
      </c>
      <c r="F69" s="24" t="str">
        <f>IFERROR(INDEX('Watershed plans'!$I$12:$I$15,MATCH(20,'Watershed plans'!$AA$12:$AA$15,0)),"")</f>
        <v/>
      </c>
      <c r="G69" s="25" t="str">
        <f>IFERROR(INDEX('Watershed plans'!$Y$12:$Y$15,MATCH(20,'Watershed plans'!$AA$12:$AA$15,0)),"")</f>
        <v/>
      </c>
      <c r="H69" s="19" t="str">
        <f t="shared" si="0"/>
        <v/>
      </c>
      <c r="I69" s="25" t="str">
        <f t="shared" si="1"/>
        <v/>
      </c>
      <c r="J69" s="25" t="str">
        <f t="shared" si="2"/>
        <v/>
      </c>
      <c r="K69" s="14"/>
      <c r="L69" s="28"/>
    </row>
    <row r="70" spans="1:12" x14ac:dyDescent="0.25">
      <c r="A70" s="4">
        <v>21</v>
      </c>
      <c r="B70" s="6" t="str">
        <f>IFERROR(INDEX('Watershed plans'!$F$12:$F$15,MATCH(21,'Watershed plans'!$AA$12:$AA$15,0)),"")</f>
        <v/>
      </c>
      <c r="C70" s="9" t="str">
        <f>IFERROR(INDEX('Watershed plans'!$B$12:$B$15,MATCH(21,'Watershed plans'!$AA$12:$AA$15,0)),"")</f>
        <v/>
      </c>
      <c r="D70" s="19" t="str">
        <f>IFERROR(INDEX('Watershed plans'!$J$12:$J$15,MATCH(21,'Watershed plans'!$AA$12:$AA$15,0)),"")</f>
        <v/>
      </c>
      <c r="E70" s="25" t="str">
        <f>IFERROR(INDEX('Watershed plans'!$K$12:$K$15,MATCH(21,'Watershed plans'!$AA$12:$AA$15,0)),"")</f>
        <v/>
      </c>
      <c r="F70" s="24" t="str">
        <f>IFERROR(INDEX('Watershed plans'!$I$12:$I$15,MATCH(21,'Watershed plans'!$AA$12:$AA$15,0)),"")</f>
        <v/>
      </c>
      <c r="G70" s="25" t="str">
        <f>IFERROR(INDEX('Watershed plans'!$Y$12:$Y$15,MATCH(21,'Watershed plans'!$AA$12:$AA$15,0)),"")</f>
        <v/>
      </c>
      <c r="H70" s="19" t="str">
        <f t="shared" si="0"/>
        <v/>
      </c>
      <c r="I70" s="25" t="str">
        <f t="shared" si="1"/>
        <v/>
      </c>
      <c r="J70" s="25" t="str">
        <f t="shared" si="2"/>
        <v/>
      </c>
      <c r="K70" s="14"/>
      <c r="L70" s="28"/>
    </row>
    <row r="71" spans="1:12" x14ac:dyDescent="0.25">
      <c r="A71" s="4">
        <v>22</v>
      </c>
      <c r="B71" s="6" t="str">
        <f>IFERROR(INDEX('Watershed plans'!$F$12:$F$15,MATCH(22,'Watershed plans'!$AA$12:$AA$15,0)),"")</f>
        <v/>
      </c>
      <c r="C71" s="9" t="str">
        <f>IFERROR(INDEX('Watershed plans'!$B$12:$B$15,MATCH(22,'Watershed plans'!$AA$12:$AA$15,0)),"")</f>
        <v/>
      </c>
      <c r="D71" s="19" t="str">
        <f>IFERROR(INDEX('Watershed plans'!$J$12:$J$15,MATCH(22,'Watershed plans'!$AA$12:$AA$15,0)),"")</f>
        <v/>
      </c>
      <c r="E71" s="25" t="str">
        <f>IFERROR(INDEX('Watershed plans'!$K$12:$K$15,MATCH(22,'Watershed plans'!$AA$12:$AA$15,0)),"")</f>
        <v/>
      </c>
      <c r="F71" s="24" t="str">
        <f>IFERROR(INDEX('Watershed plans'!$I$12:$I$15,MATCH(22,'Watershed plans'!$AA$12:$AA$15,0)),"")</f>
        <v/>
      </c>
      <c r="G71" s="25" t="str">
        <f>IFERROR(INDEX('Watershed plans'!$Y$12:$Y$15,MATCH(22,'Watershed plans'!$AA$12:$AA$15,0)),"")</f>
        <v/>
      </c>
      <c r="H71" s="19" t="str">
        <f t="shared" si="0"/>
        <v/>
      </c>
      <c r="I71" s="25" t="str">
        <f t="shared" si="1"/>
        <v/>
      </c>
      <c r="J71" s="25" t="str">
        <f t="shared" si="2"/>
        <v/>
      </c>
      <c r="K71" s="14"/>
      <c r="L71" s="28"/>
    </row>
    <row r="72" spans="1:12" x14ac:dyDescent="0.25">
      <c r="A72" s="4">
        <v>23</v>
      </c>
      <c r="B72" s="6" t="str">
        <f>IFERROR(INDEX('Watershed plans'!$F$12:$F$15,MATCH(23,'Watershed plans'!$AA$12:$AA$15,0)),"")</f>
        <v/>
      </c>
      <c r="C72" s="9" t="str">
        <f>IFERROR(INDEX('Watershed plans'!$B$12:$B$15,MATCH(23,'Watershed plans'!$AA$12:$AA$15,0)),"")</f>
        <v/>
      </c>
      <c r="D72" s="19" t="str">
        <f>IFERROR(INDEX('Watershed plans'!$J$12:$J$15,MATCH(23,'Watershed plans'!$AA$12:$AA$15,0)),"")</f>
        <v/>
      </c>
      <c r="E72" s="25" t="str">
        <f>IFERROR(INDEX('Watershed plans'!$K$12:$K$15,MATCH(23,'Watershed plans'!$AA$12:$AA$15,0)),"")</f>
        <v/>
      </c>
      <c r="F72" s="24" t="str">
        <f>IFERROR(INDEX('Watershed plans'!$I$12:$I$15,MATCH(23,'Watershed plans'!$AA$12:$AA$15,0)),"")</f>
        <v/>
      </c>
      <c r="G72" s="25" t="str">
        <f>IFERROR(INDEX('Watershed plans'!$Y$12:$Y$15,MATCH(23,'Watershed plans'!$AA$12:$AA$15,0)),"")</f>
        <v/>
      </c>
      <c r="H72" s="19" t="str">
        <f t="shared" si="0"/>
        <v/>
      </c>
      <c r="I72" s="25" t="str">
        <f t="shared" si="1"/>
        <v/>
      </c>
      <c r="J72" s="25" t="str">
        <f t="shared" si="2"/>
        <v/>
      </c>
      <c r="K72" s="14"/>
      <c r="L72" s="28"/>
    </row>
    <row r="73" spans="1:12" x14ac:dyDescent="0.25">
      <c r="A73" s="4">
        <v>24</v>
      </c>
      <c r="B73" s="6" t="str">
        <f>IFERROR(INDEX('Watershed plans'!$F$12:$F$15,MATCH(24,'Watershed plans'!$AA$12:$AA$15,0)),"")</f>
        <v/>
      </c>
      <c r="C73" s="9" t="str">
        <f>IFERROR(INDEX('Watershed plans'!$B$12:$B$15,MATCH(24,'Watershed plans'!$AA$12:$AA$15,0)),"")</f>
        <v/>
      </c>
      <c r="D73" s="19" t="str">
        <f>IFERROR(INDEX('Watershed plans'!$J$12:$J$15,MATCH(24,'Watershed plans'!$AA$12:$AA$15,0)),"")</f>
        <v/>
      </c>
      <c r="E73" s="25" t="str">
        <f>IFERROR(INDEX('Watershed plans'!$K$12:$K$15,MATCH(24,'Watershed plans'!$AA$12:$AA$15,0)),"")</f>
        <v/>
      </c>
      <c r="F73" s="24" t="str">
        <f>IFERROR(INDEX('Watershed plans'!$I$12:$I$15,MATCH(24,'Watershed plans'!$AA$12:$AA$15,0)),"")</f>
        <v/>
      </c>
      <c r="G73" s="25" t="str">
        <f>IFERROR(INDEX('Watershed plans'!$Y$12:$Y$15,MATCH(24,'Watershed plans'!$AA$12:$AA$15,0)),"")</f>
        <v/>
      </c>
      <c r="H73" s="19" t="str">
        <f t="shared" si="0"/>
        <v/>
      </c>
      <c r="I73" s="25" t="str">
        <f t="shared" si="1"/>
        <v/>
      </c>
      <c r="J73" s="25" t="str">
        <f t="shared" si="2"/>
        <v/>
      </c>
      <c r="K73" s="14"/>
      <c r="L73" s="28"/>
    </row>
    <row r="74" spans="1:12" x14ac:dyDescent="0.25">
      <c r="A74" s="4">
        <v>25</v>
      </c>
      <c r="B74" s="6" t="str">
        <f>IFERROR(INDEX('Watershed plans'!$F$12:$F$15,MATCH(25,'Watershed plans'!$AA$12:$AA$15,0)),"")</f>
        <v/>
      </c>
      <c r="C74" s="9" t="str">
        <f>IFERROR(INDEX('Watershed plans'!$B$12:$B$15,MATCH(25,'Watershed plans'!$AA$12:$AA$15,0)),"")</f>
        <v/>
      </c>
      <c r="D74" s="19" t="str">
        <f>IFERROR(INDEX('Watershed plans'!$J$12:$J$15,MATCH(25,'Watershed plans'!$AA$12:$AA$15,0)),"")</f>
        <v/>
      </c>
      <c r="E74" s="25" t="str">
        <f>IFERROR(INDEX('Watershed plans'!$K$12:$K$15,MATCH(25,'Watershed plans'!$AA$12:$AA$15,0)),"")</f>
        <v/>
      </c>
      <c r="F74" s="24" t="str">
        <f>IFERROR(INDEX('Watershed plans'!$I$12:$I$15,MATCH(25,'Watershed plans'!$AA$12:$AA$15,0)),"")</f>
        <v/>
      </c>
      <c r="G74" s="25" t="str">
        <f>IFERROR(INDEX('Watershed plans'!$Y$12:$Y$15,MATCH(25,'Watershed plans'!$AA$12:$AA$15,0)),"")</f>
        <v/>
      </c>
      <c r="H74" s="19" t="str">
        <f t="shared" si="0"/>
        <v/>
      </c>
      <c r="I74" s="25" t="str">
        <f t="shared" si="1"/>
        <v/>
      </c>
      <c r="J74" s="25" t="str">
        <f t="shared" si="2"/>
        <v/>
      </c>
      <c r="K74" s="14"/>
      <c r="L74" s="28"/>
    </row>
    <row r="75" spans="1:12" x14ac:dyDescent="0.25">
      <c r="A75" s="4">
        <v>26</v>
      </c>
      <c r="B75" s="6" t="str">
        <f>IFERROR(INDEX('Watershed plans'!$F$12:$F$15,MATCH(26,'Watershed plans'!$AA$12:$AA$15,0)),"")</f>
        <v/>
      </c>
      <c r="C75" s="9" t="str">
        <f>IFERROR(INDEX('Watershed plans'!$B$12:$B$15,MATCH(26,'Watershed plans'!$AA$12:$AA$15,0)),"")</f>
        <v/>
      </c>
      <c r="D75" s="19" t="str">
        <f>IFERROR(INDEX('Watershed plans'!$J$12:$J$15,MATCH(26,'Watershed plans'!$AA$12:$AA$15,0)),"")</f>
        <v/>
      </c>
      <c r="E75" s="25" t="str">
        <f>IFERROR(INDEX('Watershed plans'!$K$12:$K$15,MATCH(26,'Watershed plans'!$AA$12:$AA$15,0)),"")</f>
        <v/>
      </c>
      <c r="F75" s="24" t="str">
        <f>IFERROR(INDEX('Watershed plans'!$I$12:$I$15,MATCH(26,'Watershed plans'!$AA$12:$AA$15,0)),"")</f>
        <v/>
      </c>
      <c r="G75" s="25" t="str">
        <f>IFERROR(INDEX('Watershed plans'!$Y$12:$Y$15,MATCH(26,'Watershed plans'!$AA$12:$AA$15,0)),"")</f>
        <v/>
      </c>
      <c r="H75" s="19" t="str">
        <f t="shared" si="0"/>
        <v/>
      </c>
      <c r="I75" s="25" t="str">
        <f t="shared" si="1"/>
        <v/>
      </c>
      <c r="J75" s="25" t="str">
        <f t="shared" si="2"/>
        <v/>
      </c>
      <c r="K75" s="14"/>
      <c r="L75" s="28"/>
    </row>
    <row r="76" spans="1:12" x14ac:dyDescent="0.25">
      <c r="A76" s="4">
        <v>27</v>
      </c>
      <c r="B76" s="6" t="str">
        <f>IFERROR(INDEX('Watershed plans'!$F$12:$F$15,MATCH(27,'Watershed plans'!$AA$12:$AA$15,0)),"")</f>
        <v/>
      </c>
      <c r="C76" s="9" t="str">
        <f>IFERROR(INDEX('Watershed plans'!$B$12:$B$15,MATCH(27,'Watershed plans'!$AA$12:$AA$15,0)),"")</f>
        <v/>
      </c>
      <c r="D76" s="19" t="str">
        <f>IFERROR(INDEX('Watershed plans'!$J$12:$J$15,MATCH(27,'Watershed plans'!$AA$12:$AA$15,0)),"")</f>
        <v/>
      </c>
      <c r="E76" s="25" t="str">
        <f>IFERROR(INDEX('Watershed plans'!$K$12:$K$15,MATCH(27,'Watershed plans'!$AA$12:$AA$15,0)),"")</f>
        <v/>
      </c>
      <c r="F76" s="24" t="str">
        <f>IFERROR(INDEX('Watershed plans'!$I$12:$I$15,MATCH(27,'Watershed plans'!$AA$12:$AA$15,0)),"")</f>
        <v/>
      </c>
      <c r="G76" s="25" t="str">
        <f>IFERROR(INDEX('Watershed plans'!$Y$12:$Y$15,MATCH(27,'Watershed plans'!$AA$12:$AA$15,0)),"")</f>
        <v/>
      </c>
      <c r="H76" s="19" t="str">
        <f t="shared" si="0"/>
        <v/>
      </c>
      <c r="I76" s="25" t="str">
        <f t="shared" si="1"/>
        <v/>
      </c>
      <c r="J76" s="25" t="str">
        <f t="shared" si="2"/>
        <v/>
      </c>
      <c r="K76" s="14"/>
      <c r="L76" s="28"/>
    </row>
    <row r="77" spans="1:12" x14ac:dyDescent="0.25">
      <c r="A77" s="4">
        <v>28</v>
      </c>
      <c r="B77" s="6" t="str">
        <f>IFERROR(INDEX('Watershed plans'!$F$12:$F$15,MATCH(28,'Watershed plans'!$AA$12:$AA$15,0)),"")</f>
        <v/>
      </c>
      <c r="C77" s="9" t="str">
        <f>IFERROR(INDEX('Watershed plans'!$B$12:$B$15,MATCH(28,'Watershed plans'!$AA$12:$AA$15,0)),"")</f>
        <v/>
      </c>
      <c r="D77" s="19" t="str">
        <f>IFERROR(INDEX('Watershed plans'!$J$12:$J$15,MATCH(28,'Watershed plans'!$AA$12:$AA$15,0)),"")</f>
        <v/>
      </c>
      <c r="E77" s="25" t="str">
        <f>IFERROR(INDEX('Watershed plans'!$K$12:$K$15,MATCH(28,'Watershed plans'!$AA$12:$AA$15,0)),"")</f>
        <v/>
      </c>
      <c r="F77" s="24" t="str">
        <f>IFERROR(INDEX('Watershed plans'!$I$12:$I$15,MATCH(28,'Watershed plans'!$AA$12:$AA$15,0)),"")</f>
        <v/>
      </c>
      <c r="G77" s="25" t="str">
        <f>IFERROR(INDEX('Watershed plans'!$Y$12:$Y$15,MATCH(28,'Watershed plans'!$AA$12:$AA$15,0)),"")</f>
        <v/>
      </c>
      <c r="H77" s="19" t="str">
        <f t="shared" si="0"/>
        <v/>
      </c>
      <c r="I77" s="25" t="str">
        <f t="shared" si="1"/>
        <v/>
      </c>
      <c r="J77" s="25" t="str">
        <f t="shared" si="2"/>
        <v/>
      </c>
      <c r="K77" s="14"/>
      <c r="L77" s="28"/>
    </row>
    <row r="78" spans="1:12" x14ac:dyDescent="0.25">
      <c r="A78" s="4">
        <v>29</v>
      </c>
      <c r="B78" s="6" t="str">
        <f>IFERROR(INDEX('Watershed plans'!$F$12:$F$15,MATCH(29,'Watershed plans'!$AA$12:$AA$15,0)),"")</f>
        <v/>
      </c>
      <c r="C78" s="9" t="str">
        <f>IFERROR(INDEX('Watershed plans'!$B$12:$B$15,MATCH(29,'Watershed plans'!$AA$12:$AA$15,0)),"")</f>
        <v/>
      </c>
      <c r="D78" s="19" t="str">
        <f>IFERROR(INDEX('Watershed plans'!$J$12:$J$15,MATCH(29,'Watershed plans'!$AA$12:$AA$15,0)),"")</f>
        <v/>
      </c>
      <c r="E78" s="25" t="str">
        <f>IFERROR(INDEX('Watershed plans'!$K$12:$K$15,MATCH(29,'Watershed plans'!$AA$12:$AA$15,0)),"")</f>
        <v/>
      </c>
      <c r="F78" s="24" t="str">
        <f>IFERROR(INDEX('Watershed plans'!$I$12:$I$15,MATCH(29,'Watershed plans'!$AA$12:$AA$15,0)),"")</f>
        <v/>
      </c>
      <c r="G78" s="25" t="str">
        <f>IFERROR(INDEX('Watershed plans'!$Y$12:$Y$15,MATCH(29,'Watershed plans'!$AA$12:$AA$15,0)),"")</f>
        <v/>
      </c>
      <c r="H78" s="19" t="str">
        <f t="shared" si="0"/>
        <v/>
      </c>
      <c r="I78" s="25" t="str">
        <f t="shared" si="1"/>
        <v/>
      </c>
      <c r="J78" s="25" t="str">
        <f t="shared" si="2"/>
        <v/>
      </c>
      <c r="K78" s="14"/>
      <c r="L78" s="28"/>
    </row>
    <row r="79" spans="1:12" x14ac:dyDescent="0.25">
      <c r="A79" s="4">
        <v>30</v>
      </c>
      <c r="B79" s="6" t="str">
        <f>IFERROR(INDEX('Watershed plans'!$F$12:$F$15,MATCH(30,'Watershed plans'!$AA$12:$AA$15,0)),"")</f>
        <v/>
      </c>
      <c r="C79" s="9" t="str">
        <f>IFERROR(INDEX('Watershed plans'!$B$12:$B$15,MATCH(30,'Watershed plans'!$AA$12:$AA$15,0)),"")</f>
        <v/>
      </c>
      <c r="D79" s="19" t="str">
        <f>IFERROR(INDEX('Watershed plans'!$J$12:$J$15,MATCH(30,'Watershed plans'!$AA$12:$AA$15,0)),"")</f>
        <v/>
      </c>
      <c r="E79" s="25" t="str">
        <f>IFERROR(INDEX('Watershed plans'!$K$12:$K$15,MATCH(30,'Watershed plans'!$AA$12:$AA$15,0)),"")</f>
        <v/>
      </c>
      <c r="F79" s="24" t="str">
        <f>IFERROR(INDEX('Watershed plans'!$I$12:$I$15,MATCH(30,'Watershed plans'!$AA$12:$AA$15,0)),"")</f>
        <v/>
      </c>
      <c r="G79" s="25" t="str">
        <f>IFERROR(INDEX('Watershed plans'!$Y$12:$Y$15,MATCH(30,'Watershed plans'!$AA$12:$AA$15,0)),"")</f>
        <v/>
      </c>
      <c r="H79" s="19" t="str">
        <f t="shared" si="0"/>
        <v/>
      </c>
      <c r="I79" s="25" t="str">
        <f t="shared" si="1"/>
        <v/>
      </c>
      <c r="J79" s="25" t="str">
        <f t="shared" si="2"/>
        <v/>
      </c>
      <c r="K79" s="14"/>
      <c r="L79" s="28"/>
    </row>
    <row r="80" spans="1:12" x14ac:dyDescent="0.25">
      <c r="A80" s="4">
        <v>31</v>
      </c>
      <c r="B80" s="6" t="str">
        <f>IFERROR(INDEX('Watershed plans'!$F$12:$F$15,MATCH(31,'Watershed plans'!$AA$12:$AA$15,0)),"")</f>
        <v/>
      </c>
      <c r="C80" s="9" t="str">
        <f>IFERROR(INDEX('Watershed plans'!$B$12:$B$15,MATCH(31,'Watershed plans'!$AA$12:$AA$15,0)),"")</f>
        <v/>
      </c>
      <c r="D80" s="19" t="str">
        <f>IFERROR(INDEX('Watershed plans'!$J$12:$J$15,MATCH(31,'Watershed plans'!$AA$12:$AA$15,0)),"")</f>
        <v/>
      </c>
      <c r="E80" s="25" t="str">
        <f>IFERROR(INDEX('Watershed plans'!$K$12:$K$15,MATCH(31,'Watershed plans'!$AA$12:$AA$15,0)),"")</f>
        <v/>
      </c>
      <c r="F80" s="24" t="str">
        <f>IFERROR(INDEX('Watershed plans'!$I$12:$I$15,MATCH(31,'Watershed plans'!$AA$12:$AA$15,0)),"")</f>
        <v/>
      </c>
      <c r="G80" s="25" t="str">
        <f>IFERROR(INDEX('Watershed plans'!$Y$12:$Y$15,MATCH(31,'Watershed plans'!$AA$12:$AA$15,0)),"")</f>
        <v/>
      </c>
      <c r="H80" s="19" t="str">
        <f t="shared" si="0"/>
        <v/>
      </c>
      <c r="I80" s="25" t="str">
        <f t="shared" si="1"/>
        <v/>
      </c>
      <c r="J80" s="25" t="str">
        <f t="shared" si="2"/>
        <v/>
      </c>
      <c r="K80" s="14"/>
      <c r="L80" s="28"/>
    </row>
    <row r="81" spans="1:12" x14ac:dyDescent="0.25">
      <c r="A81" s="4">
        <v>32</v>
      </c>
      <c r="B81" s="6" t="str">
        <f>IFERROR(INDEX('Watershed plans'!$F$12:$F$15,MATCH(32,'Watershed plans'!$AA$12:$AA$15,0)),"")</f>
        <v/>
      </c>
      <c r="C81" s="9" t="str">
        <f>IFERROR(INDEX('Watershed plans'!$B$12:$B$15,MATCH(32,'Watershed plans'!$AA$12:$AA$15,0)),"")</f>
        <v/>
      </c>
      <c r="D81" s="19" t="str">
        <f>IFERROR(INDEX('Watershed plans'!$J$12:$J$15,MATCH(32,'Watershed plans'!$AA$12:$AA$15,0)),"")</f>
        <v/>
      </c>
      <c r="E81" s="25" t="str">
        <f>IFERROR(INDEX('Watershed plans'!$K$12:$K$15,MATCH(32,'Watershed plans'!$AA$12:$AA$15,0)),"")</f>
        <v/>
      </c>
      <c r="F81" s="24" t="str">
        <f>IFERROR(INDEX('Watershed plans'!$I$12:$I$15,MATCH(32,'Watershed plans'!$AA$12:$AA$15,0)),"")</f>
        <v/>
      </c>
      <c r="G81" s="25" t="str">
        <f>IFERROR(INDEX('Watershed plans'!$Y$12:$Y$15,MATCH(32,'Watershed plans'!$AA$12:$AA$15,0)),"")</f>
        <v/>
      </c>
      <c r="H81" s="19" t="str">
        <f t="shared" si="0"/>
        <v/>
      </c>
      <c r="I81" s="25" t="str">
        <f t="shared" si="1"/>
        <v/>
      </c>
      <c r="J81" s="25" t="str">
        <f t="shared" si="2"/>
        <v/>
      </c>
      <c r="K81" s="14"/>
      <c r="L81" s="28"/>
    </row>
    <row r="82" spans="1:12" x14ac:dyDescent="0.25">
      <c r="A82" s="4">
        <v>33</v>
      </c>
      <c r="B82" s="6" t="str">
        <f>IFERROR(INDEX('Watershed plans'!$F$12:$F$15,MATCH(33,'Watershed plans'!$AA$12:$AA$15,0)),"")</f>
        <v/>
      </c>
      <c r="C82" s="9" t="str">
        <f>IFERROR(INDEX('Watershed plans'!$B$12:$B$15,MATCH(33,'Watershed plans'!$AA$12:$AA$15,0)),"")</f>
        <v/>
      </c>
      <c r="D82" s="19" t="str">
        <f>IFERROR(INDEX('Watershed plans'!$J$12:$J$15,MATCH(33,'Watershed plans'!$AA$12:$AA$15,0)),"")</f>
        <v/>
      </c>
      <c r="E82" s="25" t="str">
        <f>IFERROR(INDEX('Watershed plans'!$K$12:$K$15,MATCH(33,'Watershed plans'!$AA$12:$AA$15,0)),"")</f>
        <v/>
      </c>
      <c r="F82" s="24" t="str">
        <f>IFERROR(INDEX('Watershed plans'!$I$12:$I$15,MATCH(33,'Watershed plans'!$AA$12:$AA$15,0)),"")</f>
        <v/>
      </c>
      <c r="G82" s="25" t="str">
        <f>IFERROR(INDEX('Watershed plans'!$Y$12:$Y$15,MATCH(33,'Watershed plans'!$AA$12:$AA$15,0)),"")</f>
        <v/>
      </c>
      <c r="H82" s="19" t="str">
        <f t="shared" si="0"/>
        <v/>
      </c>
      <c r="I82" s="25" t="str">
        <f t="shared" si="1"/>
        <v/>
      </c>
      <c r="J82" s="25" t="str">
        <f t="shared" si="2"/>
        <v/>
      </c>
      <c r="K82" s="14"/>
      <c r="L82" s="28"/>
    </row>
    <row r="83" spans="1:12" x14ac:dyDescent="0.25">
      <c r="A83" s="4">
        <v>34</v>
      </c>
      <c r="B83" s="6" t="str">
        <f>IFERROR(INDEX('Watershed plans'!$F$12:$F$15,MATCH(34,'Watershed plans'!$AA$12:$AA$15,0)),"")</f>
        <v/>
      </c>
      <c r="C83" s="9" t="str">
        <f>IFERROR(INDEX('Watershed plans'!$B$12:$B$15,MATCH(34,'Watershed plans'!$AA$12:$AA$15,0)),"")</f>
        <v/>
      </c>
      <c r="D83" s="19" t="str">
        <f>IFERROR(INDEX('Watershed plans'!$J$12:$J$15,MATCH(34,'Watershed plans'!$AA$12:$AA$15,0)),"")</f>
        <v/>
      </c>
      <c r="E83" s="25" t="str">
        <f>IFERROR(INDEX('Watershed plans'!$K$12:$K$15,MATCH(34,'Watershed plans'!$AA$12:$AA$15,0)),"")</f>
        <v/>
      </c>
      <c r="F83" s="24" t="str">
        <f>IFERROR(INDEX('Watershed plans'!$I$12:$I$15,MATCH(34,'Watershed plans'!$AA$12:$AA$15,0)),"")</f>
        <v/>
      </c>
      <c r="G83" s="25" t="str">
        <f>IFERROR(INDEX('Watershed plans'!$Y$12:$Y$15,MATCH(34,'Watershed plans'!$AA$12:$AA$15,0)),"")</f>
        <v/>
      </c>
      <c r="H83" s="19" t="str">
        <f t="shared" si="0"/>
        <v/>
      </c>
      <c r="I83" s="25" t="str">
        <f t="shared" si="1"/>
        <v/>
      </c>
      <c r="J83" s="25" t="str">
        <f t="shared" si="2"/>
        <v/>
      </c>
      <c r="K83" s="14"/>
      <c r="L83" s="28"/>
    </row>
    <row r="84" spans="1:12" x14ac:dyDescent="0.25">
      <c r="A84" s="4">
        <v>35</v>
      </c>
      <c r="B84" s="6" t="str">
        <f>IFERROR(INDEX('Watershed plans'!$F$12:$F$15,MATCH(35,'Watershed plans'!$AA$12:$AA$15,0)),"")</f>
        <v/>
      </c>
      <c r="C84" s="9" t="str">
        <f>IFERROR(INDEX('Watershed plans'!$B$12:$B$15,MATCH(35,'Watershed plans'!$AA$12:$AA$15,0)),"")</f>
        <v/>
      </c>
      <c r="D84" s="19" t="str">
        <f>IFERROR(INDEX('Watershed plans'!$J$12:$J$15,MATCH(35,'Watershed plans'!$AA$12:$AA$15,0)),"")</f>
        <v/>
      </c>
      <c r="E84" s="25" t="str">
        <f>IFERROR(INDEX('Watershed plans'!$K$12:$K$15,MATCH(35,'Watershed plans'!$AA$12:$AA$15,0)),"")</f>
        <v/>
      </c>
      <c r="F84" s="24" t="str">
        <f>IFERROR(INDEX('Watershed plans'!$I$12:$I$15,MATCH(35,'Watershed plans'!$AA$12:$AA$15,0)),"")</f>
        <v/>
      </c>
      <c r="G84" s="25" t="str">
        <f>IFERROR(INDEX('Watershed plans'!$Y$12:$Y$15,MATCH(35,'Watershed plans'!$AA$12:$AA$15,0)),"")</f>
        <v/>
      </c>
      <c r="H84" s="19" t="str">
        <f t="shared" si="0"/>
        <v/>
      </c>
      <c r="I84" s="25" t="str">
        <f t="shared" si="1"/>
        <v/>
      </c>
      <c r="J84" s="25" t="str">
        <f t="shared" si="2"/>
        <v/>
      </c>
      <c r="K84" s="14"/>
      <c r="L84" s="28"/>
    </row>
    <row r="85" spans="1:12" x14ac:dyDescent="0.25">
      <c r="A85" s="4">
        <v>36</v>
      </c>
      <c r="B85" s="6" t="str">
        <f>IFERROR(INDEX('Watershed plans'!$F$12:$F$15,MATCH(36,'Watershed plans'!$AA$12:$AA$15,0)),"")</f>
        <v/>
      </c>
      <c r="C85" s="9" t="str">
        <f>IFERROR(INDEX('Watershed plans'!$B$12:$B$15,MATCH(36,'Watershed plans'!$AA$12:$AA$15,0)),"")</f>
        <v/>
      </c>
      <c r="D85" s="19" t="str">
        <f>IFERROR(INDEX('Watershed plans'!$J$12:$J$15,MATCH(36,'Watershed plans'!$AA$12:$AA$15,0)),"")</f>
        <v/>
      </c>
      <c r="E85" s="25" t="str">
        <f>IFERROR(INDEX('Watershed plans'!$K$12:$K$15,MATCH(36,'Watershed plans'!$AA$12:$AA$15,0)),"")</f>
        <v/>
      </c>
      <c r="F85" s="24" t="str">
        <f>IFERROR(INDEX('Watershed plans'!$I$12:$I$15,MATCH(36,'Watershed plans'!$AA$12:$AA$15,0)),"")</f>
        <v/>
      </c>
      <c r="G85" s="25" t="str">
        <f>IFERROR(INDEX('Watershed plans'!$Y$12:$Y$15,MATCH(36,'Watershed plans'!$AA$12:$AA$15,0)),"")</f>
        <v/>
      </c>
      <c r="H85" s="19" t="str">
        <f t="shared" si="0"/>
        <v/>
      </c>
      <c r="I85" s="25" t="str">
        <f t="shared" si="1"/>
        <v/>
      </c>
      <c r="J85" s="25" t="str">
        <f t="shared" si="2"/>
        <v/>
      </c>
      <c r="K85" s="14"/>
      <c r="L85" s="28"/>
    </row>
    <row r="86" spans="1:12" x14ac:dyDescent="0.25">
      <c r="A86" s="4">
        <v>37</v>
      </c>
      <c r="B86" s="6" t="str">
        <f>IFERROR(INDEX('Watershed plans'!$F$12:$F$15,MATCH(37,'Watershed plans'!$AA$12:$AA$15,0)),"")</f>
        <v/>
      </c>
      <c r="C86" s="9" t="str">
        <f>IFERROR(INDEX('Watershed plans'!$B$12:$B$15,MATCH(37,'Watershed plans'!$AA$12:$AA$15,0)),"")</f>
        <v/>
      </c>
      <c r="D86" s="19" t="str">
        <f>IFERROR(INDEX('Watershed plans'!$J$12:$J$15,MATCH(37,'Watershed plans'!$AA$12:$AA$15,0)),"")</f>
        <v/>
      </c>
      <c r="E86" s="25" t="str">
        <f>IFERROR(INDEX('Watershed plans'!$K$12:$K$15,MATCH(37,'Watershed plans'!$AA$12:$AA$15,0)),"")</f>
        <v/>
      </c>
      <c r="F86" s="24" t="str">
        <f>IFERROR(INDEX('Watershed plans'!$I$12:$I$15,MATCH(37,'Watershed plans'!$AA$12:$AA$15,0)),"")</f>
        <v/>
      </c>
      <c r="G86" s="25" t="str">
        <f>IFERROR(INDEX('Watershed plans'!$Y$12:$Y$15,MATCH(37,'Watershed plans'!$AA$12:$AA$15,0)),"")</f>
        <v/>
      </c>
      <c r="H86" s="19" t="str">
        <f t="shared" si="0"/>
        <v/>
      </c>
      <c r="I86" s="25" t="str">
        <f t="shared" si="1"/>
        <v/>
      </c>
      <c r="J86" s="25" t="str">
        <f t="shared" si="2"/>
        <v/>
      </c>
      <c r="K86" s="14"/>
      <c r="L86" s="28"/>
    </row>
    <row r="87" spans="1:12" x14ac:dyDescent="0.25">
      <c r="A87" s="4">
        <v>38</v>
      </c>
      <c r="B87" s="6" t="str">
        <f>IFERROR(INDEX('Watershed plans'!$F$12:$F$15,MATCH(38,'Watershed plans'!$AA$12:$AA$15,0)),"")</f>
        <v/>
      </c>
      <c r="C87" s="9" t="str">
        <f>IFERROR(INDEX('Watershed plans'!$B$12:$B$15,MATCH(38,'Watershed plans'!$AA$12:$AA$15,0)),"")</f>
        <v/>
      </c>
      <c r="D87" s="19" t="str">
        <f>IFERROR(INDEX('Watershed plans'!$J$12:$J$15,MATCH(38,'Watershed plans'!$AA$12:$AA$15,0)),"")</f>
        <v/>
      </c>
      <c r="E87" s="25" t="str">
        <f>IFERROR(INDEX('Watershed plans'!$K$12:$K$15,MATCH(38,'Watershed plans'!$AA$12:$AA$15,0)),"")</f>
        <v/>
      </c>
      <c r="F87" s="24" t="str">
        <f>IFERROR(INDEX('Watershed plans'!$I$12:$I$15,MATCH(38,'Watershed plans'!$AA$12:$AA$15,0)),"")</f>
        <v/>
      </c>
      <c r="G87" s="25" t="str">
        <f>IFERROR(INDEX('Watershed plans'!$Y$12:$Y$15,MATCH(38,'Watershed plans'!$AA$12:$AA$15,0)),"")</f>
        <v/>
      </c>
      <c r="H87" s="19" t="str">
        <f t="shared" si="0"/>
        <v/>
      </c>
      <c r="I87" s="25" t="str">
        <f t="shared" si="1"/>
        <v/>
      </c>
      <c r="J87" s="25" t="str">
        <f t="shared" si="2"/>
        <v/>
      </c>
      <c r="K87" s="14"/>
      <c r="L87" s="28"/>
    </row>
    <row r="88" spans="1:12" x14ac:dyDescent="0.25">
      <c r="A88" s="4">
        <v>39</v>
      </c>
      <c r="B88" s="6" t="str">
        <f>IFERROR(INDEX('Watershed plans'!$F$12:$F$15,MATCH(39,'Watershed plans'!$AA$12:$AA$15,0)),"")</f>
        <v/>
      </c>
      <c r="C88" s="9" t="str">
        <f>IFERROR(INDEX('Watershed plans'!$B$12:$B$15,MATCH(39,'Watershed plans'!$AA$12:$AA$15,0)),"")</f>
        <v/>
      </c>
      <c r="D88" s="19" t="str">
        <f>IFERROR(INDEX('Watershed plans'!$J$12:$J$15,MATCH(39,'Watershed plans'!$AA$12:$AA$15,0)),"")</f>
        <v/>
      </c>
      <c r="E88" s="25" t="str">
        <f>IFERROR(INDEX('Watershed plans'!$K$12:$K$15,MATCH(39,'Watershed plans'!$AA$12:$AA$15,0)),"")</f>
        <v/>
      </c>
      <c r="F88" s="24" t="str">
        <f>IFERROR(INDEX('Watershed plans'!$I$12:$I$15,MATCH(39,'Watershed plans'!$AA$12:$AA$15,0)),"")</f>
        <v/>
      </c>
      <c r="G88" s="25" t="str">
        <f>IFERROR(INDEX('Watershed plans'!$Y$12:$Y$15,MATCH(39,'Watershed plans'!$AA$12:$AA$15,0)),"")</f>
        <v/>
      </c>
      <c r="H88" s="19" t="str">
        <f t="shared" si="0"/>
        <v/>
      </c>
      <c r="I88" s="25" t="str">
        <f t="shared" si="1"/>
        <v/>
      </c>
      <c r="J88" s="25" t="str">
        <f t="shared" si="2"/>
        <v/>
      </c>
      <c r="K88" s="14"/>
      <c r="L88" s="28"/>
    </row>
    <row r="89" spans="1:12" x14ac:dyDescent="0.25">
      <c r="A89" s="4">
        <v>40</v>
      </c>
      <c r="B89" s="6" t="str">
        <f>IFERROR(INDEX('Watershed plans'!$F$12:$F$15,MATCH(40,'Watershed plans'!$AA$12:$AA$15,0)),"")</f>
        <v/>
      </c>
      <c r="C89" s="9" t="str">
        <f>IFERROR(INDEX('Watershed plans'!$B$12:$B$15,MATCH(40,'Watershed plans'!$AA$12:$AA$15,0)),"")</f>
        <v/>
      </c>
      <c r="D89" s="19" t="str">
        <f>IFERROR(INDEX('Watershed plans'!$J$12:$J$15,MATCH(40,'Watershed plans'!$AA$12:$AA$15,0)),"")</f>
        <v/>
      </c>
      <c r="E89" s="25" t="str">
        <f>IFERROR(INDEX('Watershed plans'!$K$12:$K$15,MATCH(40,'Watershed plans'!$AA$12:$AA$15,0)),"")</f>
        <v/>
      </c>
      <c r="F89" s="24" t="str">
        <f>IFERROR(INDEX('Watershed plans'!$I$12:$I$15,MATCH(40,'Watershed plans'!$AA$12:$AA$15,0)),"")</f>
        <v/>
      </c>
      <c r="G89" s="25" t="str">
        <f>IFERROR(INDEX('Watershed plans'!$Y$12:$Y$15,MATCH(40,'Watershed plans'!$AA$12:$AA$15,0)),"")</f>
        <v/>
      </c>
      <c r="H89" s="19" t="str">
        <f t="shared" si="0"/>
        <v/>
      </c>
      <c r="I89" s="25" t="str">
        <f t="shared" si="1"/>
        <v/>
      </c>
      <c r="J89" s="25" t="str">
        <f t="shared" si="2"/>
        <v/>
      </c>
      <c r="K89" s="14"/>
      <c r="L89" s="28"/>
    </row>
    <row r="92" spans="1:12" x14ac:dyDescent="0.25">
      <c r="A92" s="7" t="s">
        <v>156</v>
      </c>
    </row>
    <row r="93" spans="1:12" x14ac:dyDescent="0.25">
      <c r="A93" s="4" t="s">
        <v>141</v>
      </c>
      <c r="B93" s="13"/>
    </row>
    <row r="94" spans="1:12" x14ac:dyDescent="0.25">
      <c r="A94" s="4" t="s">
        <v>139</v>
      </c>
      <c r="B94" s="9" t="str">
        <f>IFERROR(INDEX('Watershed plans'!$B$12:$B$15,MATCH($B$93,'Watershed plans'!$F$12:$F$15,0)),"n/a")</f>
        <v>n/a</v>
      </c>
    </row>
    <row r="95" spans="1:12" x14ac:dyDescent="0.25">
      <c r="A95" s="4" t="s">
        <v>105</v>
      </c>
      <c r="B95" s="19" t="str">
        <f>IFERROR(INDEX('Watershed plans'!$J$12:$J$15,MATCH($B$93,'Watershed plans'!$F$12:$F$15,0)),"n/a")</f>
        <v>n/a</v>
      </c>
    </row>
    <row r="96" spans="1:12" x14ac:dyDescent="0.25">
      <c r="A96" s="4" t="s">
        <v>77</v>
      </c>
      <c r="B96" s="25" t="str">
        <f>IFERROR(INDEX('Watershed plans'!$K$12:$K$15,MATCH($B$93,'Watershed plans'!$F$12:$F$15,0)),"n/a")</f>
        <v>n/a</v>
      </c>
    </row>
    <row r="97" spans="1:2" x14ac:dyDescent="0.25">
      <c r="A97" s="4" t="s">
        <v>106</v>
      </c>
      <c r="B97" s="24" t="str">
        <f>IFERROR(INDEX('Watershed plans'!$I$12:$I$15,MATCH($B$93,'Watershed plans'!$F$12:$F$15,0)),"n/a")</f>
        <v>n/a</v>
      </c>
    </row>
    <row r="98" spans="1:2" x14ac:dyDescent="0.25">
      <c r="A98" s="4" t="s">
        <v>127</v>
      </c>
      <c r="B98" s="25" t="str">
        <f>IFERROR(INDEX('Watershed plans'!$Y$12:$Y$15,MATCH($B$93,'Watershed plans'!$F$12:$F$15,0)),"n/a")</f>
        <v>n/a</v>
      </c>
    </row>
    <row r="99" spans="1:2" x14ac:dyDescent="0.25">
      <c r="A99" s="4" t="s">
        <v>157</v>
      </c>
      <c r="B99" s="9" t="str">
        <f>IFERROR(INDEX('Watershed plans'!$Z$12:$Z$15,MATCH($B$93,'Watershed plans'!$F$12:$F$15,0)),"n/a")</f>
        <v>n/a</v>
      </c>
    </row>
  </sheetData>
  <sheetProtection password="C644" sheet="1" formatColumns="0" formatRows="0" sort="0" autoFilter="0"/>
  <dataValidations count="2">
    <dataValidation type="list" allowBlank="1" sqref="K51:K89" xr:uid="{00000000-0002-0000-0900-000000000000}">
      <formula1>"Yes,No"</formula1>
    </dataValidation>
    <dataValidation type="list" allowBlank="1" sqref="B93" xr:uid="{00000000-0002-0000-0900-000001000000}">
      <formula1>$B$50:$B$89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900-000002000000}">
            <xm:f>B93&lt;&gt;'snap Watershed summary'!B93</xm:f>
            <x14:dxf>
              <fill>
                <patternFill patternType="solid">
                  <fgColor rgb="FFFFE08A"/>
                  <bgColor rgb="FFFFE08A"/>
                </patternFill>
              </fill>
            </x14:dxf>
          </x14:cfRule>
          <xm:sqref>B93</xm:sqref>
        </x14:conditionalFormatting>
        <x14:conditionalFormatting xmlns:xm="http://schemas.microsoft.com/office/excel/2006/main">
          <x14:cfRule type="expression" priority="1" id="{00000000-000E-0000-0900-000001000000}">
            <xm:f>K50&lt;&gt;'snap Watershed summary'!K50</xm:f>
            <x14:dxf>
              <fill>
                <patternFill patternType="solid">
                  <fgColor rgb="FFFFE08A"/>
                  <bgColor rgb="FFFFE08A"/>
                </patternFill>
              </fill>
            </x14:dxf>
          </x14:cfRule>
          <xm:sqref>K50:L89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7"/>
  <sheetViews>
    <sheetView showGridLines="0" workbookViewId="0"/>
  </sheetViews>
  <sheetFormatPr defaultRowHeight="15" x14ac:dyDescent="0.25"/>
  <cols>
    <col min="1" max="1" width="9" customWidth="1"/>
    <col min="2" max="2" width="16" customWidth="1"/>
    <col min="3" max="3" width="20" customWidth="1"/>
    <col min="4" max="4" width="22" customWidth="1"/>
  </cols>
  <sheetData>
    <row r="1" spans="1:4" ht="18.75" x14ac:dyDescent="0.3">
      <c r="A1" s="1" t="s">
        <v>158</v>
      </c>
    </row>
    <row r="2" spans="1:4" x14ac:dyDescent="0.25">
      <c r="A2" s="2" t="s">
        <v>159</v>
      </c>
    </row>
    <row r="4" spans="1:4" x14ac:dyDescent="0.25">
      <c r="A4" s="7" t="s">
        <v>160</v>
      </c>
    </row>
    <row r="5" spans="1:4" ht="30" x14ac:dyDescent="0.25">
      <c r="A5" s="11" t="s">
        <v>45</v>
      </c>
      <c r="B5" s="11" t="s">
        <v>139</v>
      </c>
      <c r="C5" s="11" t="s">
        <v>161</v>
      </c>
      <c r="D5" s="11" t="s">
        <v>162</v>
      </c>
    </row>
    <row r="6" spans="1:4" x14ac:dyDescent="0.25">
      <c r="A6" s="4" t="s">
        <v>53</v>
      </c>
      <c r="B6" s="4" t="s">
        <v>54</v>
      </c>
      <c r="C6" s="19">
        <f>'Site CE-ICA'!I6/10^in_out_dp</f>
        <v>0</v>
      </c>
      <c r="D6" s="25">
        <f>'Site CE-ICA'!J6/10^in_cost_dp</f>
        <v>0</v>
      </c>
    </row>
    <row r="7" spans="1:4" x14ac:dyDescent="0.25">
      <c r="A7" s="4" t="s">
        <v>53</v>
      </c>
      <c r="B7" s="4" t="s">
        <v>57</v>
      </c>
      <c r="C7" s="19">
        <f>'Site CE-ICA'!I7/10^in_out_dp</f>
        <v>6.2080000000000002</v>
      </c>
      <c r="D7" s="25">
        <f>'Site CE-ICA'!J7/10^in_cost_dp</f>
        <v>18711.72</v>
      </c>
    </row>
    <row r="8" spans="1:4" x14ac:dyDescent="0.25">
      <c r="A8" s="4" t="s">
        <v>53</v>
      </c>
      <c r="B8" s="4" t="s">
        <v>58</v>
      </c>
      <c r="C8" s="19">
        <f>'Site CE-ICA'!I8/10^in_out_dp</f>
        <v>3.085</v>
      </c>
      <c r="D8" s="25">
        <f>'Site CE-ICA'!J8/10^in_cost_dp</f>
        <v>8420.27</v>
      </c>
    </row>
    <row r="9" spans="1:4" x14ac:dyDescent="0.25">
      <c r="A9" s="4" t="s">
        <v>59</v>
      </c>
      <c r="B9" s="4" t="s">
        <v>54</v>
      </c>
      <c r="C9" s="19">
        <f>'Site CE-ICA'!I11/10^in_out_dp</f>
        <v>0</v>
      </c>
      <c r="D9" s="25">
        <f>'Site CE-ICA'!J11/10^in_cost_dp</f>
        <v>0</v>
      </c>
    </row>
    <row r="10" spans="1:4" x14ac:dyDescent="0.25">
      <c r="A10" s="4" t="s">
        <v>59</v>
      </c>
      <c r="B10" s="4" t="s">
        <v>60</v>
      </c>
      <c r="C10" s="19">
        <f>'Site CE-ICA'!I12/10^in_out_dp</f>
        <v>5.93</v>
      </c>
      <c r="D10" s="25">
        <f>'Site CE-ICA'!J12/10^in_cost_dp</f>
        <v>14033.79</v>
      </c>
    </row>
    <row r="12" spans="1:4" x14ac:dyDescent="0.25">
      <c r="A12" s="7" t="s">
        <v>163</v>
      </c>
    </row>
    <row r="13" spans="1:4" ht="30" x14ac:dyDescent="0.25">
      <c r="A13" s="11" t="s">
        <v>141</v>
      </c>
      <c r="B13" s="11" t="s">
        <v>139</v>
      </c>
      <c r="C13" s="11" t="s">
        <v>164</v>
      </c>
      <c r="D13" s="11" t="s">
        <v>165</v>
      </c>
    </row>
    <row r="14" spans="1:4" x14ac:dyDescent="0.25">
      <c r="A14" s="6">
        <f>'Watershed plans'!F12</f>
        <v>1</v>
      </c>
      <c r="B14" s="9" t="str">
        <f>'Watershed plans'!B12</f>
        <v>No Action</v>
      </c>
      <c r="C14" s="19">
        <f>IF('Watershed plans'!C12=1,'Watershed plans'!J12,"")</f>
        <v>0</v>
      </c>
      <c r="D14" s="25">
        <f>IF('Watershed plans'!C12=1,'Watershed plans'!K12,"")</f>
        <v>0</v>
      </c>
    </row>
    <row r="15" spans="1:4" x14ac:dyDescent="0.25">
      <c r="A15" s="6" t="str">
        <f>'Watershed plans'!F13</f>
        <v/>
      </c>
      <c r="B15" s="9" t="str">
        <f>'Watershed plans'!B13</f>
        <v>B</v>
      </c>
      <c r="C15" s="19" t="str">
        <f>IF('Watershed plans'!C13=1,'Watershed plans'!J13,"")</f>
        <v/>
      </c>
      <c r="D15" s="25" t="str">
        <f>IF('Watershed plans'!C13=1,'Watershed plans'!K13,"")</f>
        <v/>
      </c>
    </row>
    <row r="16" spans="1:4" x14ac:dyDescent="0.25">
      <c r="A16" s="6">
        <f>'Watershed plans'!F14</f>
        <v>2</v>
      </c>
      <c r="B16" s="9" t="str">
        <f>'Watershed plans'!B14</f>
        <v>A</v>
      </c>
      <c r="C16" s="19">
        <f>IF('Watershed plans'!C14=1,'Watershed plans'!J14,"")</f>
        <v>6.2080000000000002</v>
      </c>
      <c r="D16" s="25">
        <f>IF('Watershed plans'!C14=1,'Watershed plans'!K14,"")</f>
        <v>18711.72</v>
      </c>
    </row>
    <row r="17" spans="1:4" x14ac:dyDescent="0.25">
      <c r="A17" s="6" t="str">
        <f>'Watershed plans'!F15</f>
        <v/>
      </c>
      <c r="B17" s="9" t="str">
        <f>'Watershed plans'!B15</f>
        <v>A + B</v>
      </c>
      <c r="C17" s="19" t="str">
        <f>IF('Watershed plans'!C15=1,'Watershed plans'!J15,"")</f>
        <v/>
      </c>
      <c r="D17" s="25" t="str">
        <f>IF('Watershed plans'!C15=1,'Watershed plans'!K15,"")</f>
        <v/>
      </c>
    </row>
  </sheetData>
  <sheetProtection password="C644" sheet="1" formatColumns="0" formatRows="0" sort="0" autoFilter="0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2"/>
  <sheetViews>
    <sheetView showGridLines="0" workbookViewId="0"/>
  </sheetViews>
  <sheetFormatPr defaultRowHeight="15" x14ac:dyDescent="0.25"/>
  <cols>
    <col min="1" max="8" width="13" customWidth="1"/>
    <col min="11" max="11" width="10" customWidth="1"/>
    <col min="13" max="14" width="13" customWidth="1"/>
  </cols>
  <sheetData>
    <row r="1" spans="1:1" ht="18.75" x14ac:dyDescent="0.3">
      <c r="A1" s="1" t="s">
        <v>166</v>
      </c>
    </row>
    <row r="2" spans="1:1" x14ac:dyDescent="0.25">
      <c r="A2" s="2" t="s">
        <v>167</v>
      </c>
    </row>
    <row r="30" spans="1:14" ht="30" x14ac:dyDescent="0.25">
      <c r="A30" s="11" t="s">
        <v>168</v>
      </c>
      <c r="B30" s="11" t="s">
        <v>169</v>
      </c>
      <c r="C30" s="11" t="s">
        <v>170</v>
      </c>
      <c r="D30" s="11" t="s">
        <v>171</v>
      </c>
      <c r="E30" s="11" t="s">
        <v>172</v>
      </c>
      <c r="F30" s="11" t="s">
        <v>173</v>
      </c>
      <c r="G30" s="11" t="s">
        <v>174</v>
      </c>
      <c r="H30" s="11" t="s">
        <v>175</v>
      </c>
      <c r="K30" s="11" t="s">
        <v>176</v>
      </c>
      <c r="M30" s="11" t="s">
        <v>177</v>
      </c>
      <c r="N30" s="11" t="s">
        <v>178</v>
      </c>
    </row>
    <row r="31" spans="1:14" x14ac:dyDescent="0.25">
      <c r="A31" s="19" t="e">
        <f>IF(AND('Watershed plans'!C12=1,'Watershed plans'!N12&lt;&gt;1),'Watershed plans'!J12,NA())</f>
        <v>#N/A</v>
      </c>
      <c r="B31" s="24" t="e">
        <f>IF(AND('Watershed plans'!C12=1,'Watershed plans'!N12&lt;&gt;1),'Watershed plans'!K12,NA())</f>
        <v>#N/A</v>
      </c>
      <c r="C31" s="19">
        <f>IFERROR(INDEX('Watershed plans'!$J$12:$J$15,MATCH(1,$K$31:$K$34,0)),NA())</f>
        <v>0</v>
      </c>
      <c r="D31" s="24">
        <f>IFERROR(INDEX('Watershed plans'!$K$12:$K$15,MATCH(1,$K$31:$K$34,0)),NA())</f>
        <v>0</v>
      </c>
      <c r="E31" s="19">
        <f>IFERROR(INDEX('Watershed plans'!$J$12:$J$15,MATCH(1,'Watershed plans'!$S$12:$S$15,0)),NA())</f>
        <v>0</v>
      </c>
      <c r="F31" s="24">
        <f>IFERROR(INDEX('Watershed plans'!$K$12:$K$15,MATCH(1,'Watershed plans'!$S$12:$S$15,0)),NA())</f>
        <v>0</v>
      </c>
      <c r="G31" s="19">
        <f>E31</f>
        <v>0</v>
      </c>
      <c r="H31" s="24">
        <f>IF(ISNUMBER(H32),0,NA())</f>
        <v>0</v>
      </c>
      <c r="K31" s="9">
        <f>IF('Watershed plans'!N12=1,1+SUMPRODUCT('Watershed plans'!$N$12:$N$15*(('Watershed plans'!$G$12:$G$15&lt;'Watershed plans'!G12)+('Watershed plans'!$G$12:$G$15='Watershed plans'!G12)*('Watershed plans'!$A$12:$A$15&lt;'Watershed plans'!A12))),0)</f>
        <v>1</v>
      </c>
      <c r="M31" s="19" t="e">
        <f>IFERROR(INDEX('Watershed plans'!$J$12:$J$15,MATCH('Watershed summary'!$B$93,'Watershed plans'!$F$12:$F$15,0)),NA())</f>
        <v>#N/A</v>
      </c>
      <c r="N31" s="24" t="e">
        <f>IFERROR(INDEX('Watershed plans'!$K$12:$K$15,MATCH('Watershed summary'!$B$93,'Watershed plans'!$F$12:$F$15,0)),NA())</f>
        <v>#N/A</v>
      </c>
    </row>
    <row r="32" spans="1:14" x14ac:dyDescent="0.25">
      <c r="A32" s="19" t="e">
        <f>IF(AND('Watershed plans'!C13=1,'Watershed plans'!N13&lt;&gt;1),'Watershed plans'!J13,NA())</f>
        <v>#N/A</v>
      </c>
      <c r="B32" s="24" t="e">
        <f>IF(AND('Watershed plans'!C13=1,'Watershed plans'!N13&lt;&gt;1),'Watershed plans'!K13,NA())</f>
        <v>#N/A</v>
      </c>
      <c r="C32" s="19">
        <f>IFERROR(INDEX('Watershed plans'!$J$12:$J$15,MATCH(2,$K$31:$K$34,0)),NA())</f>
        <v>6.2080000000000002</v>
      </c>
      <c r="D32" s="24">
        <f>IFERROR(INDEX('Watershed plans'!$K$12:$K$15,MATCH(2,$K$31:$K$34,0)),NA())</f>
        <v>18711.72</v>
      </c>
      <c r="E32" s="19">
        <f>IFERROR(INDEX('Watershed plans'!$J$12:$J$15,MATCH(2,'Watershed plans'!$S$12:$S$15,0)),NA())</f>
        <v>6.2080000000000002</v>
      </c>
      <c r="F32" s="24">
        <f>IFERROR(INDEX('Watershed plans'!$K$12:$K$15,MATCH(2,'Watershed plans'!$S$12:$S$15,0)),NA())</f>
        <v>18711.72</v>
      </c>
      <c r="G32" s="19">
        <f>E31</f>
        <v>0</v>
      </c>
      <c r="H32" s="24">
        <f>IFERROR(INDEX('Watershed plans'!$X$12:$X$15,MATCH(2,'Watershed plans'!$S$12:$S$15,0)),NA())</f>
        <v>3014.1301546391755</v>
      </c>
      <c r="K32" s="9">
        <f>IF('Watershed plans'!N13=1,1+SUMPRODUCT('Watershed plans'!$N$12:$N$15*(('Watershed plans'!$G$12:$G$15&lt;'Watershed plans'!G13)+('Watershed plans'!$G$12:$G$15='Watershed plans'!G13)*('Watershed plans'!$A$12:$A$15&lt;'Watershed plans'!A13))),0)</f>
        <v>0</v>
      </c>
    </row>
    <row r="33" spans="1:11" x14ac:dyDescent="0.25">
      <c r="A33" s="19" t="e">
        <f>IF(AND('Watershed plans'!C14=1,'Watershed plans'!N14&lt;&gt;1),'Watershed plans'!J14,NA())</f>
        <v>#N/A</v>
      </c>
      <c r="B33" s="24" t="e">
        <f>IF(AND('Watershed plans'!C14=1,'Watershed plans'!N14&lt;&gt;1),'Watershed plans'!K14,NA())</f>
        <v>#N/A</v>
      </c>
      <c r="C33" s="19" t="e">
        <f>IFERROR(INDEX('Watershed plans'!$J$12:$J$15,MATCH(3,$K$31:$K$34,0)),NA())</f>
        <v>#N/A</v>
      </c>
      <c r="D33" s="24" t="e">
        <f>IFERROR(INDEX('Watershed plans'!$K$12:$K$15,MATCH(3,$K$31:$K$34,0)),NA())</f>
        <v>#N/A</v>
      </c>
      <c r="E33" s="19" t="e">
        <f>IFERROR(INDEX('Watershed plans'!$J$12:$J$15,MATCH(3,'Watershed plans'!$S$12:$S$15,0)),NA())</f>
        <v>#N/A</v>
      </c>
      <c r="F33" s="24" t="e">
        <f>IFERROR(INDEX('Watershed plans'!$K$12:$K$15,MATCH(3,'Watershed plans'!$S$12:$S$15,0)),NA())</f>
        <v>#N/A</v>
      </c>
      <c r="G33" s="19">
        <f>E32</f>
        <v>6.2080000000000002</v>
      </c>
      <c r="H33" s="24">
        <f>H32</f>
        <v>3014.1301546391755</v>
      </c>
      <c r="K33" s="9">
        <f>IF('Watershed plans'!N14=1,1+SUMPRODUCT('Watershed plans'!$N$12:$N$15*(('Watershed plans'!$G$12:$G$15&lt;'Watershed plans'!G14)+('Watershed plans'!$G$12:$G$15='Watershed plans'!G14)*('Watershed plans'!$A$12:$A$15&lt;'Watershed plans'!A14))),0)</f>
        <v>2</v>
      </c>
    </row>
    <row r="34" spans="1:11" x14ac:dyDescent="0.25">
      <c r="A34" s="19" t="e">
        <f>IF(AND('Watershed plans'!C15=1,'Watershed plans'!N15&lt;&gt;1),'Watershed plans'!J15,NA())</f>
        <v>#N/A</v>
      </c>
      <c r="B34" s="24" t="e">
        <f>IF(AND('Watershed plans'!C15=1,'Watershed plans'!N15&lt;&gt;1),'Watershed plans'!K15,NA())</f>
        <v>#N/A</v>
      </c>
      <c r="C34" s="19" t="e">
        <f>IFERROR(INDEX('Watershed plans'!$J$12:$J$15,MATCH(4,$K$31:$K$34,0)),NA())</f>
        <v>#N/A</v>
      </c>
      <c r="D34" s="24" t="e">
        <f>IFERROR(INDEX('Watershed plans'!$K$12:$K$15,MATCH(4,$K$31:$K$34,0)),NA())</f>
        <v>#N/A</v>
      </c>
      <c r="E34" s="19" t="e">
        <f>IFERROR(INDEX('Watershed plans'!$J$12:$J$15,MATCH(4,'Watershed plans'!$S$12:$S$15,0)),NA())</f>
        <v>#N/A</v>
      </c>
      <c r="F34" s="24" t="e">
        <f>IFERROR(INDEX('Watershed plans'!$K$12:$K$15,MATCH(4,'Watershed plans'!$S$12:$S$15,0)),NA())</f>
        <v>#N/A</v>
      </c>
      <c r="G34" s="19">
        <f>E32</f>
        <v>6.2080000000000002</v>
      </c>
      <c r="H34" s="24">
        <f>IF(ISNUMBER(H32),0,NA())</f>
        <v>0</v>
      </c>
      <c r="K34" s="9">
        <f>IF('Watershed plans'!N15=1,1+SUMPRODUCT('Watershed plans'!$N$12:$N$15*(('Watershed plans'!$G$12:$G$15&lt;'Watershed plans'!G15)+('Watershed plans'!$G$12:$G$15='Watershed plans'!G15)*('Watershed plans'!$A$12:$A$15&lt;'Watershed plans'!A15))),0)</f>
        <v>0</v>
      </c>
    </row>
    <row r="35" spans="1:11" x14ac:dyDescent="0.25">
      <c r="G35" s="19">
        <f>E32</f>
        <v>6.2080000000000002</v>
      </c>
      <c r="H35" s="24" t="e">
        <f>IF(ISNUMBER(H36),0,NA())</f>
        <v>#N/A</v>
      </c>
    </row>
    <row r="36" spans="1:11" x14ac:dyDescent="0.25">
      <c r="G36" s="19">
        <f>E32</f>
        <v>6.2080000000000002</v>
      </c>
      <c r="H36" s="24" t="e">
        <f>IFERROR(INDEX('Watershed plans'!$X$12:$X$15,MATCH(3,'Watershed plans'!$S$12:$S$15,0)),NA())</f>
        <v>#N/A</v>
      </c>
    </row>
    <row r="37" spans="1:11" x14ac:dyDescent="0.25">
      <c r="G37" s="19" t="e">
        <f>E33</f>
        <v>#N/A</v>
      </c>
      <c r="H37" s="24" t="e">
        <f>H36</f>
        <v>#N/A</v>
      </c>
    </row>
    <row r="38" spans="1:11" x14ac:dyDescent="0.25">
      <c r="G38" s="19" t="e">
        <f>E33</f>
        <v>#N/A</v>
      </c>
      <c r="H38" s="24" t="e">
        <f>IF(ISNUMBER(H36),0,NA())</f>
        <v>#N/A</v>
      </c>
    </row>
    <row r="39" spans="1:11" x14ac:dyDescent="0.25">
      <c r="G39" s="19" t="e">
        <f>E33</f>
        <v>#N/A</v>
      </c>
      <c r="H39" s="24" t="e">
        <f>IF(ISNUMBER(H40),0,NA())</f>
        <v>#N/A</v>
      </c>
    </row>
    <row r="40" spans="1:11" x14ac:dyDescent="0.25">
      <c r="G40" s="19" t="e">
        <f>E33</f>
        <v>#N/A</v>
      </c>
      <c r="H40" s="24" t="e">
        <f>IFERROR(INDEX('Watershed plans'!$X$12:$X$15,MATCH(4,'Watershed plans'!$S$12:$S$15,0)),NA())</f>
        <v>#N/A</v>
      </c>
    </row>
    <row r="41" spans="1:11" x14ac:dyDescent="0.25">
      <c r="G41" s="19" t="e">
        <f>E34</f>
        <v>#N/A</v>
      </c>
      <c r="H41" s="24" t="e">
        <f>H40</f>
        <v>#N/A</v>
      </c>
    </row>
    <row r="42" spans="1:11" x14ac:dyDescent="0.25">
      <c r="G42" s="19" t="e">
        <f>E34</f>
        <v>#N/A</v>
      </c>
      <c r="H42" s="24" t="e">
        <f>IF(ISNUMBER(H40),0,NA())</f>
        <v>#N/A</v>
      </c>
    </row>
  </sheetData>
  <sheetProtection password="C644" sheet="1" formatColumns="0" formatRows="0" sort="0" autoFilter="0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D14"/>
  <sheetViews>
    <sheetView workbookViewId="0"/>
  </sheetViews>
  <sheetFormatPr defaultRowHeight="15" x14ac:dyDescent="0.25"/>
  <sheetData>
    <row r="4" spans="2:4" x14ac:dyDescent="0.25">
      <c r="B4">
        <v>0.03</v>
      </c>
    </row>
    <row r="5" spans="2:4" x14ac:dyDescent="0.25">
      <c r="B5">
        <v>50</v>
      </c>
    </row>
    <row r="6" spans="2:4" x14ac:dyDescent="0.25">
      <c r="B6">
        <v>12</v>
      </c>
    </row>
    <row r="7" spans="2:4" x14ac:dyDescent="0.25">
      <c r="B7" t="s">
        <v>31</v>
      </c>
    </row>
    <row r="8" spans="2:4" x14ac:dyDescent="0.25">
      <c r="B8" t="s">
        <v>33</v>
      </c>
    </row>
    <row r="9" spans="2:4" x14ac:dyDescent="0.25">
      <c r="B9">
        <v>2</v>
      </c>
    </row>
    <row r="10" spans="2:4" x14ac:dyDescent="0.25">
      <c r="B10">
        <v>3</v>
      </c>
    </row>
    <row r="14" spans="2:4" x14ac:dyDescent="0.25">
      <c r="B14">
        <v>0</v>
      </c>
      <c r="C14">
        <v>5</v>
      </c>
      <c r="D14">
        <v>50</v>
      </c>
    </row>
  </sheetData>
  <sheetProtection password="C644" sheet="1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F6:O20"/>
  <sheetViews>
    <sheetView workbookViewId="0"/>
  </sheetViews>
  <sheetFormatPr defaultRowHeight="15" x14ac:dyDescent="0.25"/>
  <sheetData>
    <row r="6" spans="6:15" x14ac:dyDescent="0.25">
      <c r="L6">
        <v>1</v>
      </c>
      <c r="M6">
        <v>1</v>
      </c>
      <c r="N6">
        <v>1</v>
      </c>
    </row>
    <row r="7" spans="6:15" x14ac:dyDescent="0.25">
      <c r="L7">
        <v>1</v>
      </c>
      <c r="M7">
        <v>4</v>
      </c>
      <c r="N7">
        <v>5</v>
      </c>
    </row>
    <row r="8" spans="6:15" x14ac:dyDescent="0.25">
      <c r="L8">
        <v>1</v>
      </c>
      <c r="M8">
        <v>2</v>
      </c>
      <c r="N8">
        <v>2.5</v>
      </c>
    </row>
    <row r="9" spans="6:15" x14ac:dyDescent="0.25">
      <c r="L9">
        <v>2</v>
      </c>
      <c r="M9">
        <v>2</v>
      </c>
      <c r="N9">
        <v>2</v>
      </c>
    </row>
    <row r="10" spans="6:15" x14ac:dyDescent="0.25">
      <c r="L10">
        <v>2</v>
      </c>
      <c r="M10">
        <v>5</v>
      </c>
      <c r="N10">
        <v>6</v>
      </c>
    </row>
    <row r="11" spans="6:15" x14ac:dyDescent="0.25">
      <c r="F11">
        <v>0.2</v>
      </c>
      <c r="G11">
        <v>0.2</v>
      </c>
      <c r="H11">
        <v>0.2</v>
      </c>
      <c r="I11">
        <v>3</v>
      </c>
      <c r="J11">
        <v>3</v>
      </c>
      <c r="K11">
        <v>3</v>
      </c>
    </row>
    <row r="12" spans="6:15" x14ac:dyDescent="0.25">
      <c r="F12">
        <v>0.2</v>
      </c>
      <c r="G12">
        <v>0.5</v>
      </c>
      <c r="H12">
        <v>0.7</v>
      </c>
      <c r="I12">
        <v>3</v>
      </c>
      <c r="J12">
        <v>3.5</v>
      </c>
      <c r="K12">
        <v>3.5</v>
      </c>
    </row>
    <row r="13" spans="6:15" x14ac:dyDescent="0.25">
      <c r="F13">
        <v>0.2</v>
      </c>
      <c r="G13">
        <v>0.6</v>
      </c>
      <c r="H13">
        <v>0.8</v>
      </c>
      <c r="I13">
        <v>3</v>
      </c>
      <c r="J13">
        <v>3</v>
      </c>
      <c r="K13">
        <v>3</v>
      </c>
    </row>
    <row r="14" spans="6:15" x14ac:dyDescent="0.25">
      <c r="F14">
        <v>0.4</v>
      </c>
      <c r="G14">
        <v>0.4</v>
      </c>
      <c r="H14">
        <v>0.4</v>
      </c>
      <c r="I14">
        <v>1</v>
      </c>
      <c r="J14">
        <v>1</v>
      </c>
      <c r="K14">
        <v>1</v>
      </c>
    </row>
    <row r="15" spans="6:15" x14ac:dyDescent="0.25">
      <c r="F15">
        <v>0.4</v>
      </c>
      <c r="G15">
        <v>0.4</v>
      </c>
      <c r="H15">
        <v>0.9</v>
      </c>
      <c r="I15">
        <v>1</v>
      </c>
      <c r="J15">
        <v>1</v>
      </c>
      <c r="K15">
        <v>2</v>
      </c>
    </row>
    <row r="16" spans="6:15" x14ac:dyDescent="0.25">
      <c r="O16">
        <v>0</v>
      </c>
    </row>
    <row r="17" spans="15:15" x14ac:dyDescent="0.25">
      <c r="O17">
        <v>1.5</v>
      </c>
    </row>
    <row r="18" spans="15:15" x14ac:dyDescent="0.25">
      <c r="O18">
        <v>0.5</v>
      </c>
    </row>
    <row r="19" spans="15:15" x14ac:dyDescent="0.25">
      <c r="O19">
        <v>0</v>
      </c>
    </row>
    <row r="20" spans="15:15" x14ac:dyDescent="0.25">
      <c r="O20">
        <v>2</v>
      </c>
    </row>
  </sheetData>
  <sheetProtection password="C644" sheet="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D6:G10"/>
  <sheetViews>
    <sheetView workbookViewId="0"/>
  </sheetViews>
  <sheetFormatPr defaultRowHeight="15" x14ac:dyDescent="0.25"/>
  <sheetData>
    <row r="6" spans="4:7" x14ac:dyDescent="0.25">
      <c r="D6">
        <v>0</v>
      </c>
      <c r="G6">
        <v>4</v>
      </c>
    </row>
    <row r="7" spans="4:7" x14ac:dyDescent="0.25">
      <c r="D7">
        <v>250000</v>
      </c>
      <c r="G7">
        <v>4</v>
      </c>
    </row>
    <row r="8" spans="4:7" x14ac:dyDescent="0.25">
      <c r="D8">
        <v>180000</v>
      </c>
      <c r="G8">
        <v>4</v>
      </c>
    </row>
    <row r="9" spans="4:7" x14ac:dyDescent="0.25">
      <c r="D9">
        <v>0</v>
      </c>
      <c r="G9">
        <v>4</v>
      </c>
    </row>
    <row r="10" spans="4:7" x14ac:dyDescent="0.25">
      <c r="D10">
        <v>300000</v>
      </c>
      <c r="G10">
        <v>4</v>
      </c>
    </row>
  </sheetData>
  <sheetProtection password="C644" sheet="1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5:C6"/>
  <sheetViews>
    <sheetView workbookViewId="0"/>
  </sheetViews>
  <sheetFormatPr defaultRowHeight="15" x14ac:dyDescent="0.25"/>
  <sheetData>
    <row r="5" spans="3:3" x14ac:dyDescent="0.25">
      <c r="C5" t="s">
        <v>57</v>
      </c>
    </row>
    <row r="6" spans="3:3" x14ac:dyDescent="0.25">
      <c r="C6" t="s">
        <v>60</v>
      </c>
    </row>
  </sheetData>
  <sheetProtection password="C644" sheet="1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N12:Z15"/>
  <sheetViews>
    <sheetView workbookViewId="0"/>
  </sheetViews>
  <sheetFormatPr defaultRowHeight="15" x14ac:dyDescent="0.25"/>
  <sheetData>
    <row r="12" spans="14:26" x14ac:dyDescent="0.25">
      <c r="N12">
        <v>1</v>
      </c>
      <c r="R12">
        <v>1</v>
      </c>
      <c r="Z12">
        <v>1</v>
      </c>
    </row>
    <row r="13" spans="14:26" x14ac:dyDescent="0.25">
      <c r="N13">
        <v>0</v>
      </c>
      <c r="R13">
        <v>0</v>
      </c>
      <c r="Z13">
        <v>0</v>
      </c>
    </row>
    <row r="14" spans="14:26" x14ac:dyDescent="0.25">
      <c r="N14">
        <v>1</v>
      </c>
      <c r="R14">
        <v>1</v>
      </c>
      <c r="Z14">
        <v>1</v>
      </c>
    </row>
    <row r="15" spans="14:26" x14ac:dyDescent="0.25">
      <c r="N15">
        <v>1</v>
      </c>
      <c r="R15">
        <v>1</v>
      </c>
      <c r="Z15">
        <v>1</v>
      </c>
    </row>
  </sheetData>
  <sheetProtection password="C644" sheet="1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 x14ac:dyDescent="0.25"/>
  <sheetData/>
  <sheetProtection password="C644" sheet="1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G5:L9"/>
  <sheetViews>
    <sheetView workbookViewId="0"/>
  </sheetViews>
  <sheetFormatPr defaultRowHeight="15" x14ac:dyDescent="0.25"/>
  <sheetData>
    <row r="5" spans="7:12" x14ac:dyDescent="0.25">
      <c r="G5">
        <v>0</v>
      </c>
      <c r="L5">
        <v>0</v>
      </c>
    </row>
    <row r="6" spans="7:12" x14ac:dyDescent="0.25">
      <c r="G6">
        <v>6.2074999999999996</v>
      </c>
      <c r="L6">
        <v>9752.377544367695</v>
      </c>
    </row>
    <row r="7" spans="7:12" x14ac:dyDescent="0.25">
      <c r="G7">
        <v>3.085</v>
      </c>
      <c r="L7">
        <v>7021.71183194474</v>
      </c>
    </row>
    <row r="8" spans="7:12" x14ac:dyDescent="0.25">
      <c r="G8">
        <v>0</v>
      </c>
      <c r="L8">
        <v>0</v>
      </c>
    </row>
    <row r="9" spans="7:12" x14ac:dyDescent="0.25">
      <c r="G9">
        <v>5.93</v>
      </c>
      <c r="L9">
        <v>11702.85305324123</v>
      </c>
    </row>
  </sheetData>
  <sheetProtection password="C644" sheet="1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L6:P12"/>
  <sheetViews>
    <sheetView workbookViewId="0"/>
  </sheetViews>
  <sheetFormatPr defaultRowHeight="15" x14ac:dyDescent="0.25"/>
  <sheetData>
    <row r="6" spans="12:16" x14ac:dyDescent="0.25">
      <c r="L6">
        <v>1</v>
      </c>
      <c r="P6">
        <v>1</v>
      </c>
    </row>
    <row r="7" spans="12:16" x14ac:dyDescent="0.25">
      <c r="L7">
        <v>1</v>
      </c>
      <c r="P7">
        <v>1</v>
      </c>
    </row>
    <row r="8" spans="12:16" x14ac:dyDescent="0.25">
      <c r="L8">
        <v>1</v>
      </c>
      <c r="P8">
        <v>0</v>
      </c>
    </row>
    <row r="11" spans="12:16" x14ac:dyDescent="0.25">
      <c r="L11">
        <v>1</v>
      </c>
      <c r="P11">
        <v>1</v>
      </c>
    </row>
    <row r="12" spans="12:16" x14ac:dyDescent="0.25">
      <c r="L12">
        <v>1</v>
      </c>
      <c r="P12">
        <v>1</v>
      </c>
    </row>
  </sheetData>
  <sheetProtection password="C644" sheet="1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"/>
  <sheetViews>
    <sheetView workbookViewId="0"/>
  </sheetViews>
  <sheetFormatPr defaultRowHeight="15" x14ac:dyDescent="0.25"/>
  <sheetData>
    <row r="1" spans="1:3" x14ac:dyDescent="0.25">
      <c r="A1" t="s">
        <v>179</v>
      </c>
      <c r="B1">
        <v>2</v>
      </c>
    </row>
    <row r="2" spans="1:3" x14ac:dyDescent="0.25">
      <c r="A2" t="s">
        <v>180</v>
      </c>
      <c r="B2">
        <v>1</v>
      </c>
      <c r="C2" t="s">
        <v>181</v>
      </c>
    </row>
    <row r="3" spans="1:3" x14ac:dyDescent="0.25">
      <c r="A3" t="s">
        <v>182</v>
      </c>
      <c r="B3">
        <v>1</v>
      </c>
      <c r="C3" t="s">
        <v>183</v>
      </c>
    </row>
  </sheetData>
  <sheetProtection password="C644"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Read me</vt:lpstr>
      <vt:lpstr>Parameters</vt:lpstr>
      <vt:lpstr>Benefits</vt:lpstr>
      <vt:lpstr>Costs</vt:lpstr>
      <vt:lpstr>OMRRR</vt:lpstr>
      <vt:lpstr>Summary</vt:lpstr>
      <vt:lpstr>Site CE-ICA</vt:lpstr>
      <vt:lpstr>Sites</vt:lpstr>
      <vt:lpstr>Watershed plans</vt:lpstr>
      <vt:lpstr>Watershed summary</vt:lpstr>
      <vt:lpstr>IWR input</vt:lpstr>
      <vt:lpstr>Charts</vt:lpstr>
      <vt:lpstr>calc_crf</vt:lpstr>
      <vt:lpstr>in_cost_dp</vt:lpstr>
      <vt:lpstr>in_idc_method</vt:lpstr>
      <vt:lpstr>in_out_dp</vt:lpstr>
      <vt:lpstr>in_poa</vt:lpstr>
      <vt:lpstr>in_ppy</vt:lpstr>
      <vt:lpstr>in_rate</vt:lpstr>
      <vt:lpstr>in_timing</vt:lpstr>
      <vt:lpstr>out_changed</vt:lpstr>
      <vt:lpstr>out_mismatch</vt:lpstr>
      <vt:lpstr>out_status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CEICA</cp:lastModifiedBy>
  <dcterms:created xsi:type="dcterms:W3CDTF">2026-01-01T00:00:00Z</dcterms:created>
  <dcterms:modified xsi:type="dcterms:W3CDTF">2026-10-19T19:59:37Z</dcterms:modified>
</cp:coreProperties>
</file>