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Benefits" sheetId="3" state="visible" r:id="rId3"/>
    <sheet xmlns:r="http://schemas.openxmlformats.org/officeDocument/2006/relationships" name="Costs" sheetId="4" state="visible" r:id="rId4"/>
    <sheet xmlns:r="http://schemas.openxmlformats.org/officeDocument/2006/relationships" name="OMRRR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Site CE-ICA" sheetId="7" state="visible" r:id="rId7"/>
    <sheet xmlns:r="http://schemas.openxmlformats.org/officeDocument/2006/relationships" name="Sites" sheetId="8" state="visible" r:id="rId8"/>
    <sheet xmlns:r="http://schemas.openxmlformats.org/officeDocument/2006/relationships" name="Watershed plans" sheetId="9" state="visible" r:id="rId9"/>
    <sheet xmlns:r="http://schemas.openxmlformats.org/officeDocument/2006/relationships" name="Watershed summary" sheetId="10" state="visible" r:id="rId10"/>
    <sheet xmlns:r="http://schemas.openxmlformats.org/officeDocument/2006/relationships" name="IWR input" sheetId="11" state="visible" r:id="rId11"/>
    <sheet xmlns:r="http://schemas.openxmlformats.org/officeDocument/2006/relationships" name="Charts" sheetId="12" state="visible" r:id="rId12"/>
    <sheet xmlns:r="http://schemas.openxmlformats.org/officeDocument/2006/relationships" name="snap Parameters" sheetId="13" state="veryHidden" r:id="rId13"/>
    <sheet xmlns:r="http://schemas.openxmlformats.org/officeDocument/2006/relationships" name="snap Benefits" sheetId="14" state="veryHidden" r:id="rId14"/>
    <sheet xmlns:r="http://schemas.openxmlformats.org/officeDocument/2006/relationships" name="snap Costs" sheetId="15" state="veryHidden" r:id="rId15"/>
    <sheet xmlns:r="http://schemas.openxmlformats.org/officeDocument/2006/relationships" name="snap Sites" sheetId="16" state="veryHidden" r:id="rId16"/>
    <sheet xmlns:r="http://schemas.openxmlformats.org/officeDocument/2006/relationships" name="snap Watershed plans" sheetId="17" state="veryHidden" r:id="rId17"/>
    <sheet xmlns:r="http://schemas.openxmlformats.org/officeDocument/2006/relationships" name="snap Watershed summary" sheetId="18" state="veryHidden" r:id="rId18"/>
    <sheet xmlns:r="http://schemas.openxmlformats.org/officeDocument/2006/relationships" name="snap Summary" sheetId="19" state="veryHidden" r:id="rId19"/>
    <sheet xmlns:r="http://schemas.openxmlformats.org/officeDocument/2006/relationships" name="snap Site CE-ICA" sheetId="20" state="veryHidden" r:id="rId20"/>
    <sheet xmlns:r="http://schemas.openxmlformats.org/officeDocument/2006/relationships" name="manifest" sheetId="21" state="veryHidden" r:id="rId21"/>
  </sheets>
  <definedNames>
    <definedName name="in_rate">Parameters!$B$4</definedName>
    <definedName name="in_poa">Parameters!$B$5</definedName>
    <definedName name="in_ppy">Parameters!$B$6</definedName>
    <definedName name="in_idc_method">Parameters!$B$7</definedName>
    <definedName name="in_timing">Parameters!$B$8</definedName>
    <definedName name="in_cost_dp">Parameters!$B$9</definedName>
    <definedName name="in_out_dp">Parameters!$B$10</definedName>
    <definedName name="calc_crf">Parameters!$B$11</definedName>
    <definedName name="out_status">'Read me'!$B$10</definedName>
    <definedName name="out_changed">'Read me'!$B$11</definedName>
    <definedName name="out_mismatch">'Read me'!$B$12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00%"/>
    <numFmt numFmtId="165" formatCode="0.0000000000"/>
    <numFmt numFmtId="166" formatCode="0.##"/>
    <numFmt numFmtId="167" formatCode="#,##0.000"/>
    <numFmt numFmtId="168" formatCode="0.0000"/>
    <numFmt numFmtId="169" formatCode="&quot;$&quot;#,##0"/>
    <numFmt numFmtId="170" formatCode="&quot;$&quot;#,##0.00"/>
  </numFmts>
  <fonts count="5">
    <font>
      <name val="Calibri"/>
      <family val="2"/>
      <color theme="1"/>
      <sz val="11"/>
      <scheme val="minor"/>
    </font>
    <font>
      <b val="1"/>
      <color rgb="002F4B7C"/>
      <sz val="14"/>
    </font>
    <font>
      <i val="1"/>
      <color rgb="00555555"/>
      <sz val="9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4B7C"/>
        <bgColor rgb="002F4B7C"/>
      </patternFill>
    </fill>
    <fill>
      <patternFill patternType="solid">
        <fgColor rgb="00F8CBAD"/>
        <bgColor rgb="00F8CBAD"/>
      </patternFill>
    </fill>
    <fill>
      <patternFill patternType="solid">
        <fgColor rgb="00EDEDED"/>
        <bgColor rgb="00EDEDED"/>
      </patternFill>
    </fill>
    <fill>
      <patternFill patternType="solid">
        <fgColor rgb="00EEF3FB"/>
        <bgColor rgb="00EEF3FB"/>
      </patternFill>
    </fill>
    <fill>
      <patternFill patternType="solid">
        <fgColor rgb="00FFE08A"/>
        <bgColor rgb="00FFE08A"/>
      </patternFill>
    </fill>
  </fills>
  <borders count="6">
    <border>
      <left/>
      <right/>
      <top/>
      <bottom/>
      <diagonal/>
    </border>
    <border>
      <left style="thin">
        <color rgb="00B7C3D6"/>
      </left>
      <right style="thin">
        <color rgb="00B7C3D6"/>
      </right>
      <top style="thin">
        <color rgb="00B7C3D6"/>
      </top>
      <bottom style="thin">
        <color rgb="00B7C3D6"/>
      </bottom>
    </border>
    <border>
      <left/>
      <right/>
      <top style="thin">
        <color rgb="00B7C3D6"/>
      </top>
      <bottom/>
      <diagonal/>
    </border>
    <border>
      <left/>
      <right style="thin">
        <color rgb="00B7C3D6"/>
      </right>
      <top style="thin">
        <color rgb="00B7C3D6"/>
      </top>
      <bottom/>
      <diagonal/>
    </border>
    <border>
      <left/>
      <right/>
      <top style="thin">
        <color rgb="00B7C3D6"/>
      </top>
      <bottom style="thin">
        <color rgb="00B7C3D6"/>
      </bottom>
      <diagonal/>
    </border>
    <border>
      <left/>
      <right style="thin">
        <color rgb="00B7C3D6"/>
      </right>
      <top style="thin">
        <color rgb="00B7C3D6"/>
      </top>
      <bottom style="thin">
        <color rgb="00B7C3D6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4" fillId="4" borderId="1" pivotButton="0" quotePrefix="0" xfId="0"/>
    <xf numFmtId="3" fontId="0" fillId="4" borderId="1" pivotButton="0" quotePrefix="0" xfId="0"/>
    <xf numFmtId="0" fontId="4" fillId="0" borderId="0" pivotButton="0" quotePrefix="0" xfId="0"/>
    <xf numFmtId="0" fontId="0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3" borderId="1" applyProtection="1" pivotButton="0" quotePrefix="0" xfId="0">
      <protection locked="0" hidden="0"/>
    </xf>
    <xf numFmtId="3" fontId="0" fillId="3" borderId="1" applyProtection="1" pivotButton="0" quotePrefix="0" xfId="0">
      <protection locked="0" hidden="0"/>
    </xf>
    <xf numFmtId="0" fontId="0" fillId="3" borderId="1" applyProtection="1" pivotButton="0" quotePrefix="0" xfId="0">
      <protection locked="0" hidden="0"/>
    </xf>
    <xf numFmtId="165" fontId="4" fillId="4" borderId="1" pivotButton="0" quotePrefix="0" xfId="0"/>
    <xf numFmtId="166" fontId="0" fillId="3" borderId="1" applyProtection="1" pivotButton="0" quotePrefix="0" xfId="0">
      <protection locked="0" hidden="0"/>
    </xf>
    <xf numFmtId="166" fontId="4" fillId="5" borderId="1" applyAlignment="1" pivotButton="0" quotePrefix="0" xfId="0">
      <alignment horizontal="center" vertical="center" wrapText="1"/>
    </xf>
    <xf numFmtId="167" fontId="0" fillId="3" borderId="1" applyProtection="1" pivotButton="0" quotePrefix="0" xfId="0">
      <protection locked="0" hidden="0"/>
    </xf>
    <xf numFmtId="167" fontId="0" fillId="4" borderId="1" pivotButton="0" quotePrefix="0" xfId="0"/>
    <xf numFmtId="168" fontId="0" fillId="3" borderId="1" applyProtection="1" pivotButton="0" quotePrefix="0" xfId="0">
      <protection locked="0" hidden="0"/>
    </xf>
    <xf numFmtId="0" fontId="2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169" fontId="0" fillId="3" borderId="1" applyProtection="1" pivotButton="0" quotePrefix="0" xfId="0">
      <protection locked="0" hidden="0"/>
    </xf>
    <xf numFmtId="169" fontId="0" fillId="4" borderId="1" pivotButton="0" quotePrefix="0" xfId="0"/>
    <xf numFmtId="170" fontId="0" fillId="4" borderId="1" pivotButton="0" quotePrefix="0" xfId="0"/>
    <xf numFmtId="170" fontId="0" fillId="3" borderId="1" applyProtection="1" pivotButton="0" quotePrefix="0" xfId="0">
      <protection locked="0" hidden="0"/>
    </xf>
    <xf numFmtId="4" fontId="0" fillId="4" borderId="1" pivotButton="0" quotePrefix="0" xfId="0"/>
    <xf numFmtId="0" fontId="0" fillId="3" borderId="1" applyAlignment="1" applyProtection="1" pivotButton="0" quotePrefix="0" xfId="0">
      <alignment horizontal="left" vertical="top" wrapText="1"/>
      <protection locked="0" hidden="0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FFE08A"/>
          <bgColor rgb="00FFE08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33415C"/>
                </a:solidFill>
              </a:defRPr>
            </a:pPr>
            <a:r>
              <a:rPr sz="1100" b="1">
                <a:solidFill>
                  <a:srgbClr val="33415C"/>
                </a:solidFill>
              </a:rPr>
              <a:t>Cost-effectiveness of watershed plans</a:t>
            </a:r>
          </a:p>
        </rich>
      </tx>
      <overlay val="0"/>
    </title>
    <plotArea>
      <scatterChart>
        <scatterStyle val="lineMarker"/>
        <varyColors val="0"/>
        <ser>
          <idx val="0"/>
          <order val="0"/>
          <tx>
            <v>Plan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FFFF"/>
              </a:solidFill>
              <a:ln xmlns:a="http://schemas.openxmlformats.org/drawingml/2006/main" w="9525">
                <a:solidFill>
                  <a:srgbClr val="7A8699"/>
                </a:solidFill>
                <a:prstDash val="solid"/>
              </a:ln>
            </spPr>
          </marker>
          <xVal>
            <numRef>
              <f>'Charts'!$A$31:$A$34</f>
            </numRef>
          </xVal>
          <yVal>
            <numRef>
              <f>'Charts'!$B$31:$B$34</f>
            </numRef>
          </yVal>
          <smooth val="0"/>
        </ser>
        <ser>
          <idx val="1"/>
          <order val="1"/>
          <tx>
            <v>Cost-effective frontier</v>
          </tx>
          <spPr>
            <a:ln xmlns:a="http://schemas.openxmlformats.org/drawingml/2006/main" w="25400">
              <a:solidFill>
                <a:srgbClr val="2F4B7C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2F4B7C"/>
              </a:solidFill>
              <a:ln xmlns:a="http://schemas.openxmlformats.org/drawingml/2006/main" w="9525">
                <a:solidFill>
                  <a:srgbClr val="2F4B7C"/>
                </a:solidFill>
                <a:prstDash val="solid"/>
              </a:ln>
            </spPr>
          </marker>
          <xVal>
            <numRef>
              <f>'Charts'!$C$31:$C$34</f>
            </numRef>
          </xVal>
          <yVal>
            <numRef>
              <f>'Charts'!$D$31:$D$34</f>
            </numRef>
          </yVal>
          <smooth val="0"/>
        </ser>
        <ser>
          <idx val="2"/>
          <order val="2"/>
          <tx>
            <v>Best buy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noFill xmlns:a="http://schemas.openxmlformats.org/drawingml/2006/main"/>
              <a:ln xmlns:a="http://schemas.openxmlformats.org/drawingml/2006/main" w="22225">
                <a:solidFill>
                  <a:srgbClr val="2F4B7C"/>
                </a:solidFill>
                <a:prstDash val="solid"/>
              </a:ln>
            </spPr>
          </marker>
          <xVal>
            <numRef>
              <f>'Charts'!$E$31:$E$34</f>
            </numRef>
          </xVal>
          <yVal>
            <numRef>
              <f>'Charts'!$F$31:$F$34</f>
            </numRef>
          </yVal>
          <smooth val="0"/>
        </ser>
        <ser>
          <idx val="3"/>
          <order val="3"/>
          <tx>
            <v>Tentatively selected plan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4"/>
            <spPr>
              <a:noFill xmlns:a="http://schemas.openxmlformats.org/drawingml/2006/main"/>
              <a:ln xmlns:a="http://schemas.openxmlformats.org/drawingml/2006/main" w="22225">
                <a:solidFill>
                  <a:srgbClr val="1A7F37"/>
                </a:solidFill>
                <a:prstDash val="solid"/>
              </a:ln>
            </spPr>
          </marker>
          <xVal>
            <numRef>
              <f>'Charts'!$M$31</f>
            </numRef>
          </xVal>
          <yVal>
            <numRef>
              <f>'Charts'!$N$31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646F80"/>
                    </a:solidFill>
                  </a:defRPr>
                </a:pPr>
                <a:r>
                  <a:rPr sz="900" b="0">
                    <a:solidFill>
                      <a:srgbClr val="646F80"/>
                    </a:solidFill>
                  </a:rPr>
                  <a:t>Ecological lift (AAHU)</a:t>
                </a:r>
              </a:p>
            </rich>
          </tx>
          <overlay val="0"/>
        </title>
        <numFmt formatCode="General" sourceLinked="0"/>
        <majorTickMark val="out"/>
        <minorTickMark val="none"/>
        <spPr>
          <a:ln xmlns:a="http://schemas.openxmlformats.org/drawingml/2006/main" w="9525">
            <a:solidFill>
              <a:srgbClr val="98A1B3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46F80"/>
                </a:solidFill>
              </a:defRPr>
            </a:pPr>
            <a:r>
              <a:t>None</a:t>
            </a:r>
            <a:endParaRPr sz="800" b="0">
              <a:solidFill>
                <a:srgbClr val="646F80"/>
              </a:solidFill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8EE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646F80"/>
                    </a:solidFill>
                  </a:defRPr>
                </a:pPr>
                <a:r>
                  <a:rPr sz="900" b="0">
                    <a:solidFill>
                      <a:srgbClr val="646F80"/>
                    </a:solidFill>
                  </a:rPr>
                  <a:t>Average annual cost</a:t>
                </a:r>
              </a:p>
            </rich>
          </tx>
          <overlay val="0"/>
        </title>
        <numFmt formatCode="&quot;$&quot;#,##0" sourceLinked="0"/>
        <majorTickMark val="out"/>
        <minorTickMark val="none"/>
        <spPr>
          <a:ln xmlns:a="http://schemas.openxmlformats.org/drawingml/2006/main" w="9525">
            <a:solidFill>
              <a:srgbClr val="98A1B3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46F80"/>
                </a:solidFill>
              </a:defRPr>
            </a:pPr>
            <a:r>
              <a:t>None</a:t>
            </a:r>
            <a:endParaRPr sz="800" b="0">
              <a:solidFill>
                <a:srgbClr val="646F80"/>
              </a:solidFill>
            </a:endParaRP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33415C"/>
              </a:solidFill>
            </a:defRPr>
          </a:pPr>
          <a:r>
            <a:t>None</a:t>
          </a:r>
          <a:endParaRPr sz="800" b="0">
            <a:solidFill>
              <a:srgbClr val="33415C"/>
            </a:solidFill>
          </a:endParaRPr>
        </a:p>
      </txPr>
    </legend>
    <plotVisOnly val="1"/>
    <dispBlanksAs val="gap"/>
  </chart>
  <spPr>
    <a:ln xmlns:a="http://schemas.openxmlformats.org/drawingml/2006/main" w="9525">
      <a:solidFill>
        <a:srgbClr val="E5E8EE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33415C"/>
                </a:solidFill>
              </a:defRPr>
            </a:pPr>
            <a:r>
              <a:rPr sz="1100" b="1">
                <a:solidFill>
                  <a:srgbClr val="33415C"/>
                </a:solidFill>
              </a:rPr>
              <a:t>Incremental cost of best-buy plans</a:t>
            </a:r>
          </a:p>
        </rich>
      </tx>
      <overlay val="0"/>
    </title>
    <plotArea>
      <scatterChart>
        <scatterStyle val="lineMarker"/>
        <varyColors val="0"/>
        <ser>
          <idx val="0"/>
          <order val="0"/>
          <tx>
            <v>Best-buy step</v>
          </tx>
          <spPr>
            <a:ln xmlns:a="http://schemas.openxmlformats.org/drawingml/2006/main" w="19050">
              <a:solidFill>
                <a:srgbClr val="2F4B7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'Charts'!$G$31:$G$47</f>
            </numRef>
          </xVal>
          <yVal>
            <numRef>
              <f>'Charts'!$H$31:$H$47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646F80"/>
                    </a:solidFill>
                  </a:defRPr>
                </a:pPr>
                <a:r>
                  <a:rPr sz="900" b="0">
                    <a:solidFill>
                      <a:srgbClr val="646F80"/>
                    </a:solidFill>
                  </a:rPr>
                  <a:t>Ecological lift (AAHU)</a:t>
                </a:r>
              </a:p>
            </rich>
          </tx>
          <overlay val="0"/>
        </title>
        <numFmt formatCode="General" sourceLinked="0"/>
        <majorTickMark val="out"/>
        <minorTickMark val="none"/>
        <spPr>
          <a:ln xmlns:a="http://schemas.openxmlformats.org/drawingml/2006/main" w="9525">
            <a:solidFill>
              <a:srgbClr val="98A1B3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46F80"/>
                </a:solidFill>
              </a:defRPr>
            </a:pPr>
            <a:r>
              <a:t>None</a:t>
            </a:r>
            <a:endParaRPr sz="800" b="0">
              <a:solidFill>
                <a:srgbClr val="646F80"/>
              </a:solidFill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8EE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646F80"/>
                    </a:solidFill>
                  </a:defRPr>
                </a:pPr>
                <a:r>
                  <a:rPr sz="900" b="0">
                    <a:solidFill>
                      <a:srgbClr val="646F80"/>
                    </a:solidFill>
                  </a:rPr>
                  <a:t>Incremental cost per AAHU</a:t>
                </a:r>
              </a:p>
            </rich>
          </tx>
          <overlay val="0"/>
        </title>
        <numFmt formatCode="&quot;$&quot;#,##0" sourceLinked="0"/>
        <majorTickMark val="out"/>
        <minorTickMark val="none"/>
        <spPr>
          <a:ln xmlns:a="http://schemas.openxmlformats.org/drawingml/2006/main" w="9525">
            <a:solidFill>
              <a:srgbClr val="98A1B3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46F80"/>
                </a:solidFill>
              </a:defRPr>
            </a:pPr>
            <a:r>
              <a:t>None</a:t>
            </a:r>
            <a:endParaRPr sz="800" b="0">
              <a:solidFill>
                <a:srgbClr val="646F80"/>
              </a:solidFill>
            </a:endParaRP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33415C"/>
              </a:solidFill>
            </a:defRPr>
          </a:pPr>
          <a:r>
            <a:t>None</a:t>
          </a:r>
          <a:endParaRPr sz="800" b="0">
            <a:solidFill>
              <a:srgbClr val="33415C"/>
            </a:solidFill>
          </a:endParaRPr>
        </a:p>
      </txPr>
    </legend>
    <plotVisOnly val="1"/>
    <dispBlanksAs val="gap"/>
  </chart>
  <spPr>
    <a:ln xmlns:a="http://schemas.openxmlformats.org/drawingml/2006/main" w="9525">
      <a:solidFill>
        <a:srgbClr val="E5E8EE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576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</row>
      <rowOff>0</rowOff>
    </from>
    <ext cx="576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34" customWidth="1" style="8" min="1" max="1"/>
    <col width="70" customWidth="1" style="8" min="2" max="2"/>
  </cols>
  <sheetData>
    <row r="1">
      <c r="A1" s="1" t="inlineStr">
        <is>
          <t>Mixed test: CE/ICA calculator</t>
        </is>
      </c>
    </row>
    <row r="2">
      <c r="A2" s="2" t="inlineStr">
        <is>
          <t>Cost-effectiveness and incremental cost analysis, as live formulas.</t>
        </is>
      </c>
    </row>
    <row r="4">
      <c r="A4" s="3" t="inlineStr">
        <is>
          <t>Study</t>
        </is>
      </c>
      <c r="B4" s="4" t="inlineStr">
        <is>
          <t>Mixed test</t>
        </is>
      </c>
    </row>
    <row r="5">
      <c r="A5" s="3" t="inlineStr">
        <is>
          <t>Generated by</t>
        </is>
      </c>
      <c r="B5" s="4" t="inlineStr">
        <is>
          <t>CEICA 1.0.0 (engine 1)</t>
        </is>
      </c>
    </row>
    <row r="6">
      <c r="A6" s="3" t="inlineStr">
        <is>
          <t>Project digest</t>
        </is>
      </c>
      <c r="B6" s="4" t="inlineStr">
        <is>
          <t>8030b2b0f57f</t>
        </is>
      </c>
    </row>
    <row r="7">
      <c r="A7" s="3" t="inlineStr">
        <is>
          <t>Discount rate</t>
        </is>
      </c>
      <c r="B7" s="4" t="inlineStr">
        <is>
          <t>3 percent</t>
        </is>
      </c>
    </row>
    <row r="8">
      <c r="A8" s="3" t="inlineStr">
        <is>
          <t>Period of analysis</t>
        </is>
      </c>
      <c r="B8" s="4" t="inlineStr">
        <is>
          <t>50 years</t>
        </is>
      </c>
    </row>
    <row r="10">
      <c r="A10" s="3" t="inlineStr">
        <is>
          <t>Status</t>
        </is>
      </c>
      <c r="B10" s="5">
        <f>IF(B11=0,IF(B12=0,"Unchanged: matches the CEICA export","ERROR: results differ from the export although no input changed"),"Edited: "&amp;B11&amp;" input cells changed since the export")</f>
        <v/>
      </c>
    </row>
    <row r="11">
      <c r="A11" s="4" t="inlineStr">
        <is>
          <t>Inputs changed</t>
        </is>
      </c>
      <c r="B11" s="6">
        <f>(SUMPRODUCT(1*(Parameters!B4:B10&lt;&gt;'snap Parameters'!B4:B10))+SUMPRODUCT(1*(Parameters!B14:D14&lt;&gt;'snap Parameters'!B14:D14))+SUMPRODUCT(1*(Benefits!L6:N10&lt;&gt;'snap Benefits'!L6:N10))+SUMPRODUCT(1*(Benefits!F11:K15&lt;&gt;'snap Benefits'!F11:K15))+SUMPRODUCT(1*(Benefits!O16:O20&lt;&gt;'snap Benefits'!O16:O20))+SUMPRODUCT(1*(Costs!D6:G10&lt;&gt;'snap Costs'!D6:G10))+SUMPRODUCT(1*(Costs!L6:L10&lt;&gt;'snap Costs'!L6:L10))+SUMPRODUCT(1*(Sites!C5:C6&lt;&gt;'snap Sites'!C5:C6))+SUMPRODUCT(1*('Watershed plans'!Z12:Z15&lt;&gt;'snap Watershed plans'!Z12:Z15))+SUMPRODUCT(1*('Watershed summary'!K50:L89&lt;&gt;'snap Watershed summary'!K50:L89))+SUMPRODUCT(1*('Watershed summary'!B93:B93&lt;&gt;'snap Watershed summary'!B93:B93)))</f>
        <v/>
      </c>
    </row>
    <row r="12">
      <c r="A12" s="4" t="inlineStr">
        <is>
          <t>Results that differ from the export</t>
        </is>
      </c>
      <c r="B12" s="6">
        <f>(SUMPRODUCT(1*(ABS(Summary!G5:G9-'snap Summary'!G5:G9)&gt;1e-06))+SUMPRODUCT(1*(ABS(Summary!L5:L9-'snap Summary'!L5:L9)&gt;0.0001))+SUMPRODUCT(1*('Site CE-ICA'!L6:L8&lt;&gt;'snap Site CE-ICA'!L6:L8))+SUMPRODUCT(1*('Site CE-ICA'!P6:P8&lt;&gt;'snap Site CE-ICA'!P6:P8))+SUMPRODUCT(1*('Site CE-ICA'!L11:L12&lt;&gt;'snap Site CE-ICA'!L11:L12))+SUMPRODUCT(1*('Site CE-ICA'!P11:P12&lt;&gt;'snap Site CE-ICA'!P11:P12))+SUMPRODUCT(1*('Watershed plans'!N12:N15&lt;&gt;'snap Watershed plans'!N12:N15))+SUMPRODUCT(1*('Watershed plans'!R12:R15&lt;&gt;'snap Watershed plans'!R12:R15)))</f>
        <v/>
      </c>
    </row>
    <row r="14">
      <c r="A14" s="7" t="inlineStr">
        <is>
          <t>How to use</t>
        </is>
      </c>
    </row>
    <row r="15">
      <c r="A15" t="inlineStr">
        <is>
          <t>- Orange cells are inputs; grey cells are formulas. Sheets are protected (password 'ceica') only to prevent accidental edits.</t>
        </is>
      </c>
    </row>
    <row r="16">
      <c r="A16" t="inlineStr">
        <is>
          <t>- Change any orange cell: annualization, site CE/ICA, the watershed plans and the summary update. Changed inputs turn yellow.</t>
        </is>
      </c>
    </row>
    <row r="17">
      <c r="A17" t="inlineStr">
        <is>
          <t>- To add sites, alternatives or years, make the change in CEICA and export again.</t>
        </is>
      </c>
    </row>
    <row r="18">
      <c r="A18" t="inlineStr">
        <is>
          <t>- Import this workbook in CEICA to bring your changes back into the project.</t>
        </is>
      </c>
    </row>
    <row r="20">
      <c r="A20" s="7" t="inlineStr">
        <is>
          <t>Legend</t>
        </is>
      </c>
    </row>
    <row r="21">
      <c r="A21" s="9" t="inlineStr">
        <is>
          <t>Input</t>
        </is>
      </c>
    </row>
    <row r="22">
      <c r="A22" s="10" t="inlineStr">
        <is>
          <t>Formula</t>
        </is>
      </c>
    </row>
    <row r="23">
      <c r="A23" s="11" t="inlineStr">
        <is>
          <t>Changed since export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62" customWidth="1" style="8" min="1" max="1"/>
    <col width="18" customWidth="1" style="8" min="2" max="2"/>
  </cols>
  <sheetData>
    <row r="1">
      <c r="A1" s="1" t="inlineStr">
        <is>
          <t>Parameters</t>
        </is>
      </c>
    </row>
    <row r="2">
      <c r="A2" s="2" t="inlineStr">
        <is>
          <t>Economics and conventions. Orange cells are inputs.</t>
        </is>
      </c>
    </row>
    <row r="3">
      <c r="A3" s="12" t="inlineStr">
        <is>
          <t>Parameter</t>
        </is>
      </c>
      <c r="B3" s="12" t="inlineStr">
        <is>
          <t>Value</t>
        </is>
      </c>
    </row>
    <row r="4">
      <c r="A4" s="4" t="inlineStr">
        <is>
          <t>Discount rate</t>
        </is>
      </c>
      <c r="B4" s="13" t="n">
        <v>0.03</v>
      </c>
    </row>
    <row r="5">
      <c r="A5" s="4" t="inlineStr">
        <is>
          <t>Period of analysis (years)</t>
        </is>
      </c>
      <c r="B5" s="14" t="inlineStr">
        <is>
          <t>40</t>
        </is>
      </c>
    </row>
    <row r="6">
      <c r="A6" s="4" t="inlineStr">
        <is>
          <t>Interest during construction: periods per year</t>
        </is>
      </c>
      <c r="B6" s="14" t="n">
        <v>12</v>
      </c>
    </row>
    <row r="7">
      <c r="A7" s="4" t="inlineStr">
        <is>
          <t>Interest during construction: spending in each period (END, MIDDLE or START)</t>
        </is>
      </c>
      <c r="B7" s="15" t="inlineStr">
        <is>
          <t xml:space="preserve">  START </t>
        </is>
      </c>
    </row>
    <row r="8">
      <c r="A8" s="4" t="inlineStr">
        <is>
          <t>OMRRR discounting (END_OF_YEAR or MID_YEAR)</t>
        </is>
      </c>
      <c r="B8" s="15" t="inlineStr">
        <is>
          <t>END_OF_YEAR</t>
        </is>
      </c>
    </row>
    <row r="9">
      <c r="A9" s="4" t="inlineStr">
        <is>
          <t>Cost decimals kept for CE/ICA</t>
        </is>
      </c>
      <c r="B9" s="14" t="n">
        <v>2</v>
      </c>
    </row>
    <row r="10">
      <c r="A10" s="4" t="inlineStr">
        <is>
          <t>Output decimals kept for CE/ICA</t>
        </is>
      </c>
      <c r="B10" s="14" t="n">
        <v>3</v>
      </c>
    </row>
    <row r="11">
      <c r="A11" s="3" t="inlineStr">
        <is>
          <t>Capital recovery factor</t>
        </is>
      </c>
      <c r="B11" s="16">
        <f>IF(in_rate=0,1/in_poa,in_rate*(1+in_rate)^in_poa/((1+in_rate)^in_poa-1))</f>
        <v/>
      </c>
    </row>
    <row r="13">
      <c r="A13" s="12" t="inlineStr">
        <is>
          <t>Target years</t>
        </is>
      </c>
      <c r="B13" s="12" t="inlineStr">
        <is>
          <t>Year 1</t>
        </is>
      </c>
      <c r="C13" s="12" t="inlineStr">
        <is>
          <t>Year 2</t>
        </is>
      </c>
      <c r="D13" s="12" t="inlineStr">
        <is>
          <t>Year 3</t>
        </is>
      </c>
    </row>
    <row r="14">
      <c r="A14" s="4" t="inlineStr">
        <is>
          <t>Years (first to last)</t>
        </is>
      </c>
      <c r="B14" s="17" t="n">
        <v>0</v>
      </c>
      <c r="C14" s="17" t="n">
        <v>5</v>
      </c>
      <c r="D14" s="17" t="n">
        <v>50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B4:B10">
    <cfRule type="expression" priority="1" dxfId="0" stopIfTrue="0">
      <formula>B4&lt;&gt;'snap Parameters'!B4</formula>
    </cfRule>
  </conditionalFormatting>
  <conditionalFormatting sqref="B14:D14">
    <cfRule type="expression" priority="2" dxfId="0" stopIfTrue="0">
      <formula>B14&lt;&gt;'snap Parameters'!B14</formula>
    </cfRule>
  </conditionalFormatting>
  <dataValidations count="2">
    <dataValidation sqref="B7" showDropDown="0" showInputMessage="0" showErrorMessage="0" allowBlank="0" type="list">
      <formula1>"END,MIDDLE,START"</formula1>
    </dataValidation>
    <dataValidation sqref="B8" showDropDown="0" showInputMessage="0" showErrorMessage="0" allowBlank="0" type="list">
      <formula1>"END_OF_YEAR,MID_YEAR"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2" customWidth="1" style="8" min="4" max="4"/>
    <col width="18" customWidth="1" style="8" min="5" max="5"/>
    <col width="11" customWidth="1" style="8" min="6" max="6"/>
    <col width="11" customWidth="1" style="8" min="7" max="7"/>
    <col width="11" customWidth="1" style="8" min="8" max="8"/>
    <col width="11" customWidth="1" style="8" min="9" max="9"/>
    <col width="11" customWidth="1" style="8" min="10" max="10"/>
    <col width="11" customWidth="1" style="8" min="11" max="11"/>
    <col width="11" customWidth="1" style="8" min="12" max="12"/>
    <col width="11" customWidth="1" style="8" min="13" max="13"/>
    <col width="11" customWidth="1" style="8" min="14" max="14"/>
    <col width="14" customWidth="1" style="8" min="15" max="15"/>
  </cols>
  <sheetData>
    <row r="1">
      <c r="A1" s="1" t="inlineStr">
        <is>
          <t>Benefits: habitat units by module</t>
        </is>
      </c>
    </row>
    <row r="2">
      <c r="A2" s="2" t="inlineStr">
        <is>
          <t>One row per module, site and alternative; the Summary adds the modules' averages. Habitat: habitat units entered at each target year; Riparian: index x quantity at each target year; Wetland: the average entered directly. Averages are the area under straight lines between target years.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Module</t>
        </is>
      </c>
      <c r="E4" s="12" t="inlineStr">
        <is>
          <t>Method</t>
        </is>
      </c>
      <c r="F4" s="12" t="inlineStr">
        <is>
          <t>Index (0 to 1)</t>
        </is>
      </c>
      <c r="G4" s="30" t="n"/>
      <c r="H4" s="31" t="n"/>
      <c r="I4" s="12" t="inlineStr">
        <is>
          <t>Quantity</t>
        </is>
      </c>
      <c r="J4" s="30" t="n"/>
      <c r="K4" s="31" t="n"/>
      <c r="L4" s="12" t="inlineStr">
        <is>
          <t>Habitat units (HU)</t>
        </is>
      </c>
      <c r="M4" s="30" t="n"/>
      <c r="N4" s="31" t="n"/>
      <c r="O4" s="12" t="inlineStr">
        <is>
          <t>Average (AAHU)</t>
        </is>
      </c>
    </row>
    <row r="5">
      <c r="A5" s="12" t="inlineStr"/>
      <c r="B5" s="12" t="inlineStr"/>
      <c r="C5" s="12" t="inlineStr"/>
      <c r="D5" s="12" t="inlineStr"/>
      <c r="E5" s="12" t="inlineStr"/>
      <c r="F5" s="18">
        <f>Parameters!$B$14</f>
        <v/>
      </c>
      <c r="G5" s="18">
        <f>Parameters!$C$14</f>
        <v/>
      </c>
      <c r="H5" s="18">
        <f>Parameters!$D$14</f>
        <v/>
      </c>
      <c r="I5" s="18">
        <f>Parameters!$B$14</f>
        <v/>
      </c>
      <c r="J5" s="18">
        <f>Parameters!$C$14</f>
        <v/>
      </c>
      <c r="K5" s="18">
        <f>Parameters!$D$14</f>
        <v/>
      </c>
      <c r="L5" s="18">
        <f>Parameters!$B$14</f>
        <v/>
      </c>
      <c r="M5" s="18">
        <f>Parameters!$C$14</f>
        <v/>
      </c>
      <c r="N5" s="18">
        <f>Parameters!$D$14</f>
        <v/>
      </c>
      <c r="O5" s="12" t="inlineStr"/>
    </row>
    <row r="6">
      <c r="A6" s="10">
        <f>B6&amp;"|"&amp;C6</f>
        <v/>
      </c>
      <c r="B6" s="4" t="inlineStr">
        <is>
          <t>A</t>
        </is>
      </c>
      <c r="C6" s="4" t="inlineStr">
        <is>
          <t>NA</t>
        </is>
      </c>
      <c r="D6" s="4" t="inlineStr">
        <is>
          <t>Habitat</t>
        </is>
      </c>
      <c r="E6" s="4" t="inlineStr">
        <is>
          <t>Habitat units</t>
        </is>
      </c>
      <c r="L6" s="19" t="n">
        <v>1</v>
      </c>
      <c r="M6" s="19" t="n">
        <v>1</v>
      </c>
      <c r="N6" s="19" t="n">
        <v>1</v>
      </c>
      <c r="O6" s="20">
        <f>SUMPRODUCT($M$5:$N$5-$L$5:$M$5,(M6:N6+L6:M6)/2)/($N$5-$L$5)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A1</t>
        </is>
      </c>
      <c r="D7" s="4" t="inlineStr">
        <is>
          <t>Habitat</t>
        </is>
      </c>
      <c r="E7" s="4" t="inlineStr">
        <is>
          <t>Habitat units</t>
        </is>
      </c>
      <c r="L7" s="19" t="n">
        <v>1</v>
      </c>
      <c r="M7" s="19" t="n">
        <v>4</v>
      </c>
      <c r="N7" s="19" t="n">
        <v>5</v>
      </c>
      <c r="O7" s="20">
        <f>SUMPRODUCT($M$5:$N$5-$L$5:$M$5,(M7:N7+L7:M7)/2)/($N$5-$L$5)</f>
        <v/>
      </c>
    </row>
    <row r="8">
      <c r="A8" s="10">
        <f>B8&amp;"|"&amp;C8</f>
        <v/>
      </c>
      <c r="B8" s="4" t="inlineStr">
        <is>
          <t>A</t>
        </is>
      </c>
      <c r="C8" s="4" t="inlineStr">
        <is>
          <t>A2</t>
        </is>
      </c>
      <c r="D8" s="4" t="inlineStr">
        <is>
          <t>Habitat</t>
        </is>
      </c>
      <c r="E8" s="4" t="inlineStr">
        <is>
          <t>Habitat units</t>
        </is>
      </c>
      <c r="L8" s="19" t="n">
        <v>1</v>
      </c>
      <c r="M8" s="19" t="n">
        <v>2</v>
      </c>
      <c r="N8" s="19" t="n">
        <v>2.5</v>
      </c>
      <c r="O8" s="20">
        <f>SUMPRODUCT($M$5:$N$5-$L$5:$M$5,(M8:N8+L8:M8)/2)/($N$5-$L$5)</f>
        <v/>
      </c>
    </row>
    <row r="9">
      <c r="A9" s="10">
        <f>B9&amp;"|"&amp;C9</f>
        <v/>
      </c>
      <c r="B9" s="4" t="inlineStr">
        <is>
          <t>B</t>
        </is>
      </c>
      <c r="C9" s="4" t="inlineStr">
        <is>
          <t>NA</t>
        </is>
      </c>
      <c r="D9" s="4" t="inlineStr">
        <is>
          <t>Habitat</t>
        </is>
      </c>
      <c r="E9" s="4" t="inlineStr">
        <is>
          <t>Habitat units</t>
        </is>
      </c>
      <c r="L9" s="19" t="n">
        <v>2</v>
      </c>
      <c r="M9" s="19" t="n">
        <v>2</v>
      </c>
      <c r="N9" s="19" t="n">
        <v>2</v>
      </c>
      <c r="O9" s="20">
        <f>SUMPRODUCT($M$5:$N$5-$L$5:$M$5,(M9:N9+L9:M9)/2)/($N$5-$L$5)</f>
        <v/>
      </c>
    </row>
    <row r="10">
      <c r="A10" s="10">
        <f>B10&amp;"|"&amp;C10</f>
        <v/>
      </c>
      <c r="B10" s="4" t="inlineStr">
        <is>
          <t>B</t>
        </is>
      </c>
      <c r="C10" s="4" t="inlineStr">
        <is>
          <t>B1</t>
        </is>
      </c>
      <c r="D10" s="4" t="inlineStr">
        <is>
          <t>Habitat</t>
        </is>
      </c>
      <c r="E10" s="4" t="inlineStr">
        <is>
          <t>Habitat units</t>
        </is>
      </c>
      <c r="L10" s="19" t="n">
        <v>2</v>
      </c>
      <c r="M10" s="19" t="n">
        <v>5</v>
      </c>
      <c r="N10" s="19" t="n">
        <v>6</v>
      </c>
      <c r="O10" s="20">
        <f>SUMPRODUCT($M$5:$N$5-$L$5:$M$5,(M10:N10+L10:M10)/2)/($N$5-$L$5)</f>
        <v/>
      </c>
    </row>
    <row r="11">
      <c r="A11" s="10">
        <f>B11&amp;"|"&amp;C11</f>
        <v/>
      </c>
      <c r="B11" s="4" t="inlineStr">
        <is>
          <t>A</t>
        </is>
      </c>
      <c r="C11" s="4" t="inlineStr">
        <is>
          <t>NA</t>
        </is>
      </c>
      <c r="D11" s="4" t="inlineStr">
        <is>
          <t>Riparian</t>
        </is>
      </c>
      <c r="E11" s="4" t="inlineStr">
        <is>
          <t>Index x quantity</t>
        </is>
      </c>
      <c r="F11" s="21" t="n">
        <v>0.2</v>
      </c>
      <c r="G11" s="21" t="n">
        <v>0.2</v>
      </c>
      <c r="H11" s="21" t="n">
        <v>0.2</v>
      </c>
      <c r="I11" s="19" t="n">
        <v>3</v>
      </c>
      <c r="J11" s="19" t="n">
        <v>3</v>
      </c>
      <c r="K11" s="19" t="n">
        <v>3</v>
      </c>
      <c r="L11" s="20">
        <f>F11*I11</f>
        <v/>
      </c>
      <c r="M11" s="20">
        <f>G11*J11</f>
        <v/>
      </c>
      <c r="N11" s="20">
        <f>H11*K11</f>
        <v/>
      </c>
      <c r="O11" s="20">
        <f>SUMPRODUCT($M$5:$N$5-$L$5:$M$5,(M11:N11+L11:M11)/2)/($N$5-$L$5)</f>
        <v/>
      </c>
    </row>
    <row r="12">
      <c r="A12" s="10">
        <f>B12&amp;"|"&amp;C12</f>
        <v/>
      </c>
      <c r="B12" s="4" t="inlineStr">
        <is>
          <t>A</t>
        </is>
      </c>
      <c r="C12" s="4" t="inlineStr">
        <is>
          <t>A1</t>
        </is>
      </c>
      <c r="D12" s="4" t="inlineStr">
        <is>
          <t>Riparian</t>
        </is>
      </c>
      <c r="E12" s="4" t="inlineStr">
        <is>
          <t>Index x quantity</t>
        </is>
      </c>
      <c r="F12" s="21" t="n">
        <v>0.2</v>
      </c>
      <c r="G12" s="21" t="n">
        <v>0.5</v>
      </c>
      <c r="H12" s="21" t="n">
        <v>0.7</v>
      </c>
      <c r="I12" s="19" t="n">
        <v>3</v>
      </c>
      <c r="J12" s="19" t="n">
        <v>3.5</v>
      </c>
      <c r="K12" s="19" t="n">
        <v>3.5</v>
      </c>
      <c r="L12" s="20">
        <f>F12*I12</f>
        <v/>
      </c>
      <c r="M12" s="20">
        <f>G12*J12</f>
        <v/>
      </c>
      <c r="N12" s="20">
        <f>H12*K12</f>
        <v/>
      </c>
      <c r="O12" s="20">
        <f>SUMPRODUCT($M$5:$N$5-$L$5:$M$5,(M12:N12+L12:M12)/2)/($N$5-$L$5)</f>
        <v/>
      </c>
    </row>
    <row r="13">
      <c r="A13" s="10">
        <f>B13&amp;"|"&amp;C13</f>
        <v/>
      </c>
      <c r="B13" s="4" t="inlineStr">
        <is>
          <t>A</t>
        </is>
      </c>
      <c r="C13" s="4" t="inlineStr">
        <is>
          <t>A2</t>
        </is>
      </c>
      <c r="D13" s="4" t="inlineStr">
        <is>
          <t>Riparian</t>
        </is>
      </c>
      <c r="E13" s="4" t="inlineStr">
        <is>
          <t>Index x quantity</t>
        </is>
      </c>
      <c r="F13" s="21" t="n">
        <v>0.2</v>
      </c>
      <c r="G13" s="21" t="n">
        <v>0.6</v>
      </c>
      <c r="H13" s="21" t="n">
        <v>0.8</v>
      </c>
      <c r="I13" s="19" t="n">
        <v>3</v>
      </c>
      <c r="J13" s="19" t="n">
        <v>3</v>
      </c>
      <c r="K13" s="19" t="n">
        <v>3</v>
      </c>
      <c r="L13" s="20">
        <f>F13*I13</f>
        <v/>
      </c>
      <c r="M13" s="20">
        <f>G13*J13</f>
        <v/>
      </c>
      <c r="N13" s="20">
        <f>H13*K13</f>
        <v/>
      </c>
      <c r="O13" s="20">
        <f>SUMPRODUCT($M$5:$N$5-$L$5:$M$5,(M13:N13+L13:M13)/2)/($N$5-$L$5)</f>
        <v/>
      </c>
    </row>
    <row r="14">
      <c r="A14" s="10">
        <f>B14&amp;"|"&amp;C14</f>
        <v/>
      </c>
      <c r="B14" s="4" t="inlineStr">
        <is>
          <t>B</t>
        </is>
      </c>
      <c r="C14" s="4" t="inlineStr">
        <is>
          <t>NA</t>
        </is>
      </c>
      <c r="D14" s="4" t="inlineStr">
        <is>
          <t>Riparian</t>
        </is>
      </c>
      <c r="E14" s="4" t="inlineStr">
        <is>
          <t>Index x quantity</t>
        </is>
      </c>
      <c r="F14" s="21" t="n">
        <v>0.4</v>
      </c>
      <c r="G14" s="21" t="n">
        <v>0.4</v>
      </c>
      <c r="H14" s="21" t="n">
        <v>0.4</v>
      </c>
      <c r="I14" s="19" t="n">
        <v>1</v>
      </c>
      <c r="J14" s="19" t="n">
        <v>1</v>
      </c>
      <c r="K14" s="19" t="n">
        <v>1</v>
      </c>
      <c r="L14" s="20">
        <f>F14*I14</f>
        <v/>
      </c>
      <c r="M14" s="20">
        <f>G14*J14</f>
        <v/>
      </c>
      <c r="N14" s="20">
        <f>H14*K14</f>
        <v/>
      </c>
      <c r="O14" s="20">
        <f>SUMPRODUCT($M$5:$N$5-$L$5:$M$5,(M14:N14+L14:M14)/2)/($N$5-$L$5)</f>
        <v/>
      </c>
    </row>
    <row r="15">
      <c r="A15" s="10">
        <f>B15&amp;"|"&amp;C15</f>
        <v/>
      </c>
      <c r="B15" s="4" t="inlineStr">
        <is>
          <t>B</t>
        </is>
      </c>
      <c r="C15" s="4" t="inlineStr">
        <is>
          <t>B1</t>
        </is>
      </c>
      <c r="D15" s="4" t="inlineStr">
        <is>
          <t>Riparian</t>
        </is>
      </c>
      <c r="E15" s="4" t="inlineStr">
        <is>
          <t>Index x quantity</t>
        </is>
      </c>
      <c r="F15" s="21" t="n">
        <v>0.4</v>
      </c>
      <c r="G15" s="21" t="n">
        <v>0.4</v>
      </c>
      <c r="H15" s="21" t="n">
        <v>0.9</v>
      </c>
      <c r="I15" s="19" t="n">
        <v>1</v>
      </c>
      <c r="J15" s="19" t="n">
        <v>1</v>
      </c>
      <c r="K15" s="19" t="n">
        <v>2</v>
      </c>
      <c r="L15" s="20">
        <f>F15*I15</f>
        <v/>
      </c>
      <c r="M15" s="20">
        <f>G15*J15</f>
        <v/>
      </c>
      <c r="N15" s="20">
        <f>H15*K15</f>
        <v/>
      </c>
      <c r="O15" s="20">
        <f>SUMPRODUCT($M$5:$N$5-$L$5:$M$5,(M15:N15+L15:M15)/2)/($N$5-$L$5)</f>
        <v/>
      </c>
    </row>
    <row r="16">
      <c r="A16" s="10">
        <f>B16&amp;"|"&amp;C16</f>
        <v/>
      </c>
      <c r="B16" s="4" t="inlineStr">
        <is>
          <t>A</t>
        </is>
      </c>
      <c r="C16" s="4" t="inlineStr">
        <is>
          <t>NA</t>
        </is>
      </c>
      <c r="D16" s="4" t="inlineStr">
        <is>
          <t>Wetland</t>
        </is>
      </c>
      <c r="E16" s="4" t="inlineStr">
        <is>
          <t>Average annual value</t>
        </is>
      </c>
      <c r="O16" s="19" t="n">
        <v>0</v>
      </c>
    </row>
    <row r="17">
      <c r="A17" s="10">
        <f>B17&amp;"|"&amp;C17</f>
        <v/>
      </c>
      <c r="B17" s="4" t="inlineStr">
        <is>
          <t>A</t>
        </is>
      </c>
      <c r="C17" s="4" t="inlineStr">
        <is>
          <t>A1</t>
        </is>
      </c>
      <c r="D17" s="4" t="inlineStr">
        <is>
          <t>Wetland</t>
        </is>
      </c>
      <c r="E17" s="4" t="inlineStr">
        <is>
          <t>Average annual value</t>
        </is>
      </c>
      <c r="O17" s="19" t="n">
        <v>1.5</v>
      </c>
    </row>
    <row r="18">
      <c r="A18" s="10">
        <f>B18&amp;"|"&amp;C18</f>
        <v/>
      </c>
      <c r="B18" s="4" t="inlineStr">
        <is>
          <t>A</t>
        </is>
      </c>
      <c r="C18" s="4" t="inlineStr">
        <is>
          <t>A2</t>
        </is>
      </c>
      <c r="D18" s="4" t="inlineStr">
        <is>
          <t>Wetland</t>
        </is>
      </c>
      <c r="E18" s="4" t="inlineStr">
        <is>
          <t>Average annual value</t>
        </is>
      </c>
      <c r="O18" s="19" t="n">
        <v>0.5</v>
      </c>
    </row>
    <row r="19">
      <c r="A19" s="10">
        <f>B19&amp;"|"&amp;C19</f>
        <v/>
      </c>
      <c r="B19" s="4" t="inlineStr">
        <is>
          <t>B</t>
        </is>
      </c>
      <c r="C19" s="4" t="inlineStr">
        <is>
          <t>NA</t>
        </is>
      </c>
      <c r="D19" s="4" t="inlineStr">
        <is>
          <t>Wetland</t>
        </is>
      </c>
      <c r="E19" s="4" t="inlineStr">
        <is>
          <t>Average annual value</t>
        </is>
      </c>
      <c r="O19" s="19" t="n">
        <v>0</v>
      </c>
    </row>
    <row r="20">
      <c r="A20" s="10">
        <f>B20&amp;"|"&amp;C20</f>
        <v/>
      </c>
      <c r="B20" s="4" t="inlineStr">
        <is>
          <t>B</t>
        </is>
      </c>
      <c r="C20" s="4" t="inlineStr">
        <is>
          <t>B1</t>
        </is>
      </c>
      <c r="D20" s="4" t="inlineStr">
        <is>
          <t>Wetland</t>
        </is>
      </c>
      <c r="E20" s="4" t="inlineStr">
        <is>
          <t>Average annual value</t>
        </is>
      </c>
      <c r="O20" s="19" t="n">
        <v>2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mergeCells count="3">
    <mergeCell ref="L4:N4"/>
    <mergeCell ref="F4:H4"/>
    <mergeCell ref="I4:K4"/>
  </mergeCells>
  <conditionalFormatting sqref="L6:N10">
    <cfRule type="expression" priority="1" dxfId="0" stopIfTrue="0">
      <formula>L6&lt;&gt;'snap Benefits'!L6</formula>
    </cfRule>
  </conditionalFormatting>
  <conditionalFormatting sqref="F11:K15">
    <cfRule type="expression" priority="2" dxfId="0" stopIfTrue="0">
      <formula>F11&lt;&gt;'snap Benefits'!F11</formula>
    </cfRule>
  </conditionalFormatting>
  <conditionalFormatting sqref="O16:O20">
    <cfRule type="expression" priority="3" dxfId="0" stopIfTrue="0">
      <formula>O16&lt;&gt;'snap Benefits'!O16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14" customWidth="1" style="8" min="4" max="4"/>
    <col width="14" customWidth="1" style="8" min="5" max="5"/>
    <col width="14" customWidth="1" style="8" min="6" max="6"/>
    <col width="12" customWidth="1" style="8" min="7" max="7"/>
    <col width="14" customWidth="1" style="8" min="8" max="8"/>
    <col width="15" customWidth="1" style="8" min="9" max="9"/>
    <col width="15" customWidth="1" style="8" min="10" max="10"/>
    <col width="15" customWidth="1" style="8" min="11" max="11"/>
    <col width="15" customWidth="1" style="8" min="12" max="12"/>
    <col width="15" customWidth="1" style="8" min="13" max="13"/>
    <col width="13" customWidth="1" style="8" min="14" max="14"/>
    <col width="13" customWidth="1" style="8" min="15" max="15"/>
    <col width="13" customWidth="1" style="8" min="16" max="16"/>
    <col width="13" customWidth="1" style="8" min="17" max="17"/>
    <col width="13" customWidth="1" style="8" min="18" max="18"/>
  </cols>
  <sheetData>
    <row r="1">
      <c r="A1" s="1" t="inlineStr">
        <is>
          <t>Costs: first costs, interest during construction and OMRRR</t>
        </is>
      </c>
    </row>
    <row r="2">
      <c r="A2" s="2" t="inlineStr">
        <is>
          <t>First costs are base-year lump sums. Interest during construction accrues on the categories marked *, spent evenly over the construction months.</t>
        </is>
      </c>
    </row>
    <row r="3">
      <c r="N3" s="12" t="inlineStr">
        <is>
          <t>Average annual cost by part</t>
        </is>
      </c>
      <c r="O3" s="30" t="n"/>
      <c r="P3" s="30" t="n"/>
      <c r="Q3" s="30" t="n"/>
      <c r="R3" s="31" t="n"/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Construction *</t>
        </is>
      </c>
      <c r="E4" s="12" t="inlineStr">
        <is>
          <t>Monitoring</t>
        </is>
      </c>
      <c r="F4" s="12" t="inlineStr">
        <is>
          <t>Adaptive management</t>
        </is>
      </c>
      <c r="G4" s="12" t="inlineStr">
        <is>
          <t>Construction months</t>
        </is>
      </c>
      <c r="H4" s="12" t="inlineStr">
        <is>
          <t>IDC base</t>
        </is>
      </c>
      <c r="I4" s="12" t="inlineStr">
        <is>
          <t>Interest during construction</t>
        </is>
      </c>
      <c r="J4" s="12" t="inlineStr">
        <is>
          <t>OMRRR present value</t>
        </is>
      </c>
      <c r="K4" s="12" t="inlineStr">
        <is>
          <t>Total present value</t>
        </is>
      </c>
      <c r="L4" s="12" t="inlineStr">
        <is>
          <t>Average annual cost entered</t>
        </is>
      </c>
      <c r="M4" s="12" t="inlineStr">
        <is>
          <t>Average annual cost</t>
        </is>
      </c>
      <c r="N4" s="12" t="inlineStr">
        <is>
          <t>Construction</t>
        </is>
      </c>
      <c r="O4" s="12" t="inlineStr">
        <is>
          <t>Monitoring</t>
        </is>
      </c>
      <c r="P4" s="12" t="inlineStr">
        <is>
          <t>Adaptive management</t>
        </is>
      </c>
      <c r="Q4" s="12" t="inlineStr">
        <is>
          <t>Interest during construction</t>
        </is>
      </c>
      <c r="R4" s="12" t="inlineStr">
        <is>
          <t>OMRRR</t>
        </is>
      </c>
    </row>
    <row r="5">
      <c r="D5" s="22" t="inlineStr">
        <is>
          <t>construction</t>
        </is>
      </c>
      <c r="E5" s="22" t="inlineStr">
        <is>
          <t>monitoring</t>
        </is>
      </c>
      <c r="F5" s="22" t="inlineStr">
        <is>
          <t>adaptive_management</t>
        </is>
      </c>
      <c r="G5" s="23" t="inlineStr"/>
      <c r="H5" s="23" t="inlineStr"/>
      <c r="I5" s="23" t="inlineStr"/>
      <c r="J5" s="23" t="inlineStr"/>
      <c r="K5" s="23" t="inlineStr"/>
      <c r="L5" s="23" t="inlineStr"/>
      <c r="M5" s="23" t="inlineStr"/>
    </row>
    <row r="6">
      <c r="A6" s="10">
        <f>B6&amp;"|"&amp;C6</f>
        <v/>
      </c>
      <c r="B6" s="4" t="inlineStr">
        <is>
          <t>A</t>
        </is>
      </c>
      <c r="C6" s="4" t="inlineStr">
        <is>
          <t>NA</t>
        </is>
      </c>
      <c r="D6" s="24" t="n">
        <v>0</v>
      </c>
      <c r="E6" s="24" t="n"/>
      <c r="F6" s="24" t="n"/>
      <c r="G6" s="17" t="n">
        <v>4</v>
      </c>
      <c r="H6" s="25">
        <f>D6</f>
        <v/>
      </c>
      <c r="I6" s="26">
        <f>IF(OR(G6=0,in_rate=0,H6=0),0,H6/G6*(IF(in_idc_method="START",1+((1+in_rate)^(1/in_ppy)-1),IF(in_idc_method="MIDDLE",1+((1+in_rate)^(1/in_ppy)-1)/2,1))*((1+in_rate)^(G6/in_ppy)-1)/((1+in_rate)^(1/in_ppy)-1)-G6))</f>
        <v/>
      </c>
      <c r="J6" s="26">
        <f>SUMIFS(OMRRR!$S$5:$S$5,OMRRR!$A$5:$A$5,A6)</f>
        <v/>
      </c>
      <c r="K6" s="26">
        <f>SUM(D6:F6)+I6+J6</f>
        <v/>
      </c>
      <c r="L6" s="27" t="n"/>
      <c r="M6" s="26">
        <f>IF(ISNUMBER(L6),L6,calc_crf*K6)</f>
        <v/>
      </c>
      <c r="N6" s="26">
        <f>calc_crf*D6</f>
        <v/>
      </c>
      <c r="O6" s="26">
        <f>calc_crf*E6</f>
        <v/>
      </c>
      <c r="P6" s="26">
        <f>calc_crf*F6</f>
        <v/>
      </c>
      <c r="Q6" s="26">
        <f>calc_crf*I6</f>
        <v/>
      </c>
      <c r="R6" s="26">
        <f>calc_crf*J6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A1</t>
        </is>
      </c>
      <c r="D7" s="24" t="inlineStr">
        <is>
          <t xml:space="preserve"> $1,250,000 </t>
        </is>
      </c>
      <c r="E7" s="24" t="n"/>
      <c r="F7" s="24" t="n"/>
      <c r="G7" s="17" t="n">
        <v>4</v>
      </c>
      <c r="H7" s="25">
        <f>D7</f>
        <v/>
      </c>
      <c r="I7" s="26">
        <f>IF(OR(G7=0,in_rate=0,H7=0),0,H7/G7*(IF(in_idc_method="START",1+((1+in_rate)^(1/in_ppy)-1),IF(in_idc_method="MIDDLE",1+((1+in_rate)^(1/in_ppy)-1)/2,1))*((1+in_rate)^(G7/in_ppy)-1)/((1+in_rate)^(1/in_ppy)-1)-G7))</f>
        <v/>
      </c>
      <c r="J7" s="26">
        <f>SUMIFS(OMRRR!$S$5:$S$5,OMRRR!$A$5:$A$5,A7)</f>
        <v/>
      </c>
      <c r="K7" s="26">
        <f>SUM(D7:F7)+I7+J7</f>
        <v/>
      </c>
      <c r="L7" s="27" t="n"/>
      <c r="M7" s="26">
        <f>IF(ISNUMBER(L7),L7,calc_crf*K7)</f>
        <v/>
      </c>
      <c r="N7" s="26">
        <f>calc_crf*D7</f>
        <v/>
      </c>
      <c r="O7" s="26">
        <f>calc_crf*E7</f>
        <v/>
      </c>
      <c r="P7" s="26">
        <f>calc_crf*F7</f>
        <v/>
      </c>
      <c r="Q7" s="26">
        <f>calc_crf*I7</f>
        <v/>
      </c>
      <c r="R7" s="26">
        <f>calc_crf*J7</f>
        <v/>
      </c>
    </row>
    <row r="8">
      <c r="A8" s="10">
        <f>B8&amp;"|"&amp;C8</f>
        <v/>
      </c>
      <c r="B8" s="4" t="inlineStr">
        <is>
          <t>A</t>
        </is>
      </c>
      <c r="C8" s="4" t="inlineStr">
        <is>
          <t>A2</t>
        </is>
      </c>
      <c r="D8" s="24" t="n">
        <v>180000</v>
      </c>
      <c r="E8" s="24" t="n"/>
      <c r="F8" s="24" t="n"/>
      <c r="G8" s="17" t="n">
        <v>4</v>
      </c>
      <c r="H8" s="25">
        <f>D8</f>
        <v/>
      </c>
      <c r="I8" s="26">
        <f>IF(OR(G8=0,in_rate=0,H8=0),0,H8/G8*(IF(in_idc_method="START",1+((1+in_rate)^(1/in_ppy)-1),IF(in_idc_method="MIDDLE",1+((1+in_rate)^(1/in_ppy)-1)/2,1))*((1+in_rate)^(G8/in_ppy)-1)/((1+in_rate)^(1/in_ppy)-1)-G8))</f>
        <v/>
      </c>
      <c r="J8" s="26">
        <f>SUMIFS(OMRRR!$S$5:$S$5,OMRRR!$A$5:$A$5,A8)</f>
        <v/>
      </c>
      <c r="K8" s="26">
        <f>SUM(D8:F8)+I8+J8</f>
        <v/>
      </c>
      <c r="L8" s="27" t="n"/>
      <c r="M8" s="26">
        <f>IF(ISNUMBER(L8),L8,calc_crf*K8)</f>
        <v/>
      </c>
      <c r="N8" s="26">
        <f>calc_crf*D8</f>
        <v/>
      </c>
      <c r="O8" s="26">
        <f>calc_crf*E8</f>
        <v/>
      </c>
      <c r="P8" s="26">
        <f>calc_crf*F8</f>
        <v/>
      </c>
      <c r="Q8" s="26">
        <f>calc_crf*I8</f>
        <v/>
      </c>
      <c r="R8" s="26">
        <f>calc_crf*J8</f>
        <v/>
      </c>
    </row>
    <row r="9">
      <c r="A9" s="10">
        <f>B9&amp;"|"&amp;C9</f>
        <v/>
      </c>
      <c r="B9" s="4" t="inlineStr">
        <is>
          <t>B</t>
        </is>
      </c>
      <c r="C9" s="4" t="inlineStr">
        <is>
          <t>NA</t>
        </is>
      </c>
      <c r="D9" s="24" t="n">
        <v>0</v>
      </c>
      <c r="E9" s="24" t="n"/>
      <c r="F9" s="24" t="n"/>
      <c r="G9" s="17" t="n">
        <v>4</v>
      </c>
      <c r="H9" s="25">
        <f>D9</f>
        <v/>
      </c>
      <c r="I9" s="26">
        <f>IF(OR(G9=0,in_rate=0,H9=0),0,H9/G9*(IF(in_idc_method="START",1+((1+in_rate)^(1/in_ppy)-1),IF(in_idc_method="MIDDLE",1+((1+in_rate)^(1/in_ppy)-1)/2,1))*((1+in_rate)^(G9/in_ppy)-1)/((1+in_rate)^(1/in_ppy)-1)-G9))</f>
        <v/>
      </c>
      <c r="J9" s="26">
        <f>SUMIFS(OMRRR!$S$5:$S$5,OMRRR!$A$5:$A$5,A9)</f>
        <v/>
      </c>
      <c r="K9" s="26">
        <f>SUM(D9:F9)+I9+J9</f>
        <v/>
      </c>
      <c r="L9" s="27" t="n"/>
      <c r="M9" s="26">
        <f>IF(ISNUMBER(L9),L9,calc_crf*K9)</f>
        <v/>
      </c>
      <c r="N9" s="26">
        <f>calc_crf*D9</f>
        <v/>
      </c>
      <c r="O9" s="26">
        <f>calc_crf*E9</f>
        <v/>
      </c>
      <c r="P9" s="26">
        <f>calc_crf*F9</f>
        <v/>
      </c>
      <c r="Q9" s="26">
        <f>calc_crf*I9</f>
        <v/>
      </c>
      <c r="R9" s="26">
        <f>calc_crf*J9</f>
        <v/>
      </c>
    </row>
    <row r="10">
      <c r="A10" s="10">
        <f>B10&amp;"|"&amp;C10</f>
        <v/>
      </c>
      <c r="B10" s="4" t="inlineStr">
        <is>
          <t>B</t>
        </is>
      </c>
      <c r="C10" s="4" t="inlineStr">
        <is>
          <t>B1</t>
        </is>
      </c>
      <c r="D10" s="24" t="n">
        <v>300000</v>
      </c>
      <c r="E10" s="24" t="n"/>
      <c r="F10" s="24" t="n"/>
      <c r="G10" s="17" t="n">
        <v>4</v>
      </c>
      <c r="H10" s="25">
        <f>D10</f>
        <v/>
      </c>
      <c r="I10" s="26">
        <f>IF(OR(G10=0,in_rate=0,H10=0),0,H10/G10*(IF(in_idc_method="START",1+((1+in_rate)^(1/in_ppy)-1),IF(in_idc_method="MIDDLE",1+((1+in_rate)^(1/in_ppy)-1)/2,1))*((1+in_rate)^(G10/in_ppy)-1)/((1+in_rate)^(1/in_ppy)-1)-G10))</f>
        <v/>
      </c>
      <c r="J10" s="26">
        <f>SUMIFS(OMRRR!$S$5:$S$5,OMRRR!$A$5:$A$5,A10)</f>
        <v/>
      </c>
      <c r="K10" s="26">
        <f>SUM(D10:F10)+I10+J10</f>
        <v/>
      </c>
      <c r="L10" s="27" t="n"/>
      <c r="M10" s="26">
        <f>IF(ISNUMBER(L10),L10,calc_crf*K10)</f>
        <v/>
      </c>
      <c r="N10" s="26">
        <f>calc_crf*D10</f>
        <v/>
      </c>
      <c r="O10" s="26">
        <f>calc_crf*E10</f>
        <v/>
      </c>
      <c r="P10" s="26">
        <f>calc_crf*F10</f>
        <v/>
      </c>
      <c r="Q10" s="26">
        <f>calc_crf*I10</f>
        <v/>
      </c>
      <c r="R10" s="26">
        <f>calc_crf*J10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mergeCells count="1">
    <mergeCell ref="N3:R3"/>
  </mergeCells>
  <conditionalFormatting sqref="D6:G10">
    <cfRule type="expression" priority="1" dxfId="0" stopIfTrue="0">
      <formula>D6&lt;&gt;'snap Costs'!D6</formula>
    </cfRule>
  </conditionalFormatting>
  <conditionalFormatting sqref="L6:L10">
    <cfRule type="expression" priority="2" dxfId="0" stopIfTrue="0">
      <formula>L6&lt;&gt;'snap Costs'!L6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6" customWidth="1" style="8" min="4" max="4"/>
    <col width="9" customWidth="1" style="8" min="5" max="5"/>
    <col width="12" customWidth="1" style="8" min="6" max="6"/>
    <col width="9" customWidth="1" style="8" min="7" max="7"/>
    <col width="13" customWidth="1" style="8" min="8" max="8"/>
    <col width="10" customWidth="1" style="8" min="9" max="9"/>
    <col width="11" customWidth="1" style="8" min="10" max="10"/>
    <col width="9" customWidth="1" style="8" min="11" max="11"/>
    <col width="8" customWidth="1" style="8" min="12" max="12"/>
    <col width="8" customWidth="1" style="8" min="13" max="13"/>
    <col width="13" customWidth="1" style="8" min="14" max="14"/>
    <col width="7" customWidth="1" style="8" min="15" max="15"/>
    <col width="7" customWidth="1" style="8" min="16" max="16"/>
    <col width="11" customWidth="1" style="8" min="17" max="17"/>
    <col width="14" customWidth="1" style="8" min="18" max="18"/>
    <col width="14" customWidth="1" style="8" min="19" max="19"/>
  </cols>
  <sheetData>
    <row r="1">
      <c r="A1" s="1" t="inlineStr">
        <is>
          <t>OMRRR: recurring operation, maintenance, repair, replacement and rehabilitation</t>
        </is>
      </c>
    </row>
    <row r="2">
      <c r="A2" s="2" t="inlineStr">
        <is>
          <t>Each item costs the amount per occurrence every N years from the first year to the last (blank: every N years through the period of analysis). Basis: FIXED amount, PERCENT of a first-cost category, or RATE x quantity.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Item</t>
        </is>
      </c>
      <c r="E4" s="12" t="inlineStr">
        <is>
          <t>Basis</t>
        </is>
      </c>
      <c r="F4" s="12" t="inlineStr">
        <is>
          <t>Amount</t>
        </is>
      </c>
      <c r="G4" s="12" t="inlineStr">
        <is>
          <t>Percent</t>
        </is>
      </c>
      <c r="H4" s="12" t="inlineStr">
        <is>
          <t>Category</t>
        </is>
      </c>
      <c r="I4" s="12" t="inlineStr">
        <is>
          <t>Unit rate</t>
        </is>
      </c>
      <c r="J4" s="12" t="inlineStr">
        <is>
          <t>Quantity</t>
        </is>
      </c>
      <c r="K4" s="12" t="inlineStr">
        <is>
          <t>Every N years</t>
        </is>
      </c>
      <c r="L4" s="12" t="inlineStr">
        <is>
          <t>First year</t>
        </is>
      </c>
      <c r="M4" s="12" t="inlineStr">
        <is>
          <t>Last year</t>
        </is>
      </c>
      <c r="N4" s="12" t="inlineStr">
        <is>
          <t>Amount per occurrence</t>
        </is>
      </c>
      <c r="O4" s="12" t="inlineStr">
        <is>
          <t>First</t>
        </is>
      </c>
      <c r="P4" s="12" t="inlineStr">
        <is>
          <t>Last</t>
        </is>
      </c>
      <c r="Q4" s="12" t="inlineStr">
        <is>
          <t>Occurrences</t>
        </is>
      </c>
      <c r="R4" s="12" t="inlineStr">
        <is>
          <t>Present value, end of year</t>
        </is>
      </c>
      <c r="S4" s="12" t="inlineStr">
        <is>
          <t>Present value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6" customWidth="1" style="8" min="4" max="4"/>
    <col width="8" customWidth="1" style="8" min="5" max="5"/>
    <col width="13" customWidth="1" style="8" min="6" max="6"/>
    <col width="12" customWidth="1" style="8" min="7" max="7"/>
    <col width="14" customWidth="1" style="8" min="8" max="8"/>
    <col width="14" customWidth="1" style="8" min="9" max="9"/>
    <col width="14" customWidth="1" style="8" min="10" max="10"/>
    <col width="14" customWidth="1" style="8" min="11" max="11"/>
    <col width="14" customWidth="1" style="8" min="12" max="12"/>
    <col width="14" customWidth="1" style="8" min="13" max="13"/>
    <col width="13" customWidth="1" style="8" min="14" max="14"/>
  </cols>
  <sheetData>
    <row r="1">
      <c r="A1" s="1" t="inlineStr">
        <is>
          <t>Summary of inputs to CE/ICA</t>
        </is>
      </c>
    </row>
    <row r="2">
      <c r="A2" s="2" t="inlineStr">
        <is>
          <t>Lift is each alternative's AAHU above No Action; the CE/ICA cost is its average annual cost above No Action.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Name</t>
        </is>
      </c>
      <c r="E4" s="12" t="inlineStr">
        <is>
          <t>No Action</t>
        </is>
      </c>
      <c r="F4" s="12" t="inlineStr">
        <is>
          <t>Outputs (AAHU)</t>
        </is>
      </c>
      <c r="G4" s="12" t="inlineStr">
        <is>
          <t>Lift (AAHU)</t>
        </is>
      </c>
      <c r="H4" s="12" t="inlineStr">
        <is>
          <t>Construction cost</t>
        </is>
      </c>
      <c r="I4" s="12" t="inlineStr">
        <is>
          <t>First costs</t>
        </is>
      </c>
      <c r="J4" s="12" t="inlineStr">
        <is>
          <t>Interest during construction</t>
        </is>
      </c>
      <c r="K4" s="12" t="inlineStr">
        <is>
          <t>OMRRR present value</t>
        </is>
      </c>
      <c r="L4" s="12" t="inlineStr">
        <is>
          <t>Average annual cost</t>
        </is>
      </c>
      <c r="M4" s="12" t="inlineStr">
        <is>
          <t>Cost above No Action</t>
        </is>
      </c>
      <c r="N4" s="12" t="inlineStr">
        <is>
          <t>Unit cost ($/AAHU)</t>
        </is>
      </c>
    </row>
    <row r="5">
      <c r="A5" s="10">
        <f>B5&amp;"|"&amp;C5</f>
        <v/>
      </c>
      <c r="B5" s="4" t="inlineStr">
        <is>
          <t>A</t>
        </is>
      </c>
      <c r="C5" s="4" t="inlineStr">
        <is>
          <t>NA</t>
        </is>
      </c>
      <c r="D5" s="4" t="inlineStr">
        <is>
          <t>NA</t>
        </is>
      </c>
      <c r="E5" s="4" t="n">
        <v>1</v>
      </c>
      <c r="F5" s="20">
        <f>SUMIFS(Benefits!$O$6:$O$20,Benefits!$A$6:$A$20,A5)</f>
        <v/>
      </c>
      <c r="G5" s="20">
        <f>F5-$F$5</f>
        <v/>
      </c>
      <c r="H5" s="25">
        <f>Costs!D6</f>
        <v/>
      </c>
      <c r="I5" s="25">
        <f>SUM(Costs!D6:F6)</f>
        <v/>
      </c>
      <c r="J5" s="25">
        <f>Costs!I6</f>
        <v/>
      </c>
      <c r="K5" s="25">
        <f>Costs!J6</f>
        <v/>
      </c>
      <c r="L5" s="26">
        <f>Costs!M6</f>
        <v/>
      </c>
      <c r="M5" s="26">
        <f>L5-$L$5</f>
        <v/>
      </c>
      <c r="N5" s="25">
        <f>IF(G5&gt;0,M5/G5,"n/a")</f>
        <v/>
      </c>
    </row>
    <row r="6">
      <c r="A6" s="10">
        <f>B6&amp;"|"&amp;C6</f>
        <v/>
      </c>
      <c r="B6" s="4" t="inlineStr">
        <is>
          <t>A</t>
        </is>
      </c>
      <c r="C6" s="4" t="inlineStr">
        <is>
          <t>A1</t>
        </is>
      </c>
      <c r="D6" s="4" t="inlineStr">
        <is>
          <t>A1</t>
        </is>
      </c>
      <c r="E6" s="4" t="n">
        <v>0</v>
      </c>
      <c r="F6" s="20">
        <f>SUMIFS(Benefits!$O$6:$O$20,Benefits!$A$6:$A$20,A6)</f>
        <v/>
      </c>
      <c r="G6" s="20">
        <f>F6-$F$5</f>
        <v/>
      </c>
      <c r="H6" s="25">
        <f>Costs!D7</f>
        <v/>
      </c>
      <c r="I6" s="25">
        <f>SUM(Costs!D7:F7)</f>
        <v/>
      </c>
      <c r="J6" s="25">
        <f>Costs!I7</f>
        <v/>
      </c>
      <c r="K6" s="25">
        <f>Costs!J7</f>
        <v/>
      </c>
      <c r="L6" s="26">
        <f>Costs!M7</f>
        <v/>
      </c>
      <c r="M6" s="26">
        <f>L6-$L$5</f>
        <v/>
      </c>
      <c r="N6" s="25">
        <f>IF(G6&gt;0,M6/G6,"n/a")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A2</t>
        </is>
      </c>
      <c r="D7" s="4" t="inlineStr">
        <is>
          <t>A2</t>
        </is>
      </c>
      <c r="E7" s="4" t="n">
        <v>0</v>
      </c>
      <c r="F7" s="20">
        <f>SUMIFS(Benefits!$O$6:$O$20,Benefits!$A$6:$A$20,A7)</f>
        <v/>
      </c>
      <c r="G7" s="20">
        <f>F7-$F$5</f>
        <v/>
      </c>
      <c r="H7" s="25">
        <f>Costs!D8</f>
        <v/>
      </c>
      <c r="I7" s="25">
        <f>SUM(Costs!D8:F8)</f>
        <v/>
      </c>
      <c r="J7" s="25">
        <f>Costs!I8</f>
        <v/>
      </c>
      <c r="K7" s="25">
        <f>Costs!J8</f>
        <v/>
      </c>
      <c r="L7" s="26">
        <f>Costs!M8</f>
        <v/>
      </c>
      <c r="M7" s="26">
        <f>L7-$L$5</f>
        <v/>
      </c>
      <c r="N7" s="25">
        <f>IF(G7&gt;0,M7/G7,"n/a")</f>
        <v/>
      </c>
    </row>
    <row r="8">
      <c r="A8" s="10">
        <f>B8&amp;"|"&amp;C8</f>
        <v/>
      </c>
      <c r="B8" s="4" t="inlineStr">
        <is>
          <t>B</t>
        </is>
      </c>
      <c r="C8" s="4" t="inlineStr">
        <is>
          <t>NA</t>
        </is>
      </c>
      <c r="D8" s="4" t="inlineStr">
        <is>
          <t>NA</t>
        </is>
      </c>
      <c r="E8" s="4" t="n">
        <v>1</v>
      </c>
      <c r="F8" s="20">
        <f>SUMIFS(Benefits!$O$6:$O$20,Benefits!$A$6:$A$20,A8)</f>
        <v/>
      </c>
      <c r="G8" s="20">
        <f>F8-$F$8</f>
        <v/>
      </c>
      <c r="H8" s="25">
        <f>Costs!D9</f>
        <v/>
      </c>
      <c r="I8" s="25">
        <f>SUM(Costs!D9:F9)</f>
        <v/>
      </c>
      <c r="J8" s="25">
        <f>Costs!I9</f>
        <v/>
      </c>
      <c r="K8" s="25">
        <f>Costs!J9</f>
        <v/>
      </c>
      <c r="L8" s="26">
        <f>Costs!M9</f>
        <v/>
      </c>
      <c r="M8" s="26">
        <f>L8-$L$8</f>
        <v/>
      </c>
      <c r="N8" s="25">
        <f>IF(G8&gt;0,M8/G8,"n/a")</f>
        <v/>
      </c>
    </row>
    <row r="9">
      <c r="A9" s="10">
        <f>B9&amp;"|"&amp;C9</f>
        <v/>
      </c>
      <c r="B9" s="4" t="inlineStr">
        <is>
          <t>B</t>
        </is>
      </c>
      <c r="C9" s="4" t="inlineStr">
        <is>
          <t>B1</t>
        </is>
      </c>
      <c r="D9" s="4" t="inlineStr">
        <is>
          <t>B1</t>
        </is>
      </c>
      <c r="E9" s="4" t="n">
        <v>0</v>
      </c>
      <c r="F9" s="20">
        <f>SUMIFS(Benefits!$O$6:$O$20,Benefits!$A$6:$A$20,A9)</f>
        <v/>
      </c>
      <c r="G9" s="20">
        <f>F9-$F$8</f>
        <v/>
      </c>
      <c r="H9" s="25">
        <f>Costs!D10</f>
        <v/>
      </c>
      <c r="I9" s="25">
        <f>SUM(Costs!D10:F10)</f>
        <v/>
      </c>
      <c r="J9" s="25">
        <f>Costs!I10</f>
        <v/>
      </c>
      <c r="K9" s="25">
        <f>Costs!J10</f>
        <v/>
      </c>
      <c r="L9" s="26">
        <f>Costs!M10</f>
        <v/>
      </c>
      <c r="M9" s="26">
        <f>L9-$L$8</f>
        <v/>
      </c>
      <c r="N9" s="25">
        <f>IF(G9&gt;0,M9/G9,"n/a")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2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4" customWidth="1" style="8" min="4" max="4"/>
    <col width="8" customWidth="1" style="8" min="5" max="5"/>
    <col width="7" customWidth="1" style="8" min="6" max="6"/>
    <col width="11" customWidth="1" style="8" min="7" max="7"/>
    <col width="13" customWidth="1" style="8" min="8" max="8"/>
    <col hidden="1" width="11" customWidth="1" style="8" min="9" max="9"/>
    <col hidden="1" width="11" customWidth="1" style="8" min="10" max="10"/>
    <col hidden="1" width="8" customWidth="1" style="8" min="11" max="11"/>
    <col width="9" customWidth="1" style="8" min="12" max="12"/>
    <col hidden="1" width="8" customWidth="1" style="8" min="13" max="13"/>
    <col hidden="1" width="11" customWidth="1" style="8" min="14" max="14"/>
    <col hidden="1" width="11" customWidth="1" style="8" min="15" max="15"/>
    <col width="7" customWidth="1" style="8" min="16" max="16"/>
    <col hidden="1" width="8" customWidth="1" style="8" min="17" max="17"/>
    <col hidden="1" width="11" customWidth="1" style="8" min="18" max="18"/>
    <col hidden="1" width="11" customWidth="1" style="8" min="19" max="19"/>
    <col width="11" customWidth="1" style="8" min="20" max="20"/>
    <col width="13" customWidth="1" style="8" min="21" max="21"/>
    <col width="13" customWidth="1" style="8" min="22" max="22"/>
    <col width="11" customWidth="1" style="8" min="23" max="23"/>
    <col width="11" customWidth="1" style="8" min="24" max="24"/>
  </cols>
  <sheetData>
    <row r="1">
      <c r="A1" s="1" t="inlineStr">
        <is>
          <t>Site-by-site CE/ICA</t>
        </is>
      </c>
    </row>
    <row r="2">
      <c r="A2" s="2" t="inlineStr">
        <is>
          <t>Cost-effective: no alternative gives the same output for less, or more output for no more. Best buy: on the lower hull from No Action (IWR Planning Suite II rules).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Name</t>
        </is>
      </c>
      <c r="E4" s="12" t="inlineStr">
        <is>
          <t>No Action</t>
        </is>
      </c>
      <c r="F4" s="12" t="inlineStr">
        <is>
          <t>Ordinal</t>
        </is>
      </c>
      <c r="G4" s="12" t="inlineStr">
        <is>
          <t>Lift (AAHU)</t>
        </is>
      </c>
      <c r="H4" s="12" t="inlineStr">
        <is>
          <t>Cost above No Action</t>
        </is>
      </c>
      <c r="I4" s="12" t="inlineStr">
        <is>
          <t>Lift (scaled)</t>
        </is>
      </c>
      <c r="J4" s="12" t="inlineStr">
        <is>
          <t>Cost (scaled)</t>
        </is>
      </c>
      <c r="K4" s="12" t="inlineStr">
        <is>
          <t>Dominated by</t>
        </is>
      </c>
      <c r="L4" s="12" t="inlineStr">
        <is>
          <t>Cost-effective</t>
        </is>
      </c>
      <c r="M4" s="12" t="inlineStr">
        <is>
          <t>Candidate</t>
        </is>
      </c>
      <c r="N4" s="12" t="inlineStr">
        <is>
          <t>Slope in (max)</t>
        </is>
      </c>
      <c r="O4" s="12" t="inlineStr">
        <is>
          <t>Slope out (min)</t>
        </is>
      </c>
      <c r="P4" s="12" t="inlineStr">
        <is>
          <t>Best buy</t>
        </is>
      </c>
      <c r="Q4" s="12" t="inlineStr">
        <is>
          <t>Best-buy step</t>
        </is>
      </c>
      <c r="R4" s="12" t="inlineStr">
        <is>
          <t>Previous lift (scaled)</t>
        </is>
      </c>
      <c r="S4" s="12" t="inlineStr">
        <is>
          <t>Previous cost (scaled)</t>
        </is>
      </c>
      <c r="T4" s="12" t="inlineStr">
        <is>
          <t>Incremental output</t>
        </is>
      </c>
      <c r="U4" s="12" t="inlineStr">
        <is>
          <t>Incremental cost</t>
        </is>
      </c>
      <c r="V4" s="12" t="inlineStr">
        <is>
          <t>Incremental cost per unit</t>
        </is>
      </c>
      <c r="W4" s="12" t="inlineStr">
        <is>
          <t>Unit cost</t>
        </is>
      </c>
      <c r="X4" s="12" t="inlineStr">
        <is>
          <t>Recommended</t>
        </is>
      </c>
    </row>
    <row r="5">
      <c r="B5" s="7" t="inlineStr">
        <is>
          <t>A</t>
        </is>
      </c>
    </row>
    <row r="6">
      <c r="A6" s="10">
        <f>B6&amp;"|"&amp;C6</f>
        <v/>
      </c>
      <c r="B6" s="4" t="inlineStr">
        <is>
          <t>A</t>
        </is>
      </c>
      <c r="C6" s="4" t="inlineStr">
        <is>
          <t>NA</t>
        </is>
      </c>
      <c r="D6" s="4" t="inlineStr">
        <is>
          <t>NA</t>
        </is>
      </c>
      <c r="E6" s="4" t="n">
        <v>1</v>
      </c>
      <c r="F6" s="4" t="n">
        <v>1</v>
      </c>
      <c r="G6" s="20">
        <f>Summary!G5</f>
        <v/>
      </c>
      <c r="H6" s="26">
        <f>Summary!M5</f>
        <v/>
      </c>
      <c r="I6" s="6">
        <f>ROUND(G6*10^in_out_dp,0)</f>
        <v/>
      </c>
      <c r="J6" s="6">
        <f>ROUND(H6*10^in_cost_dp,0)</f>
        <v/>
      </c>
      <c r="K6" s="10">
        <f>SUMPRODUCT(($I$6:$I$8=I6)*($J$6:$J$8&lt;J6)+($I$6:$I$8&gt;I6)*($J$6:$J$8&lt;=J6))</f>
        <v/>
      </c>
      <c r="L6" s="10">
        <f>IF(OR(E6=1,K6=0),1,0)</f>
        <v/>
      </c>
      <c r="M6" s="10">
        <f>IF(AND(L6=1,E6=0,I6&gt;0),1,0)</f>
        <v/>
      </c>
      <c r="N6" s="28">
        <f>IF(M6=1,MAX(J6/I6,SUMPRODUCT(MAX(((J6-$J$6:$J$8)*($M$6:$M$8*($I$6:$I$8&lt;I6)))/((I6-$I$6:$I$8)*($M$6:$M$8*($I$6:$I$8&lt;I6))+1-($M$6:$M$8*($I$6:$I$8&lt;I6)))-(1-($M$6:$M$8*($I$6:$I$8&lt;I6)))*1E+300))),0)</f>
        <v/>
      </c>
      <c r="O6" s="28">
        <f>IF(M6=1,SUMPRODUCT(MIN(((($J$6:$J$8-J6)*($M$6:$M$8*($I$6:$I$8&gt;I6)))/(($I$6:$I$8-I6)*($M$6:$M$8*($I$6:$I$8&gt;I6))+1-($M$6:$M$8*($I$6:$I$8&gt;I6)))+(1-($M$6:$M$8*($I$6:$I$8&gt;I6)))*1E+300))),0)</f>
        <v/>
      </c>
      <c r="P6" s="10">
        <f>IF(E6=1,1,IF(AND(M6=1,N6&lt;=O6),1,0))</f>
        <v/>
      </c>
      <c r="Q6" s="10">
        <f>IF(P6=1,1+SUMPRODUCT($P$6:$P$8*(($I$6:$I$8&lt;I6)+($I$6:$I$8=I6)*($F$6:$F$8&lt;F6))),0)</f>
        <v/>
      </c>
      <c r="R6" s="10">
        <f>IF(Q6&lt;=1,0,SUMPRODUCT(($Q$6:$Q$8=Q6-1)*$I$6:$I$8))</f>
        <v/>
      </c>
      <c r="S6" s="10">
        <f>IF(Q6&lt;=1,0,SUMPRODUCT(($Q$6:$Q$8=Q6-1)*$J$6:$J$8))</f>
        <v/>
      </c>
      <c r="T6" s="20">
        <f>IF(Q6=0,"",(I6-R6)/10^in_out_dp)</f>
        <v/>
      </c>
      <c r="U6" s="26">
        <f>IF(Q6=0,"",(J6-S6)/10^in_cost_dp)</f>
        <v/>
      </c>
      <c r="V6" s="26">
        <f>IF(Q6=0,"",IF(I6=R6,0,U6/T6))</f>
        <v/>
      </c>
      <c r="W6" s="26">
        <f>IF(I6&gt;0,(J6/10^in_cost_dp)/(I6/10^in_out_dp),"n/a")</f>
        <v/>
      </c>
      <c r="X6" s="10">
        <f>IF(Sites!$C$5=C6,1,0)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A1</t>
        </is>
      </c>
      <c r="D7" s="4" t="inlineStr">
        <is>
          <t>A1</t>
        </is>
      </c>
      <c r="E7" s="4" t="n">
        <v>0</v>
      </c>
      <c r="F7" s="4" t="n">
        <v>2</v>
      </c>
      <c r="G7" s="20">
        <f>Summary!G6</f>
        <v/>
      </c>
      <c r="H7" s="26">
        <f>Summary!M6</f>
        <v/>
      </c>
      <c r="I7" s="6">
        <f>ROUND(G7*10^in_out_dp,0)</f>
        <v/>
      </c>
      <c r="J7" s="6">
        <f>ROUND(H7*10^in_cost_dp,0)</f>
        <v/>
      </c>
      <c r="K7" s="10">
        <f>SUMPRODUCT(($I$6:$I$8=I7)*($J$6:$J$8&lt;J7)+($I$6:$I$8&gt;I7)*($J$6:$J$8&lt;=J7))</f>
        <v/>
      </c>
      <c r="L7" s="10">
        <f>IF(OR(E7=1,K7=0),1,0)</f>
        <v/>
      </c>
      <c r="M7" s="10">
        <f>IF(AND(L7=1,E7=0,I7&gt;0),1,0)</f>
        <v/>
      </c>
      <c r="N7" s="28">
        <f>IF(M7=1,MAX(J7/I7,SUMPRODUCT(MAX(((J7-$J$6:$J$8)*($M$6:$M$8*($I$6:$I$8&lt;I7)))/((I7-$I$6:$I$8)*($M$6:$M$8*($I$6:$I$8&lt;I7))+1-($M$6:$M$8*($I$6:$I$8&lt;I7)))-(1-($M$6:$M$8*($I$6:$I$8&lt;I7)))*1E+300))),0)</f>
        <v/>
      </c>
      <c r="O7" s="28">
        <f>IF(M7=1,SUMPRODUCT(MIN(((($J$6:$J$8-J7)*($M$6:$M$8*($I$6:$I$8&gt;I7)))/(($I$6:$I$8-I7)*($M$6:$M$8*($I$6:$I$8&gt;I7))+1-($M$6:$M$8*($I$6:$I$8&gt;I7)))+(1-($M$6:$M$8*($I$6:$I$8&gt;I7)))*1E+300))),0)</f>
        <v/>
      </c>
      <c r="P7" s="10">
        <f>IF(E7=1,1,IF(AND(M7=1,N7&lt;=O7),1,0))</f>
        <v/>
      </c>
      <c r="Q7" s="10">
        <f>IF(P7=1,1+SUMPRODUCT($P$6:$P$8*(($I$6:$I$8&lt;I7)+($I$6:$I$8=I7)*($F$6:$F$8&lt;F7))),0)</f>
        <v/>
      </c>
      <c r="R7" s="10">
        <f>IF(Q7&lt;=1,0,SUMPRODUCT(($Q$6:$Q$8=Q7-1)*$I$6:$I$8))</f>
        <v/>
      </c>
      <c r="S7" s="10">
        <f>IF(Q7&lt;=1,0,SUMPRODUCT(($Q$6:$Q$8=Q7-1)*$J$6:$J$8))</f>
        <v/>
      </c>
      <c r="T7" s="20">
        <f>IF(Q7=0,"",(I7-R7)/10^in_out_dp)</f>
        <v/>
      </c>
      <c r="U7" s="26">
        <f>IF(Q7=0,"",(J7-S7)/10^in_cost_dp)</f>
        <v/>
      </c>
      <c r="V7" s="26">
        <f>IF(Q7=0,"",IF(I7=R7,0,U7/T7))</f>
        <v/>
      </c>
      <c r="W7" s="26">
        <f>IF(I7&gt;0,(J7/10^in_cost_dp)/(I7/10^in_out_dp),"n/a")</f>
        <v/>
      </c>
      <c r="X7" s="10">
        <f>IF(Sites!$C$5=C7,1,0)</f>
        <v/>
      </c>
    </row>
    <row r="8">
      <c r="A8" s="10">
        <f>B8&amp;"|"&amp;C8</f>
        <v/>
      </c>
      <c r="B8" s="4" t="inlineStr">
        <is>
          <t>A</t>
        </is>
      </c>
      <c r="C8" s="4" t="inlineStr">
        <is>
          <t>A2</t>
        </is>
      </c>
      <c r="D8" s="4" t="inlineStr">
        <is>
          <t>A2</t>
        </is>
      </c>
      <c r="E8" s="4" t="n">
        <v>0</v>
      </c>
      <c r="F8" s="4" t="n">
        <v>3</v>
      </c>
      <c r="G8" s="20">
        <f>Summary!G7</f>
        <v/>
      </c>
      <c r="H8" s="26">
        <f>Summary!M7</f>
        <v/>
      </c>
      <c r="I8" s="6">
        <f>ROUND(G8*10^in_out_dp,0)</f>
        <v/>
      </c>
      <c r="J8" s="6">
        <f>ROUND(H8*10^in_cost_dp,0)</f>
        <v/>
      </c>
      <c r="K8" s="10">
        <f>SUMPRODUCT(($I$6:$I$8=I8)*($J$6:$J$8&lt;J8)+($I$6:$I$8&gt;I8)*($J$6:$J$8&lt;=J8))</f>
        <v/>
      </c>
      <c r="L8" s="10">
        <f>IF(OR(E8=1,K8=0),1,0)</f>
        <v/>
      </c>
      <c r="M8" s="10">
        <f>IF(AND(L8=1,E8=0,I8&gt;0),1,0)</f>
        <v/>
      </c>
      <c r="N8" s="28">
        <f>IF(M8=1,MAX(J8/I8,SUMPRODUCT(MAX(((J8-$J$6:$J$8)*($M$6:$M$8*($I$6:$I$8&lt;I8)))/((I8-$I$6:$I$8)*($M$6:$M$8*($I$6:$I$8&lt;I8))+1-($M$6:$M$8*($I$6:$I$8&lt;I8)))-(1-($M$6:$M$8*($I$6:$I$8&lt;I8)))*1E+300))),0)</f>
        <v/>
      </c>
      <c r="O8" s="28">
        <f>IF(M8=1,SUMPRODUCT(MIN(((($J$6:$J$8-J8)*($M$6:$M$8*($I$6:$I$8&gt;I8)))/(($I$6:$I$8-I8)*($M$6:$M$8*($I$6:$I$8&gt;I8))+1-($M$6:$M$8*($I$6:$I$8&gt;I8)))+(1-($M$6:$M$8*($I$6:$I$8&gt;I8)))*1E+300))),0)</f>
        <v/>
      </c>
      <c r="P8" s="10">
        <f>IF(E8=1,1,IF(AND(M8=1,N8&lt;=O8),1,0))</f>
        <v/>
      </c>
      <c r="Q8" s="10">
        <f>IF(P8=1,1+SUMPRODUCT($P$6:$P$8*(($I$6:$I$8&lt;I8)+($I$6:$I$8=I8)*($F$6:$F$8&lt;F8))),0)</f>
        <v/>
      </c>
      <c r="R8" s="10">
        <f>IF(Q8&lt;=1,0,SUMPRODUCT(($Q$6:$Q$8=Q8-1)*$I$6:$I$8))</f>
        <v/>
      </c>
      <c r="S8" s="10">
        <f>IF(Q8&lt;=1,0,SUMPRODUCT(($Q$6:$Q$8=Q8-1)*$J$6:$J$8))</f>
        <v/>
      </c>
      <c r="T8" s="20">
        <f>IF(Q8=0,"",(I8-R8)/10^in_out_dp)</f>
        <v/>
      </c>
      <c r="U8" s="26">
        <f>IF(Q8=0,"",(J8-S8)/10^in_cost_dp)</f>
        <v/>
      </c>
      <c r="V8" s="26">
        <f>IF(Q8=0,"",IF(I8=R8,0,U8/T8))</f>
        <v/>
      </c>
      <c r="W8" s="26">
        <f>IF(I8&gt;0,(J8/10^in_cost_dp)/(I8/10^in_out_dp),"n/a")</f>
        <v/>
      </c>
      <c r="X8" s="10">
        <f>IF(Sites!$C$5=C8,1,0)</f>
        <v/>
      </c>
    </row>
    <row r="10">
      <c r="B10" s="7" t="inlineStr">
        <is>
          <t>B</t>
        </is>
      </c>
    </row>
    <row r="11">
      <c r="A11" s="10">
        <f>B11&amp;"|"&amp;C11</f>
        <v/>
      </c>
      <c r="B11" s="4" t="inlineStr">
        <is>
          <t>B</t>
        </is>
      </c>
      <c r="C11" s="4" t="inlineStr">
        <is>
          <t>NA</t>
        </is>
      </c>
      <c r="D11" s="4" t="inlineStr">
        <is>
          <t>NA</t>
        </is>
      </c>
      <c r="E11" s="4" t="n">
        <v>1</v>
      </c>
      <c r="F11" s="4" t="n">
        <v>1</v>
      </c>
      <c r="G11" s="20">
        <f>Summary!G8</f>
        <v/>
      </c>
      <c r="H11" s="26">
        <f>Summary!M8</f>
        <v/>
      </c>
      <c r="I11" s="6">
        <f>ROUND(G11*10^in_out_dp,0)</f>
        <v/>
      </c>
      <c r="J11" s="6">
        <f>ROUND(H11*10^in_cost_dp,0)</f>
        <v/>
      </c>
      <c r="K11" s="10">
        <f>SUMPRODUCT(($I$11:$I$12=I11)*($J$11:$J$12&lt;J11)+($I$11:$I$12&gt;I11)*($J$11:$J$12&lt;=J11))</f>
        <v/>
      </c>
      <c r="L11" s="10">
        <f>IF(OR(E11=1,K11=0),1,0)</f>
        <v/>
      </c>
      <c r="M11" s="10">
        <f>IF(AND(L11=1,E11=0,I11&gt;0),1,0)</f>
        <v/>
      </c>
      <c r="N11" s="28">
        <f>IF(M11=1,MAX(J11/I11,SUMPRODUCT(MAX(((J11-$J$11:$J$12)*($M$11:$M$12*($I$11:$I$12&lt;I11)))/((I11-$I$11:$I$12)*($M$11:$M$12*($I$11:$I$12&lt;I11))+1-($M$11:$M$12*($I$11:$I$12&lt;I11)))-(1-($M$11:$M$12*($I$11:$I$12&lt;I11)))*1E+300))),0)</f>
        <v/>
      </c>
      <c r="O11" s="28">
        <f>IF(M11=1,SUMPRODUCT(MIN(((($J$11:$J$12-J11)*($M$11:$M$12*($I$11:$I$12&gt;I11)))/(($I$11:$I$12-I11)*($M$11:$M$12*($I$11:$I$12&gt;I11))+1-($M$11:$M$12*($I$11:$I$12&gt;I11)))+(1-($M$11:$M$12*($I$11:$I$12&gt;I11)))*1E+300))),0)</f>
        <v/>
      </c>
      <c r="P11" s="10">
        <f>IF(E11=1,1,IF(AND(M11=1,N11&lt;=O11),1,0))</f>
        <v/>
      </c>
      <c r="Q11" s="10">
        <f>IF(P11=1,1+SUMPRODUCT($P$11:$P$12*(($I$11:$I$12&lt;I11)+($I$11:$I$12=I11)*($F$11:$F$12&lt;F11))),0)</f>
        <v/>
      </c>
      <c r="R11" s="10">
        <f>IF(Q11&lt;=1,0,SUMPRODUCT(($Q$11:$Q$12=Q11-1)*$I$11:$I$12))</f>
        <v/>
      </c>
      <c r="S11" s="10">
        <f>IF(Q11&lt;=1,0,SUMPRODUCT(($Q$11:$Q$12=Q11-1)*$J$11:$J$12))</f>
        <v/>
      </c>
      <c r="T11" s="20">
        <f>IF(Q11=0,"",(I11-R11)/10^in_out_dp)</f>
        <v/>
      </c>
      <c r="U11" s="26">
        <f>IF(Q11=0,"",(J11-S11)/10^in_cost_dp)</f>
        <v/>
      </c>
      <c r="V11" s="26">
        <f>IF(Q11=0,"",IF(I11=R11,0,U11/T11))</f>
        <v/>
      </c>
      <c r="W11" s="26">
        <f>IF(I11&gt;0,(J11/10^in_cost_dp)/(I11/10^in_out_dp),"n/a")</f>
        <v/>
      </c>
      <c r="X11" s="10">
        <f>IF(Sites!$C$6=C11,1,0)</f>
        <v/>
      </c>
    </row>
    <row r="12">
      <c r="A12" s="10">
        <f>B12&amp;"|"&amp;C12</f>
        <v/>
      </c>
      <c r="B12" s="4" t="inlineStr">
        <is>
          <t>B</t>
        </is>
      </c>
      <c r="C12" s="4" t="inlineStr">
        <is>
          <t>B1</t>
        </is>
      </c>
      <c r="D12" s="4" t="inlineStr">
        <is>
          <t>B1</t>
        </is>
      </c>
      <c r="E12" s="4" t="n">
        <v>0</v>
      </c>
      <c r="F12" s="4" t="n">
        <v>2</v>
      </c>
      <c r="G12" s="20">
        <f>Summary!G9</f>
        <v/>
      </c>
      <c r="H12" s="26">
        <f>Summary!M9</f>
        <v/>
      </c>
      <c r="I12" s="6">
        <f>ROUND(G12*10^in_out_dp,0)</f>
        <v/>
      </c>
      <c r="J12" s="6">
        <f>ROUND(H12*10^in_cost_dp,0)</f>
        <v/>
      </c>
      <c r="K12" s="10">
        <f>SUMPRODUCT(($I$11:$I$12=I12)*($J$11:$J$12&lt;J12)+($I$11:$I$12&gt;I12)*($J$11:$J$12&lt;=J12))</f>
        <v/>
      </c>
      <c r="L12" s="10">
        <f>IF(OR(E12=1,K12=0),1,0)</f>
        <v/>
      </c>
      <c r="M12" s="10">
        <f>IF(AND(L12=1,E12=0,I12&gt;0),1,0)</f>
        <v/>
      </c>
      <c r="N12" s="28">
        <f>IF(M12=1,MAX(J12/I12,SUMPRODUCT(MAX(((J12-$J$11:$J$12)*($M$11:$M$12*($I$11:$I$12&lt;I12)))/((I12-$I$11:$I$12)*($M$11:$M$12*($I$11:$I$12&lt;I12))+1-($M$11:$M$12*($I$11:$I$12&lt;I12)))-(1-($M$11:$M$12*($I$11:$I$12&lt;I12)))*1E+300))),0)</f>
        <v/>
      </c>
      <c r="O12" s="28">
        <f>IF(M12=1,SUMPRODUCT(MIN(((($J$11:$J$12-J12)*($M$11:$M$12*($I$11:$I$12&gt;I12)))/(($I$11:$I$12-I12)*($M$11:$M$12*($I$11:$I$12&gt;I12))+1-($M$11:$M$12*($I$11:$I$12&gt;I12)))+(1-($M$11:$M$12*($I$11:$I$12&gt;I12)))*1E+300))),0)</f>
        <v/>
      </c>
      <c r="P12" s="10">
        <f>IF(E12=1,1,IF(AND(M12=1,N12&lt;=O12),1,0))</f>
        <v/>
      </c>
      <c r="Q12" s="10">
        <f>IF(P12=1,1+SUMPRODUCT($P$11:$P$12*(($I$11:$I$12&lt;I12)+($I$11:$I$12=I12)*($F$11:$F$12&lt;F12))),0)</f>
        <v/>
      </c>
      <c r="R12" s="10">
        <f>IF(Q12&lt;=1,0,SUMPRODUCT(($Q$11:$Q$12=Q12-1)*$I$11:$I$12))</f>
        <v/>
      </c>
      <c r="S12" s="10">
        <f>IF(Q12&lt;=1,0,SUMPRODUCT(($Q$11:$Q$12=Q12-1)*$J$11:$J$12))</f>
        <v/>
      </c>
      <c r="T12" s="20">
        <f>IF(Q12=0,"",(I12-R12)/10^in_out_dp)</f>
        <v/>
      </c>
      <c r="U12" s="26">
        <f>IF(Q12=0,"",(J12-S12)/10^in_cost_dp)</f>
        <v/>
      </c>
      <c r="V12" s="26">
        <f>IF(Q12=0,"",IF(I12=R12,0,U12/T12))</f>
        <v/>
      </c>
      <c r="W12" s="26">
        <f>IF(I12&gt;0,(J12/10^in_cost_dp)/(I12/10^in_out_dp),"n/a")</f>
        <v/>
      </c>
      <c r="X12" s="10">
        <f>IF(Sites!$C$6=C12,1,0)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9" customWidth="1" style="8" min="1" max="1"/>
    <col width="28" customWidth="1" style="8" min="2" max="2"/>
    <col width="16" customWidth="1" style="8" min="3" max="3"/>
    <col width="10" customWidth="1" style="8" min="4" max="4"/>
    <col width="8" customWidth="1" style="8" min="5" max="5"/>
    <col width="12" customWidth="1" style="8" min="6" max="6"/>
    <col width="14" customWidth="1" style="8" min="7" max="7"/>
    <col width="14" customWidth="1" style="8" min="8" max="8"/>
    <col width="10" customWidth="1" style="8" min="9" max="9"/>
    <col width="10" customWidth="1" style="8" min="10" max="10"/>
    <col width="9" customWidth="1" style="8" min="11" max="11"/>
    <col width="8" customWidth="1" style="8" min="12" max="12"/>
    <col width="12" customWidth="1" style="8" min="13" max="13"/>
  </cols>
  <sheetData>
    <row r="1">
      <c r="A1" s="1" t="inlineStr">
        <is>
          <t>Sites: the alternative carried to the watershed plans</t>
        </is>
      </c>
    </row>
    <row r="2">
      <c r="A2" s="2" t="inlineStr">
        <is>
          <t>Choose each site's recommended alternative. No Action leaves the site out of every watershed plan.</t>
        </is>
      </c>
    </row>
    <row r="4">
      <c r="A4" s="12" t="inlineStr">
        <is>
          <t>Site</t>
        </is>
      </c>
      <c r="B4" s="12" t="inlineStr">
        <is>
          <t>Name</t>
        </is>
      </c>
      <c r="C4" s="12" t="inlineStr">
        <is>
          <t>Recommended alternative</t>
        </is>
      </c>
      <c r="D4" s="12" t="inlineStr">
        <is>
          <t>No Action</t>
        </is>
      </c>
      <c r="E4" s="12" t="inlineStr">
        <is>
          <t>Carried</t>
        </is>
      </c>
      <c r="F4" s="12" t="inlineStr">
        <is>
          <t>Lift (AAHU)</t>
        </is>
      </c>
      <c r="G4" s="12" t="inlineStr">
        <is>
          <t>Cost above No Action</t>
        </is>
      </c>
      <c r="H4" s="12" t="inlineStr">
        <is>
          <t>Construction cost</t>
        </is>
      </c>
      <c r="I4" s="12" t="inlineStr">
        <is>
          <t>Lift (scaled)</t>
        </is>
      </c>
      <c r="J4" s="12" t="inlineStr">
        <is>
          <t>Cost (scaled)</t>
        </is>
      </c>
      <c r="K4" s="12" t="inlineStr">
        <is>
          <t>Cost-effective</t>
        </is>
      </c>
      <c r="L4" s="12" t="inlineStr">
        <is>
          <t>Best buy</t>
        </is>
      </c>
      <c r="M4" s="12" t="inlineStr">
        <is>
          <t>Decided by</t>
        </is>
      </c>
    </row>
    <row r="5">
      <c r="A5" s="4" t="inlineStr">
        <is>
          <t>A</t>
        </is>
      </c>
      <c r="B5" s="4" t="inlineStr"/>
      <c r="C5" s="15" t="inlineStr">
        <is>
          <t>A1</t>
        </is>
      </c>
      <c r="D5" s="4" t="inlineStr">
        <is>
          <t>NA</t>
        </is>
      </c>
      <c r="E5" s="10">
        <f>IF(C5&lt;&gt;D5,1,0)</f>
        <v/>
      </c>
      <c r="F5" s="20">
        <f>IFERROR(INDEX('Site CE-ICA'!$G$5:$G$12,MATCH(A5&amp;"|"&amp;C5,'Site CE-ICA'!$A$5:$A$12,0)),0)</f>
        <v/>
      </c>
      <c r="G5" s="26">
        <f>IFERROR(INDEX('Site CE-ICA'!$H$5:$H$12,MATCH(A5&amp;"|"&amp;C5,'Site CE-ICA'!$A$5:$A$12,0)),0)</f>
        <v/>
      </c>
      <c r="H5" s="25">
        <f>IFERROR(INDEX(Summary!$H$5:$H$7,MATCH(C5,Summary!$C$5:$C$7,0)),0)</f>
        <v/>
      </c>
      <c r="I5" s="6">
        <f>IF(E5=1,IFERROR(INDEX('Site CE-ICA'!$I$5:$I$12,MATCH(A5&amp;"|"&amp;C5,'Site CE-ICA'!$A$5:$A$12,0)),0),0)</f>
        <v/>
      </c>
      <c r="J5" s="6">
        <f>IF(E5=1,IFERROR(INDEX('Site CE-ICA'!$J$5:$J$12,MATCH(A5&amp;"|"&amp;C5,'Site CE-ICA'!$A$5:$A$12,0)),0),0)</f>
        <v/>
      </c>
      <c r="K5" s="10">
        <f>IFERROR(INDEX('Site CE-ICA'!$L$5:$L$12,MATCH(A5&amp;"|"&amp;C5,'Site CE-ICA'!$A$5:$A$12,0)),0)</f>
        <v/>
      </c>
      <c r="L5" s="10">
        <f>IFERROR(INDEX('Site CE-ICA'!$P$5:$P$12,MATCH(A5&amp;"|"&amp;C5,'Site CE-ICA'!$A$5:$A$12,0)),0)</f>
        <v/>
      </c>
      <c r="M5" s="4" t="inlineStr">
        <is>
          <t>Suggested</t>
        </is>
      </c>
    </row>
    <row r="6">
      <c r="A6" s="4" t="inlineStr">
        <is>
          <t>B</t>
        </is>
      </c>
      <c r="B6" s="4" t="inlineStr"/>
      <c r="C6" s="15" t="inlineStr">
        <is>
          <t>B1</t>
        </is>
      </c>
      <c r="D6" s="4" t="inlineStr">
        <is>
          <t>NA</t>
        </is>
      </c>
      <c r="E6" s="10">
        <f>IF(C6&lt;&gt;D6,1,0)</f>
        <v/>
      </c>
      <c r="F6" s="20">
        <f>IFERROR(INDEX('Site CE-ICA'!$G$5:$G$12,MATCH(A6&amp;"|"&amp;C6,'Site CE-ICA'!$A$5:$A$12,0)),0)</f>
        <v/>
      </c>
      <c r="G6" s="26">
        <f>IFERROR(INDEX('Site CE-ICA'!$H$5:$H$12,MATCH(A6&amp;"|"&amp;C6,'Site CE-ICA'!$A$5:$A$12,0)),0)</f>
        <v/>
      </c>
      <c r="H6" s="25">
        <f>IFERROR(INDEX(Summary!$H$8:$H$9,MATCH(C6,Summary!$C$8:$C$9,0)),0)</f>
        <v/>
      </c>
      <c r="I6" s="6">
        <f>IF(E6=1,IFERROR(INDEX('Site CE-ICA'!$I$5:$I$12,MATCH(A6&amp;"|"&amp;C6,'Site CE-ICA'!$A$5:$A$12,0)),0),0)</f>
        <v/>
      </c>
      <c r="J6" s="6">
        <f>IF(E6=1,IFERROR(INDEX('Site CE-ICA'!$J$5:$J$12,MATCH(A6&amp;"|"&amp;C6,'Site CE-ICA'!$A$5:$A$12,0)),0),0)</f>
        <v/>
      </c>
      <c r="K6" s="10">
        <f>IFERROR(INDEX('Site CE-ICA'!$L$5:$L$12,MATCH(A6&amp;"|"&amp;C6,'Site CE-ICA'!$A$5:$A$12,0)),0)</f>
        <v/>
      </c>
      <c r="L6" s="10">
        <f>IFERROR(INDEX('Site CE-ICA'!$P$5:$P$12,MATCH(A6&amp;"|"&amp;C6,'Site CE-ICA'!$A$5:$A$12,0)),0)</f>
        <v/>
      </c>
      <c r="M6" s="4" t="inlineStr">
        <is>
          <t>Suggested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C5:C6">
    <cfRule type="expression" priority="1" dxfId="0" stopIfTrue="0">
      <formula>C5&lt;&gt;'snap Sites'!C5</formula>
    </cfRule>
  </conditionalFormatting>
  <dataValidations count="2">
    <dataValidation sqref="C5" showDropDown="0" showInputMessage="0" showErrorMessage="0" allowBlank="0" type="list">
      <formula1>"NA,A1,A2"</formula1>
    </dataValidation>
    <dataValidation sqref="C6" showDropDown="0" showInputMessage="0" showErrorMessage="0" allowBlank="0" type="list">
      <formula1>"NA,B1"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5"/>
  <sheetViews>
    <sheetView showGridLines="0" workbookViewId="0">
      <pane xSplit="3" ySplit="11" topLeftCell="D1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6" customWidth="1" style="8" min="1" max="1"/>
    <col width="34" customWidth="1" style="8" min="2" max="2"/>
    <col width="6" customWidth="1" style="8" min="3" max="3"/>
    <col width="7" customWidth="1" style="8" min="4" max="4"/>
    <col width="7" customWidth="1" style="8" min="5" max="5"/>
    <col width="8" customWidth="1" style="8" min="6" max="6"/>
    <col hidden="1" width="10" customWidth="1" style="8" min="7" max="7"/>
    <col hidden="1" width="11" customWidth="1" style="8" min="8" max="8"/>
    <col width="13" customWidth="1" style="8" min="9" max="9"/>
    <col width="11" customWidth="1" style="8" min="10" max="10"/>
    <col width="13" customWidth="1" style="8" min="11" max="11"/>
    <col hidden="1" width="6" customWidth="1" style="8" min="12" max="12"/>
    <col hidden="1" width="8" customWidth="1" style="8" min="13" max="13"/>
    <col width="9" customWidth="1" style="8" min="14" max="14"/>
    <col hidden="1" width="8" customWidth="1" style="8" min="15" max="15"/>
    <col hidden="1" width="10" customWidth="1" style="8" min="16" max="16"/>
    <col hidden="1" width="10" customWidth="1" style="8" min="17" max="17"/>
    <col width="7" customWidth="1" style="8" min="18" max="18"/>
    <col width="8" customWidth="1" style="8" min="19" max="19"/>
    <col hidden="1" width="10" customWidth="1" style="8" min="20" max="20"/>
    <col hidden="1" width="10" customWidth="1" style="8" min="21" max="21"/>
    <col width="11" customWidth="1" style="8" min="22" max="22"/>
    <col width="12" customWidth="1" style="8" min="23" max="23"/>
    <col width="12" customWidth="1" style="8" min="24" max="24"/>
    <col width="11" customWidth="1" style="8" min="25" max="25"/>
    <col width="7" customWidth="1" style="8" min="26" max="26"/>
    <col width="8" customWidth="1" style="8" min="27" max="27"/>
  </cols>
  <sheetData>
    <row r="1">
      <c r="A1" s="1" t="inlineStr">
        <is>
          <t>Watershed plans: every combination of the recommended site actions</t>
        </is>
      </c>
    </row>
    <row r="2">
      <c r="A2" s="2" t="inlineStr">
        <is>
          <t>1 and 0 mark a site included or excluded. Rows that include a site whose recommendation is No Action are not valid plans.</t>
        </is>
      </c>
    </row>
    <row r="4">
      <c r="C4" s="3" t="inlineStr">
        <is>
          <t>Site</t>
        </is>
      </c>
      <c r="D4" s="12" t="inlineStr">
        <is>
          <t>A</t>
        </is>
      </c>
      <c r="E4" s="12" t="inlineStr">
        <is>
          <t>B</t>
        </is>
      </c>
    </row>
    <row r="5">
      <c r="C5" s="3" t="inlineStr">
        <is>
          <t>Carried</t>
        </is>
      </c>
      <c r="D5" s="10">
        <f>Sites!E5</f>
        <v/>
      </c>
      <c r="E5" s="10">
        <f>Sites!E6</f>
        <v/>
      </c>
    </row>
    <row r="6">
      <c r="C6" s="3" t="inlineStr">
        <is>
          <t>Lift (scaled)</t>
        </is>
      </c>
      <c r="D6" s="6">
        <f>Sites!I5</f>
        <v/>
      </c>
      <c r="E6" s="6">
        <f>Sites!I6</f>
        <v/>
      </c>
    </row>
    <row r="7">
      <c r="C7" s="3" t="inlineStr">
        <is>
          <t>Cost (scaled)</t>
        </is>
      </c>
      <c r="D7" s="6">
        <f>Sites!J5</f>
        <v/>
      </c>
      <c r="E7" s="6">
        <f>Sites!J6</f>
        <v/>
      </c>
    </row>
    <row r="8">
      <c r="C8" s="3" t="inlineStr">
        <is>
          <t>Construction cost</t>
        </is>
      </c>
      <c r="D8" s="25">
        <f>Sites!H5</f>
        <v/>
      </c>
      <c r="E8" s="25">
        <f>Sites!H6</f>
        <v/>
      </c>
    </row>
    <row r="9">
      <c r="C9" s="3" t="inlineStr">
        <is>
          <t>Weight</t>
        </is>
      </c>
      <c r="D9" s="6">
        <f>IF(D5=1,2^SUM(E5:$E$5),0)</f>
        <v/>
      </c>
      <c r="E9" s="6">
        <f>IF(E5=1,1,0)</f>
        <v/>
      </c>
    </row>
    <row r="11">
      <c r="A11" s="12" t="inlineStr">
        <is>
          <t>Row</t>
        </is>
      </c>
      <c r="B11" s="12" t="inlineStr">
        <is>
          <t>Plan</t>
        </is>
      </c>
      <c r="C11" s="12" t="inlineStr">
        <is>
          <t>Valid</t>
        </is>
      </c>
      <c r="D11" s="12" t="inlineStr">
        <is>
          <t>A</t>
        </is>
      </c>
      <c r="E11" s="12" t="inlineStr">
        <is>
          <t>B</t>
        </is>
      </c>
      <c r="F11" s="12" t="inlineStr">
        <is>
          <t>Plan number</t>
        </is>
      </c>
      <c r="G11" s="12" t="inlineStr">
        <is>
          <t>Lift (scaled)</t>
        </is>
      </c>
      <c r="H11" s="12" t="inlineStr">
        <is>
          <t>Cost (scaled)</t>
        </is>
      </c>
      <c r="I11" s="12" t="inlineStr">
        <is>
          <t>Construction cost</t>
        </is>
      </c>
      <c r="J11" s="12" t="inlineStr">
        <is>
          <t>Lift (AAHU)</t>
        </is>
      </c>
      <c r="K11" s="12" t="inlineStr">
        <is>
          <t>Average annual cost</t>
        </is>
      </c>
      <c r="L11" s="12" t="inlineStr">
        <is>
          <t>No Action</t>
        </is>
      </c>
      <c r="M11" s="12" t="inlineStr">
        <is>
          <t>Dominated by</t>
        </is>
      </c>
      <c r="N11" s="12" t="inlineStr">
        <is>
          <t>Cost-effective</t>
        </is>
      </c>
      <c r="O11" s="12" t="inlineStr">
        <is>
          <t>Candidate</t>
        </is>
      </c>
      <c r="P11" s="12" t="inlineStr">
        <is>
          <t>Slope in (max)</t>
        </is>
      </c>
      <c r="Q11" s="12" t="inlineStr">
        <is>
          <t>Slope out (min)</t>
        </is>
      </c>
      <c r="R11" s="12" t="inlineStr">
        <is>
          <t>Best buy</t>
        </is>
      </c>
      <c r="S11" s="12" t="inlineStr">
        <is>
          <t>Best-buy step</t>
        </is>
      </c>
      <c r="T11" s="12" t="inlineStr">
        <is>
          <t>Previous lift (scaled)</t>
        </is>
      </c>
      <c r="U11" s="12" t="inlineStr">
        <is>
          <t>Previous cost (scaled)</t>
        </is>
      </c>
      <c r="V11" s="12" t="inlineStr">
        <is>
          <t>Incremental output</t>
        </is>
      </c>
      <c r="W11" s="12" t="inlineStr">
        <is>
          <t>Incremental cost</t>
        </is>
      </c>
      <c r="X11" s="12" t="inlineStr">
        <is>
          <t>Incremental cost per unit</t>
        </is>
      </c>
      <c r="Y11" s="12" t="inlineStr">
        <is>
          <t>Unit cost</t>
        </is>
      </c>
      <c r="Z11" s="12" t="inlineStr">
        <is>
          <t>Final array</t>
        </is>
      </c>
      <c r="AA11" s="12" t="inlineStr">
        <is>
          <t>Final array order</t>
        </is>
      </c>
    </row>
    <row r="12">
      <c r="A12" s="4" t="n">
        <v>1</v>
      </c>
      <c r="B12" s="4" t="inlineStr">
        <is>
          <t>No Action</t>
        </is>
      </c>
      <c r="C12" s="10">
        <f>IF(SUMPRODUCT(D12:E12,1-$D$5:$E$5)=0,1,0)</f>
        <v/>
      </c>
      <c r="D12" s="4" t="n">
        <v>0</v>
      </c>
      <c r="E12" s="4" t="n">
        <v>0</v>
      </c>
      <c r="F12" s="6">
        <f>IF(C12=1,1+SUMPRODUCT(D12:E12,$D$9:$E$9),"")</f>
        <v/>
      </c>
      <c r="G12" s="6">
        <f>SUMPRODUCT(D12:E12,$D$6:$E$6)</f>
        <v/>
      </c>
      <c r="H12" s="6">
        <f>SUMPRODUCT(D12:E12,$D$7:$E$7)</f>
        <v/>
      </c>
      <c r="I12" s="25">
        <f>SUMPRODUCT(D12:E12,$D$8:$E$8)</f>
        <v/>
      </c>
      <c r="J12" s="20">
        <f>G12/10^in_out_dp</f>
        <v/>
      </c>
      <c r="K12" s="26">
        <f>H12/10^in_cost_dp</f>
        <v/>
      </c>
      <c r="L12" s="10">
        <f>IF(SUM(D12:E12)=0,1,0)</f>
        <v/>
      </c>
      <c r="M12" s="10">
        <f>SUMPRODUCT($C$12:$C$15*(($G$12:$G$15=G12)*($H$12:$H$15&lt;H12)+($G$12:$G$15&gt;G12)*($H$12:$H$15&lt;=H12)))</f>
        <v/>
      </c>
      <c r="N12" s="10">
        <f>IF(C12=0,0,IF(OR(L12=1,M12=0),1,0))</f>
        <v/>
      </c>
      <c r="O12" s="10">
        <f>IF(AND(N12=1,L12=0,G12&gt;0),1,0)</f>
        <v/>
      </c>
      <c r="P12" s="28">
        <f>IF(O12=1,MAX(H12/G12,SUMPRODUCT(MAX(((H12-$H$12:$H$15)*($O$12:$O$15*($G$12:$G$15&lt;G12)))/((G12-$G$12:$G$15)*($O$12:$O$15*($G$12:$G$15&lt;G12))+1-($O$12:$O$15*($G$12:$G$15&lt;G12)))-(1-($O$12:$O$15*($G$12:$G$15&lt;G12)))*1E+300))),0)</f>
        <v/>
      </c>
      <c r="Q12" s="28">
        <f>IF(O12=1,SUMPRODUCT(MIN(((($H$12:$H$15-H12)*($O$12:$O$15*($G$12:$G$15&gt;G12)))/(($G$12:$G$15-G12)*($O$12:$O$15*($G$12:$G$15&gt;G12))+1-($O$12:$O$15*($G$12:$G$15&gt;G12)))+(1-($O$12:$O$15*($G$12:$G$15&gt;G12)))*1E+300))),0)</f>
        <v/>
      </c>
      <c r="R12" s="10">
        <f>IF(C12=0,0,IF(L12=1,1,IF(AND(O12=1,P12&lt;=Q12),1,0)))</f>
        <v/>
      </c>
      <c r="S12" s="10">
        <f>IF(R12=1,1+SUMPRODUCT($R$12:$R$15*(($G$12:$G$15&lt;G12)+($G$12:$G$15=G12)*($A$12:$A$15&lt;A12))),0)</f>
        <v/>
      </c>
      <c r="T12" s="10">
        <f>IF(S12&lt;=1,0,SUMPRODUCT(($S$12:$S$15=S12-1)*$G$12:$G$15))</f>
        <v/>
      </c>
      <c r="U12" s="10">
        <f>IF(S12&lt;=1,0,SUMPRODUCT(($S$12:$S$15=S12-1)*$H$12:$H$15))</f>
        <v/>
      </c>
      <c r="V12" s="20">
        <f>IF(S12=0,"",(G12-T12)/10^in_out_dp)</f>
        <v/>
      </c>
      <c r="W12" s="26">
        <f>IF(S12=0,"",(H12-U12)/10^in_cost_dp)</f>
        <v/>
      </c>
      <c r="X12" s="26">
        <f>IF(S12=0,"",IF(G12=T12,0,W12/V12))</f>
        <v/>
      </c>
      <c r="Y12" s="26">
        <f>IF(AND(C12=1,G12&gt;0),K12/J12,"n/a")</f>
        <v/>
      </c>
      <c r="Z12" s="15" t="n">
        <v>1</v>
      </c>
      <c r="AA12" s="6">
        <f>IF(AND(C12=1,Z12=1),1+SUMPRODUCT($C$12:$C$15*$Z$12:$Z$15*(($G$12:$G$15&lt;G12)+($G$12:$G$15=G12)*($H$12:$H$15&lt;H12)+($G$12:$G$15=G12)*($H$12:$H$15=H12)*($A$12:$A$15&lt;A12))),0)</f>
        <v/>
      </c>
    </row>
    <row r="13">
      <c r="A13" s="4" t="n">
        <v>2</v>
      </c>
      <c r="B13" s="4" t="inlineStr">
        <is>
          <t>B</t>
        </is>
      </c>
      <c r="C13" s="10">
        <f>IF(SUMPRODUCT(D13:E13,1-$D$5:$E$5)=0,1,0)</f>
        <v/>
      </c>
      <c r="D13" s="4" t="n">
        <v>0</v>
      </c>
      <c r="E13" s="4" t="n">
        <v>1</v>
      </c>
      <c r="F13" s="6">
        <f>IF(C13=1,1+SUMPRODUCT(D13:E13,$D$9:$E$9),"")</f>
        <v/>
      </c>
      <c r="G13" s="6">
        <f>SUMPRODUCT(D13:E13,$D$6:$E$6)</f>
        <v/>
      </c>
      <c r="H13" s="6">
        <f>SUMPRODUCT(D13:E13,$D$7:$E$7)</f>
        <v/>
      </c>
      <c r="I13" s="25">
        <f>SUMPRODUCT(D13:E13,$D$8:$E$8)</f>
        <v/>
      </c>
      <c r="J13" s="20">
        <f>G13/10^in_out_dp</f>
        <v/>
      </c>
      <c r="K13" s="26">
        <f>H13/10^in_cost_dp</f>
        <v/>
      </c>
      <c r="L13" s="10">
        <f>IF(SUM(D13:E13)=0,1,0)</f>
        <v/>
      </c>
      <c r="M13" s="10">
        <f>SUMPRODUCT($C$12:$C$15*(($G$12:$G$15=G13)*($H$12:$H$15&lt;H13)+($G$12:$G$15&gt;G13)*($H$12:$H$15&lt;=H13)))</f>
        <v/>
      </c>
      <c r="N13" s="10">
        <f>IF(C13=0,0,IF(OR(L13=1,M13=0),1,0))</f>
        <v/>
      </c>
      <c r="O13" s="10">
        <f>IF(AND(N13=1,L13=0,G13&gt;0),1,0)</f>
        <v/>
      </c>
      <c r="P13" s="28">
        <f>IF(O13=1,MAX(H13/G13,SUMPRODUCT(MAX(((H13-$H$12:$H$15)*($O$12:$O$15*($G$12:$G$15&lt;G13)))/((G13-$G$12:$G$15)*($O$12:$O$15*($G$12:$G$15&lt;G13))+1-($O$12:$O$15*($G$12:$G$15&lt;G13)))-(1-($O$12:$O$15*($G$12:$G$15&lt;G13)))*1E+300))),0)</f>
        <v/>
      </c>
      <c r="Q13" s="28">
        <f>IF(O13=1,SUMPRODUCT(MIN(((($H$12:$H$15-H13)*($O$12:$O$15*($G$12:$G$15&gt;G13)))/(($G$12:$G$15-G13)*($O$12:$O$15*($G$12:$G$15&gt;G13))+1-($O$12:$O$15*($G$12:$G$15&gt;G13)))+(1-($O$12:$O$15*($G$12:$G$15&gt;G13)))*1E+300))),0)</f>
        <v/>
      </c>
      <c r="R13" s="10">
        <f>IF(C13=0,0,IF(L13=1,1,IF(AND(O13=1,P13&lt;=Q13),1,0)))</f>
        <v/>
      </c>
      <c r="S13" s="10">
        <f>IF(R13=1,1+SUMPRODUCT($R$12:$R$15*(($G$12:$G$15&lt;G13)+($G$12:$G$15=G13)*($A$12:$A$15&lt;A13))),0)</f>
        <v/>
      </c>
      <c r="T13" s="10">
        <f>IF(S13&lt;=1,0,SUMPRODUCT(($S$12:$S$15=S13-1)*$G$12:$G$15))</f>
        <v/>
      </c>
      <c r="U13" s="10">
        <f>IF(S13&lt;=1,0,SUMPRODUCT(($S$12:$S$15=S13-1)*$H$12:$H$15))</f>
        <v/>
      </c>
      <c r="V13" s="20">
        <f>IF(S13=0,"",(G13-T13)/10^in_out_dp)</f>
        <v/>
      </c>
      <c r="W13" s="26">
        <f>IF(S13=0,"",(H13-U13)/10^in_cost_dp)</f>
        <v/>
      </c>
      <c r="X13" s="26">
        <f>IF(S13=0,"",IF(G13=T13,0,W13/V13))</f>
        <v/>
      </c>
      <c r="Y13" s="26">
        <f>IF(AND(C13=1,G13&gt;0),K13/J13,"n/a")</f>
        <v/>
      </c>
      <c r="Z13" s="15" t="n">
        <v>0</v>
      </c>
      <c r="AA13" s="6">
        <f>IF(AND(C13=1,Z13=1),1+SUMPRODUCT($C$12:$C$15*$Z$12:$Z$15*(($G$12:$G$15&lt;G13)+($G$12:$G$15=G13)*($H$12:$H$15&lt;H13)+($G$12:$G$15=G13)*($H$12:$H$15=H13)*($A$12:$A$15&lt;A13))),0)</f>
        <v/>
      </c>
    </row>
    <row r="14">
      <c r="A14" s="4" t="n">
        <v>3</v>
      </c>
      <c r="B14" s="4" t="inlineStr">
        <is>
          <t>A</t>
        </is>
      </c>
      <c r="C14" s="10">
        <f>IF(SUMPRODUCT(D14:E14,1-$D$5:$E$5)=0,1,0)</f>
        <v/>
      </c>
      <c r="D14" s="4" t="n">
        <v>1</v>
      </c>
      <c r="E14" s="4" t="n">
        <v>0</v>
      </c>
      <c r="F14" s="6">
        <f>IF(C14=1,1+SUMPRODUCT(D14:E14,$D$9:$E$9),"")</f>
        <v/>
      </c>
      <c r="G14" s="6">
        <f>SUMPRODUCT(D14:E14,$D$6:$E$6)</f>
        <v/>
      </c>
      <c r="H14" s="6">
        <f>SUMPRODUCT(D14:E14,$D$7:$E$7)</f>
        <v/>
      </c>
      <c r="I14" s="25">
        <f>SUMPRODUCT(D14:E14,$D$8:$E$8)</f>
        <v/>
      </c>
      <c r="J14" s="20">
        <f>G14/10^in_out_dp</f>
        <v/>
      </c>
      <c r="K14" s="26">
        <f>H14/10^in_cost_dp</f>
        <v/>
      </c>
      <c r="L14" s="10">
        <f>IF(SUM(D14:E14)=0,1,0)</f>
        <v/>
      </c>
      <c r="M14" s="10">
        <f>SUMPRODUCT($C$12:$C$15*(($G$12:$G$15=G14)*($H$12:$H$15&lt;H14)+($G$12:$G$15&gt;G14)*($H$12:$H$15&lt;=H14)))</f>
        <v/>
      </c>
      <c r="N14" s="10">
        <f>IF(C14=0,0,IF(OR(L14=1,M14=0),1,0))</f>
        <v/>
      </c>
      <c r="O14" s="10">
        <f>IF(AND(N14=1,L14=0,G14&gt;0),1,0)</f>
        <v/>
      </c>
      <c r="P14" s="28">
        <f>IF(O14=1,MAX(H14/G14,SUMPRODUCT(MAX(((H14-$H$12:$H$15)*($O$12:$O$15*($G$12:$G$15&lt;G14)))/((G14-$G$12:$G$15)*($O$12:$O$15*($G$12:$G$15&lt;G14))+1-($O$12:$O$15*($G$12:$G$15&lt;G14)))-(1-($O$12:$O$15*($G$12:$G$15&lt;G14)))*1E+300))),0)</f>
        <v/>
      </c>
      <c r="Q14" s="28">
        <f>IF(O14=1,SUMPRODUCT(MIN(((($H$12:$H$15-H14)*($O$12:$O$15*($G$12:$G$15&gt;G14)))/(($G$12:$G$15-G14)*($O$12:$O$15*($G$12:$G$15&gt;G14))+1-($O$12:$O$15*($G$12:$G$15&gt;G14)))+(1-($O$12:$O$15*($G$12:$G$15&gt;G14)))*1E+300))),0)</f>
        <v/>
      </c>
      <c r="R14" s="10">
        <f>IF(C14=0,0,IF(L14=1,1,IF(AND(O14=1,P14&lt;=Q14),1,0)))</f>
        <v/>
      </c>
      <c r="S14" s="10">
        <f>IF(R14=1,1+SUMPRODUCT($R$12:$R$15*(($G$12:$G$15&lt;G14)+($G$12:$G$15=G14)*($A$12:$A$15&lt;A14))),0)</f>
        <v/>
      </c>
      <c r="T14" s="10">
        <f>IF(S14&lt;=1,0,SUMPRODUCT(($S$12:$S$15=S14-1)*$G$12:$G$15))</f>
        <v/>
      </c>
      <c r="U14" s="10">
        <f>IF(S14&lt;=1,0,SUMPRODUCT(($S$12:$S$15=S14-1)*$H$12:$H$15))</f>
        <v/>
      </c>
      <c r="V14" s="20">
        <f>IF(S14=0,"",(G14-T14)/10^in_out_dp)</f>
        <v/>
      </c>
      <c r="W14" s="26">
        <f>IF(S14=0,"",(H14-U14)/10^in_cost_dp)</f>
        <v/>
      </c>
      <c r="X14" s="26">
        <f>IF(S14=0,"",IF(G14=T14,0,W14/V14))</f>
        <v/>
      </c>
      <c r="Y14" s="26">
        <f>IF(AND(C14=1,G14&gt;0),K14/J14,"n/a")</f>
        <v/>
      </c>
      <c r="Z14" s="15" t="n">
        <v>1</v>
      </c>
      <c r="AA14" s="6">
        <f>IF(AND(C14=1,Z14=1),1+SUMPRODUCT($C$12:$C$15*$Z$12:$Z$15*(($G$12:$G$15&lt;G14)+($G$12:$G$15=G14)*($H$12:$H$15&lt;H14)+($G$12:$G$15=G14)*($H$12:$H$15=H14)*($A$12:$A$15&lt;A14))),0)</f>
        <v/>
      </c>
    </row>
    <row r="15">
      <c r="A15" s="4" t="n">
        <v>4</v>
      </c>
      <c r="B15" s="4" t="inlineStr">
        <is>
          <t>A + B</t>
        </is>
      </c>
      <c r="C15" s="10">
        <f>IF(SUMPRODUCT(D15:E15,1-$D$5:$E$5)=0,1,0)</f>
        <v/>
      </c>
      <c r="D15" s="4" t="n">
        <v>1</v>
      </c>
      <c r="E15" s="4" t="n">
        <v>1</v>
      </c>
      <c r="F15" s="6">
        <f>IF(C15=1,1+SUMPRODUCT(D15:E15,$D$9:$E$9),"")</f>
        <v/>
      </c>
      <c r="G15" s="6">
        <f>SUMPRODUCT(D15:E15,$D$6:$E$6)</f>
        <v/>
      </c>
      <c r="H15" s="6">
        <f>SUMPRODUCT(D15:E15,$D$7:$E$7)</f>
        <v/>
      </c>
      <c r="I15" s="25">
        <f>SUMPRODUCT(D15:E15,$D$8:$E$8)</f>
        <v/>
      </c>
      <c r="J15" s="20">
        <f>G15/10^in_out_dp</f>
        <v/>
      </c>
      <c r="K15" s="26">
        <f>H15/10^in_cost_dp</f>
        <v/>
      </c>
      <c r="L15" s="10">
        <f>IF(SUM(D15:E15)=0,1,0)</f>
        <v/>
      </c>
      <c r="M15" s="10">
        <f>SUMPRODUCT($C$12:$C$15*(($G$12:$G$15=G15)*($H$12:$H$15&lt;H15)+($G$12:$G$15&gt;G15)*($H$12:$H$15&lt;=H15)))</f>
        <v/>
      </c>
      <c r="N15" s="10">
        <f>IF(C15=0,0,IF(OR(L15=1,M15=0),1,0))</f>
        <v/>
      </c>
      <c r="O15" s="10">
        <f>IF(AND(N15=1,L15=0,G15&gt;0),1,0)</f>
        <v/>
      </c>
      <c r="P15" s="28">
        <f>IF(O15=1,MAX(H15/G15,SUMPRODUCT(MAX(((H15-$H$12:$H$15)*($O$12:$O$15*($G$12:$G$15&lt;G15)))/((G15-$G$12:$G$15)*($O$12:$O$15*($G$12:$G$15&lt;G15))+1-($O$12:$O$15*($G$12:$G$15&lt;G15)))-(1-($O$12:$O$15*($G$12:$G$15&lt;G15)))*1E+300))),0)</f>
        <v/>
      </c>
      <c r="Q15" s="28">
        <f>IF(O15=1,SUMPRODUCT(MIN(((($H$12:$H$15-H15)*($O$12:$O$15*($G$12:$G$15&gt;G15)))/(($G$12:$G$15-G15)*($O$12:$O$15*($G$12:$G$15&gt;G15))+1-($O$12:$O$15*($G$12:$G$15&gt;G15)))+(1-($O$12:$O$15*($G$12:$G$15&gt;G15)))*1E+300))),0)</f>
        <v/>
      </c>
      <c r="R15" s="10">
        <f>IF(C15=0,0,IF(L15=1,1,IF(AND(O15=1,P15&lt;=Q15),1,0)))</f>
        <v/>
      </c>
      <c r="S15" s="10">
        <f>IF(R15=1,1+SUMPRODUCT($R$12:$R$15*(($G$12:$G$15&lt;G15)+($G$12:$G$15=G15)*($A$12:$A$15&lt;A15))),0)</f>
        <v/>
      </c>
      <c r="T15" s="10">
        <f>IF(S15&lt;=1,0,SUMPRODUCT(($S$12:$S$15=S15-1)*$G$12:$G$15))</f>
        <v/>
      </c>
      <c r="U15" s="10">
        <f>IF(S15&lt;=1,0,SUMPRODUCT(($S$12:$S$15=S15-1)*$H$12:$H$15))</f>
        <v/>
      </c>
      <c r="V15" s="20">
        <f>IF(S15=0,"",(G15-T15)/10^in_out_dp)</f>
        <v/>
      </c>
      <c r="W15" s="26">
        <f>IF(S15=0,"",(H15-U15)/10^in_cost_dp)</f>
        <v/>
      </c>
      <c r="X15" s="26">
        <f>IF(S15=0,"",IF(G15=T15,0,W15/V15))</f>
        <v/>
      </c>
      <c r="Y15" s="26">
        <f>IF(AND(C15=1,G15&gt;0),K15/J15,"n/a")</f>
        <v/>
      </c>
      <c r="Z15" s="15" t="n">
        <v>1</v>
      </c>
      <c r="AA15" s="6">
        <f>IF(AND(C15=1,Z15=1),1+SUMPRODUCT($C$12:$C$15*$Z$12:$Z$15*(($G$12:$G$15&lt;G15)+($G$12:$G$15=G15)*($H$12:$H$15&lt;H15)+($G$12:$G$15=G15)*($H$12:$H$15=H15)*($A$12:$A$15&lt;A15))),0)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Z12:Z15">
    <cfRule type="expression" priority="1" dxfId="0" stopIfTrue="0">
      <formula>Z12&lt;&gt;'snap Watershed plans'!Z12</formula>
    </cfRule>
  </conditionalFormatting>
  <dataValidations count="1">
    <dataValidation sqref="Z12:Z15" showDropDown="0" showInputMessage="0" showErrorMessage="0" allowBlank="0" type="list">
      <formula1>"0,1"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selection activeCell="A1" sqref="A1"/>
    </sheetView>
  </sheetViews>
  <sheetFormatPr baseColWidth="8" defaultRowHeight="15"/>
  <cols>
    <col width="7" customWidth="1" style="8" min="1" max="1"/>
    <col width="10" customWidth="1" style="8" min="2" max="2"/>
    <col width="40" customWidth="1" style="8" min="3" max="3"/>
    <col width="12" customWidth="1" style="8" min="4" max="4"/>
    <col width="15" customWidth="1" style="8" min="5" max="5"/>
    <col width="15" customWidth="1" style="8" min="6" max="6"/>
    <col width="12" customWidth="1" style="8" min="7" max="7"/>
    <col width="12" customWidth="1" style="8" min="8" max="8"/>
    <col width="13" customWidth="1" style="8" min="9" max="9"/>
    <col width="14" customWidth="1" style="8" min="10" max="10"/>
    <col width="10" customWidth="1" style="8" min="11" max="11"/>
    <col width="50" customWidth="1" style="8" min="12" max="12"/>
  </cols>
  <sheetData>
    <row r="1">
      <c r="A1" s="1" t="inlineStr">
        <is>
          <t>Watershed summary: best buys, final array and the tentatively selected plan</t>
        </is>
      </c>
    </row>
    <row r="2">
      <c r="A2" s="2" t="inlineStr">
        <is>
          <t>Tables read the watershed plans sheet. Choose the TSP from the final array.</t>
        </is>
      </c>
    </row>
    <row r="4">
      <c r="A4" s="7" t="inlineStr">
        <is>
          <t>Best buys</t>
        </is>
      </c>
    </row>
    <row r="5">
      <c r="A5" s="12" t="inlineStr">
        <is>
          <t>Step</t>
        </is>
      </c>
      <c r="B5" s="12" t="inlineStr">
        <is>
          <t>Plan number</t>
        </is>
      </c>
      <c r="C5" s="12" t="inlineStr">
        <is>
          <t>Plan</t>
        </is>
      </c>
      <c r="D5" s="12" t="inlineStr">
        <is>
          <t>Lift (AAHU)</t>
        </is>
      </c>
      <c r="E5" s="12" t="inlineStr">
        <is>
          <t>Average annual cost</t>
        </is>
      </c>
      <c r="F5" s="12" t="inlineStr">
        <is>
          <t>Construction cost</t>
        </is>
      </c>
      <c r="G5" s="12" t="inlineStr">
        <is>
          <t>Unit cost</t>
        </is>
      </c>
      <c r="H5" s="12" t="inlineStr">
        <is>
          <t>Incremental cost per unit</t>
        </is>
      </c>
    </row>
    <row r="6">
      <c r="A6" s="4" t="n">
        <v>1</v>
      </c>
      <c r="B6" s="6">
        <f>IFERROR(INDEX('Watershed plans'!$F$12:$F$15,MATCH(1,'Watershed plans'!$S$12:$S$15,0)),"")</f>
        <v/>
      </c>
      <c r="C6" s="10">
        <f>IFERROR(INDEX('Watershed plans'!$B$12:$B$15,MATCH(1,'Watershed plans'!$S$12:$S$15,0)),"")</f>
        <v/>
      </c>
      <c r="D6" s="20">
        <f>IFERROR(INDEX('Watershed plans'!$J$12:$J$15,MATCH(1,'Watershed plans'!$S$12:$S$15,0)),"")</f>
        <v/>
      </c>
      <c r="E6" s="26">
        <f>IFERROR(INDEX('Watershed plans'!$K$12:$K$15,MATCH(1,'Watershed plans'!$S$12:$S$15,0)),"")</f>
        <v/>
      </c>
      <c r="F6" s="25">
        <f>IFERROR(INDEX('Watershed plans'!$I$12:$I$15,MATCH(1,'Watershed plans'!$S$12:$S$15,0)),"")</f>
        <v/>
      </c>
      <c r="G6" s="26">
        <f>IFERROR(INDEX('Watershed plans'!$Y$12:$Y$15,MATCH(1,'Watershed plans'!$S$12:$S$15,0)),"")</f>
        <v/>
      </c>
      <c r="H6" s="26">
        <f>IFERROR(INDEX('Watershed plans'!$X$12:$X$15,MATCH(1,'Watershed plans'!$S$12:$S$15,0)),"")</f>
        <v/>
      </c>
    </row>
    <row r="7">
      <c r="A7" s="4" t="n">
        <v>2</v>
      </c>
      <c r="B7" s="6">
        <f>IFERROR(INDEX('Watershed plans'!$F$12:$F$15,MATCH(2,'Watershed plans'!$S$12:$S$15,0)),"")</f>
        <v/>
      </c>
      <c r="C7" s="10">
        <f>IFERROR(INDEX('Watershed plans'!$B$12:$B$15,MATCH(2,'Watershed plans'!$S$12:$S$15,0)),"")</f>
        <v/>
      </c>
      <c r="D7" s="20">
        <f>IFERROR(INDEX('Watershed plans'!$J$12:$J$15,MATCH(2,'Watershed plans'!$S$12:$S$15,0)),"")</f>
        <v/>
      </c>
      <c r="E7" s="26">
        <f>IFERROR(INDEX('Watershed plans'!$K$12:$K$15,MATCH(2,'Watershed plans'!$S$12:$S$15,0)),"")</f>
        <v/>
      </c>
      <c r="F7" s="25">
        <f>IFERROR(INDEX('Watershed plans'!$I$12:$I$15,MATCH(2,'Watershed plans'!$S$12:$S$15,0)),"")</f>
        <v/>
      </c>
      <c r="G7" s="26">
        <f>IFERROR(INDEX('Watershed plans'!$Y$12:$Y$15,MATCH(2,'Watershed plans'!$S$12:$S$15,0)),"")</f>
        <v/>
      </c>
      <c r="H7" s="26">
        <f>IFERROR(INDEX('Watershed plans'!$X$12:$X$15,MATCH(2,'Watershed plans'!$S$12:$S$15,0)),"")</f>
        <v/>
      </c>
    </row>
    <row r="8">
      <c r="A8" s="4" t="n">
        <v>3</v>
      </c>
      <c r="B8" s="6">
        <f>IFERROR(INDEX('Watershed plans'!$F$12:$F$15,MATCH(3,'Watershed plans'!$S$12:$S$15,0)),"")</f>
        <v/>
      </c>
      <c r="C8" s="10">
        <f>IFERROR(INDEX('Watershed plans'!$B$12:$B$15,MATCH(3,'Watershed plans'!$S$12:$S$15,0)),"")</f>
        <v/>
      </c>
      <c r="D8" s="20">
        <f>IFERROR(INDEX('Watershed plans'!$J$12:$J$15,MATCH(3,'Watershed plans'!$S$12:$S$15,0)),"")</f>
        <v/>
      </c>
      <c r="E8" s="26">
        <f>IFERROR(INDEX('Watershed plans'!$K$12:$K$15,MATCH(3,'Watershed plans'!$S$12:$S$15,0)),"")</f>
        <v/>
      </c>
      <c r="F8" s="25">
        <f>IFERROR(INDEX('Watershed plans'!$I$12:$I$15,MATCH(3,'Watershed plans'!$S$12:$S$15,0)),"")</f>
        <v/>
      </c>
      <c r="G8" s="26">
        <f>IFERROR(INDEX('Watershed plans'!$Y$12:$Y$15,MATCH(3,'Watershed plans'!$S$12:$S$15,0)),"")</f>
        <v/>
      </c>
      <c r="H8" s="26">
        <f>IFERROR(INDEX('Watershed plans'!$X$12:$X$15,MATCH(3,'Watershed plans'!$S$12:$S$15,0)),"")</f>
        <v/>
      </c>
    </row>
    <row r="9">
      <c r="A9" s="4" t="n">
        <v>4</v>
      </c>
      <c r="B9" s="6">
        <f>IFERROR(INDEX('Watershed plans'!$F$12:$F$15,MATCH(4,'Watershed plans'!$S$12:$S$15,0)),"")</f>
        <v/>
      </c>
      <c r="C9" s="10">
        <f>IFERROR(INDEX('Watershed plans'!$B$12:$B$15,MATCH(4,'Watershed plans'!$S$12:$S$15,0)),"")</f>
        <v/>
      </c>
      <c r="D9" s="20">
        <f>IFERROR(INDEX('Watershed plans'!$J$12:$J$15,MATCH(4,'Watershed plans'!$S$12:$S$15,0)),"")</f>
        <v/>
      </c>
      <c r="E9" s="26">
        <f>IFERROR(INDEX('Watershed plans'!$K$12:$K$15,MATCH(4,'Watershed plans'!$S$12:$S$15,0)),"")</f>
        <v/>
      </c>
      <c r="F9" s="25">
        <f>IFERROR(INDEX('Watershed plans'!$I$12:$I$15,MATCH(4,'Watershed plans'!$S$12:$S$15,0)),"")</f>
        <v/>
      </c>
      <c r="G9" s="26">
        <f>IFERROR(INDEX('Watershed plans'!$Y$12:$Y$15,MATCH(4,'Watershed plans'!$S$12:$S$15,0)),"")</f>
        <v/>
      </c>
      <c r="H9" s="26">
        <f>IFERROR(INDEX('Watershed plans'!$X$12:$X$15,MATCH(4,'Watershed plans'!$S$12:$S$15,0)),"")</f>
        <v/>
      </c>
    </row>
    <row r="10">
      <c r="A10" s="4" t="n">
        <v>5</v>
      </c>
      <c r="B10" s="6">
        <f>IFERROR(INDEX('Watershed plans'!$F$12:$F$15,MATCH(5,'Watershed plans'!$S$12:$S$15,0)),"")</f>
        <v/>
      </c>
      <c r="C10" s="10">
        <f>IFERROR(INDEX('Watershed plans'!$B$12:$B$15,MATCH(5,'Watershed plans'!$S$12:$S$15,0)),"")</f>
        <v/>
      </c>
      <c r="D10" s="20">
        <f>IFERROR(INDEX('Watershed plans'!$J$12:$J$15,MATCH(5,'Watershed plans'!$S$12:$S$15,0)),"")</f>
        <v/>
      </c>
      <c r="E10" s="26">
        <f>IFERROR(INDEX('Watershed plans'!$K$12:$K$15,MATCH(5,'Watershed plans'!$S$12:$S$15,0)),"")</f>
        <v/>
      </c>
      <c r="F10" s="25">
        <f>IFERROR(INDEX('Watershed plans'!$I$12:$I$15,MATCH(5,'Watershed plans'!$S$12:$S$15,0)),"")</f>
        <v/>
      </c>
      <c r="G10" s="26">
        <f>IFERROR(INDEX('Watershed plans'!$Y$12:$Y$15,MATCH(5,'Watershed plans'!$S$12:$S$15,0)),"")</f>
        <v/>
      </c>
      <c r="H10" s="26">
        <f>IFERROR(INDEX('Watershed plans'!$X$12:$X$15,MATCH(5,'Watershed plans'!$S$12:$S$15,0)),"")</f>
        <v/>
      </c>
    </row>
    <row r="11">
      <c r="A11" s="4" t="n">
        <v>6</v>
      </c>
      <c r="B11" s="6">
        <f>IFERROR(INDEX('Watershed plans'!$F$12:$F$15,MATCH(6,'Watershed plans'!$S$12:$S$15,0)),"")</f>
        <v/>
      </c>
      <c r="C11" s="10">
        <f>IFERROR(INDEX('Watershed plans'!$B$12:$B$15,MATCH(6,'Watershed plans'!$S$12:$S$15,0)),"")</f>
        <v/>
      </c>
      <c r="D11" s="20">
        <f>IFERROR(INDEX('Watershed plans'!$J$12:$J$15,MATCH(6,'Watershed plans'!$S$12:$S$15,0)),"")</f>
        <v/>
      </c>
      <c r="E11" s="26">
        <f>IFERROR(INDEX('Watershed plans'!$K$12:$K$15,MATCH(6,'Watershed plans'!$S$12:$S$15,0)),"")</f>
        <v/>
      </c>
      <c r="F11" s="25">
        <f>IFERROR(INDEX('Watershed plans'!$I$12:$I$15,MATCH(6,'Watershed plans'!$S$12:$S$15,0)),"")</f>
        <v/>
      </c>
      <c r="G11" s="26">
        <f>IFERROR(INDEX('Watershed plans'!$Y$12:$Y$15,MATCH(6,'Watershed plans'!$S$12:$S$15,0)),"")</f>
        <v/>
      </c>
      <c r="H11" s="26">
        <f>IFERROR(INDEX('Watershed plans'!$X$12:$X$15,MATCH(6,'Watershed plans'!$S$12:$S$15,0)),"")</f>
        <v/>
      </c>
    </row>
    <row r="12">
      <c r="A12" s="4" t="n">
        <v>7</v>
      </c>
      <c r="B12" s="6">
        <f>IFERROR(INDEX('Watershed plans'!$F$12:$F$15,MATCH(7,'Watershed plans'!$S$12:$S$15,0)),"")</f>
        <v/>
      </c>
      <c r="C12" s="10">
        <f>IFERROR(INDEX('Watershed plans'!$B$12:$B$15,MATCH(7,'Watershed plans'!$S$12:$S$15,0)),"")</f>
        <v/>
      </c>
      <c r="D12" s="20">
        <f>IFERROR(INDEX('Watershed plans'!$J$12:$J$15,MATCH(7,'Watershed plans'!$S$12:$S$15,0)),"")</f>
        <v/>
      </c>
      <c r="E12" s="26">
        <f>IFERROR(INDEX('Watershed plans'!$K$12:$K$15,MATCH(7,'Watershed plans'!$S$12:$S$15,0)),"")</f>
        <v/>
      </c>
      <c r="F12" s="25">
        <f>IFERROR(INDEX('Watershed plans'!$I$12:$I$15,MATCH(7,'Watershed plans'!$S$12:$S$15,0)),"")</f>
        <v/>
      </c>
      <c r="G12" s="26">
        <f>IFERROR(INDEX('Watershed plans'!$Y$12:$Y$15,MATCH(7,'Watershed plans'!$S$12:$S$15,0)),"")</f>
        <v/>
      </c>
      <c r="H12" s="26">
        <f>IFERROR(INDEX('Watershed plans'!$X$12:$X$15,MATCH(7,'Watershed plans'!$S$12:$S$15,0)),"")</f>
        <v/>
      </c>
    </row>
    <row r="13">
      <c r="A13" s="4" t="n">
        <v>8</v>
      </c>
      <c r="B13" s="6">
        <f>IFERROR(INDEX('Watershed plans'!$F$12:$F$15,MATCH(8,'Watershed plans'!$S$12:$S$15,0)),"")</f>
        <v/>
      </c>
      <c r="C13" s="10">
        <f>IFERROR(INDEX('Watershed plans'!$B$12:$B$15,MATCH(8,'Watershed plans'!$S$12:$S$15,0)),"")</f>
        <v/>
      </c>
      <c r="D13" s="20">
        <f>IFERROR(INDEX('Watershed plans'!$J$12:$J$15,MATCH(8,'Watershed plans'!$S$12:$S$15,0)),"")</f>
        <v/>
      </c>
      <c r="E13" s="26">
        <f>IFERROR(INDEX('Watershed plans'!$K$12:$K$15,MATCH(8,'Watershed plans'!$S$12:$S$15,0)),"")</f>
        <v/>
      </c>
      <c r="F13" s="25">
        <f>IFERROR(INDEX('Watershed plans'!$I$12:$I$15,MATCH(8,'Watershed plans'!$S$12:$S$15,0)),"")</f>
        <v/>
      </c>
      <c r="G13" s="26">
        <f>IFERROR(INDEX('Watershed plans'!$Y$12:$Y$15,MATCH(8,'Watershed plans'!$S$12:$S$15,0)),"")</f>
        <v/>
      </c>
      <c r="H13" s="26">
        <f>IFERROR(INDEX('Watershed plans'!$X$12:$X$15,MATCH(8,'Watershed plans'!$S$12:$S$15,0)),"")</f>
        <v/>
      </c>
    </row>
    <row r="14">
      <c r="A14" s="4" t="n">
        <v>9</v>
      </c>
      <c r="B14" s="6">
        <f>IFERROR(INDEX('Watershed plans'!$F$12:$F$15,MATCH(9,'Watershed plans'!$S$12:$S$15,0)),"")</f>
        <v/>
      </c>
      <c r="C14" s="10">
        <f>IFERROR(INDEX('Watershed plans'!$B$12:$B$15,MATCH(9,'Watershed plans'!$S$12:$S$15,0)),"")</f>
        <v/>
      </c>
      <c r="D14" s="20">
        <f>IFERROR(INDEX('Watershed plans'!$J$12:$J$15,MATCH(9,'Watershed plans'!$S$12:$S$15,0)),"")</f>
        <v/>
      </c>
      <c r="E14" s="26">
        <f>IFERROR(INDEX('Watershed plans'!$K$12:$K$15,MATCH(9,'Watershed plans'!$S$12:$S$15,0)),"")</f>
        <v/>
      </c>
      <c r="F14" s="25">
        <f>IFERROR(INDEX('Watershed plans'!$I$12:$I$15,MATCH(9,'Watershed plans'!$S$12:$S$15,0)),"")</f>
        <v/>
      </c>
      <c r="G14" s="26">
        <f>IFERROR(INDEX('Watershed plans'!$Y$12:$Y$15,MATCH(9,'Watershed plans'!$S$12:$S$15,0)),"")</f>
        <v/>
      </c>
      <c r="H14" s="26">
        <f>IFERROR(INDEX('Watershed plans'!$X$12:$X$15,MATCH(9,'Watershed plans'!$S$12:$S$15,0)),"")</f>
        <v/>
      </c>
    </row>
    <row r="15">
      <c r="A15" s="4" t="n">
        <v>10</v>
      </c>
      <c r="B15" s="6">
        <f>IFERROR(INDEX('Watershed plans'!$F$12:$F$15,MATCH(10,'Watershed plans'!$S$12:$S$15,0)),"")</f>
        <v/>
      </c>
      <c r="C15" s="10">
        <f>IFERROR(INDEX('Watershed plans'!$B$12:$B$15,MATCH(10,'Watershed plans'!$S$12:$S$15,0)),"")</f>
        <v/>
      </c>
      <c r="D15" s="20">
        <f>IFERROR(INDEX('Watershed plans'!$J$12:$J$15,MATCH(10,'Watershed plans'!$S$12:$S$15,0)),"")</f>
        <v/>
      </c>
      <c r="E15" s="26">
        <f>IFERROR(INDEX('Watershed plans'!$K$12:$K$15,MATCH(10,'Watershed plans'!$S$12:$S$15,0)),"")</f>
        <v/>
      </c>
      <c r="F15" s="25">
        <f>IFERROR(INDEX('Watershed plans'!$I$12:$I$15,MATCH(10,'Watershed plans'!$S$12:$S$15,0)),"")</f>
        <v/>
      </c>
      <c r="G15" s="26">
        <f>IFERROR(INDEX('Watershed plans'!$Y$12:$Y$15,MATCH(10,'Watershed plans'!$S$12:$S$15,0)),"")</f>
        <v/>
      </c>
      <c r="H15" s="26">
        <f>IFERROR(INDEX('Watershed plans'!$X$12:$X$15,MATCH(10,'Watershed plans'!$S$12:$S$15,0)),"")</f>
        <v/>
      </c>
    </row>
    <row r="16">
      <c r="A16" s="4" t="n">
        <v>11</v>
      </c>
      <c r="B16" s="6">
        <f>IFERROR(INDEX('Watershed plans'!$F$12:$F$15,MATCH(11,'Watershed plans'!$S$12:$S$15,0)),"")</f>
        <v/>
      </c>
      <c r="C16" s="10">
        <f>IFERROR(INDEX('Watershed plans'!$B$12:$B$15,MATCH(11,'Watershed plans'!$S$12:$S$15,0)),"")</f>
        <v/>
      </c>
      <c r="D16" s="20">
        <f>IFERROR(INDEX('Watershed plans'!$J$12:$J$15,MATCH(11,'Watershed plans'!$S$12:$S$15,0)),"")</f>
        <v/>
      </c>
      <c r="E16" s="26">
        <f>IFERROR(INDEX('Watershed plans'!$K$12:$K$15,MATCH(11,'Watershed plans'!$S$12:$S$15,0)),"")</f>
        <v/>
      </c>
      <c r="F16" s="25">
        <f>IFERROR(INDEX('Watershed plans'!$I$12:$I$15,MATCH(11,'Watershed plans'!$S$12:$S$15,0)),"")</f>
        <v/>
      </c>
      <c r="G16" s="26">
        <f>IFERROR(INDEX('Watershed plans'!$Y$12:$Y$15,MATCH(11,'Watershed plans'!$S$12:$S$15,0)),"")</f>
        <v/>
      </c>
      <c r="H16" s="26">
        <f>IFERROR(INDEX('Watershed plans'!$X$12:$X$15,MATCH(11,'Watershed plans'!$S$12:$S$15,0)),"")</f>
        <v/>
      </c>
    </row>
    <row r="17">
      <c r="A17" s="4" t="n">
        <v>12</v>
      </c>
      <c r="B17" s="6">
        <f>IFERROR(INDEX('Watershed plans'!$F$12:$F$15,MATCH(12,'Watershed plans'!$S$12:$S$15,0)),"")</f>
        <v/>
      </c>
      <c r="C17" s="10">
        <f>IFERROR(INDEX('Watershed plans'!$B$12:$B$15,MATCH(12,'Watershed plans'!$S$12:$S$15,0)),"")</f>
        <v/>
      </c>
      <c r="D17" s="20">
        <f>IFERROR(INDEX('Watershed plans'!$J$12:$J$15,MATCH(12,'Watershed plans'!$S$12:$S$15,0)),"")</f>
        <v/>
      </c>
      <c r="E17" s="26">
        <f>IFERROR(INDEX('Watershed plans'!$K$12:$K$15,MATCH(12,'Watershed plans'!$S$12:$S$15,0)),"")</f>
        <v/>
      </c>
      <c r="F17" s="25">
        <f>IFERROR(INDEX('Watershed plans'!$I$12:$I$15,MATCH(12,'Watershed plans'!$S$12:$S$15,0)),"")</f>
        <v/>
      </c>
      <c r="G17" s="26">
        <f>IFERROR(INDEX('Watershed plans'!$Y$12:$Y$15,MATCH(12,'Watershed plans'!$S$12:$S$15,0)),"")</f>
        <v/>
      </c>
      <c r="H17" s="26">
        <f>IFERROR(INDEX('Watershed plans'!$X$12:$X$15,MATCH(12,'Watershed plans'!$S$12:$S$15,0)),"")</f>
        <v/>
      </c>
    </row>
    <row r="18">
      <c r="A18" s="4" t="n">
        <v>13</v>
      </c>
      <c r="B18" s="6">
        <f>IFERROR(INDEX('Watershed plans'!$F$12:$F$15,MATCH(13,'Watershed plans'!$S$12:$S$15,0)),"")</f>
        <v/>
      </c>
      <c r="C18" s="10">
        <f>IFERROR(INDEX('Watershed plans'!$B$12:$B$15,MATCH(13,'Watershed plans'!$S$12:$S$15,0)),"")</f>
        <v/>
      </c>
      <c r="D18" s="20">
        <f>IFERROR(INDEX('Watershed plans'!$J$12:$J$15,MATCH(13,'Watershed plans'!$S$12:$S$15,0)),"")</f>
        <v/>
      </c>
      <c r="E18" s="26">
        <f>IFERROR(INDEX('Watershed plans'!$K$12:$K$15,MATCH(13,'Watershed plans'!$S$12:$S$15,0)),"")</f>
        <v/>
      </c>
      <c r="F18" s="25">
        <f>IFERROR(INDEX('Watershed plans'!$I$12:$I$15,MATCH(13,'Watershed plans'!$S$12:$S$15,0)),"")</f>
        <v/>
      </c>
      <c r="G18" s="26">
        <f>IFERROR(INDEX('Watershed plans'!$Y$12:$Y$15,MATCH(13,'Watershed plans'!$S$12:$S$15,0)),"")</f>
        <v/>
      </c>
      <c r="H18" s="26">
        <f>IFERROR(INDEX('Watershed plans'!$X$12:$X$15,MATCH(13,'Watershed plans'!$S$12:$S$15,0)),"")</f>
        <v/>
      </c>
    </row>
    <row r="19">
      <c r="A19" s="4" t="n">
        <v>14</v>
      </c>
      <c r="B19" s="6">
        <f>IFERROR(INDEX('Watershed plans'!$F$12:$F$15,MATCH(14,'Watershed plans'!$S$12:$S$15,0)),"")</f>
        <v/>
      </c>
      <c r="C19" s="10">
        <f>IFERROR(INDEX('Watershed plans'!$B$12:$B$15,MATCH(14,'Watershed plans'!$S$12:$S$15,0)),"")</f>
        <v/>
      </c>
      <c r="D19" s="20">
        <f>IFERROR(INDEX('Watershed plans'!$J$12:$J$15,MATCH(14,'Watershed plans'!$S$12:$S$15,0)),"")</f>
        <v/>
      </c>
      <c r="E19" s="26">
        <f>IFERROR(INDEX('Watershed plans'!$K$12:$K$15,MATCH(14,'Watershed plans'!$S$12:$S$15,0)),"")</f>
        <v/>
      </c>
      <c r="F19" s="25">
        <f>IFERROR(INDEX('Watershed plans'!$I$12:$I$15,MATCH(14,'Watershed plans'!$S$12:$S$15,0)),"")</f>
        <v/>
      </c>
      <c r="G19" s="26">
        <f>IFERROR(INDEX('Watershed plans'!$Y$12:$Y$15,MATCH(14,'Watershed plans'!$S$12:$S$15,0)),"")</f>
        <v/>
      </c>
      <c r="H19" s="26">
        <f>IFERROR(INDEX('Watershed plans'!$X$12:$X$15,MATCH(14,'Watershed plans'!$S$12:$S$15,0)),"")</f>
        <v/>
      </c>
    </row>
    <row r="20">
      <c r="A20" s="4" t="n">
        <v>15</v>
      </c>
      <c r="B20" s="6">
        <f>IFERROR(INDEX('Watershed plans'!$F$12:$F$15,MATCH(15,'Watershed plans'!$S$12:$S$15,0)),"")</f>
        <v/>
      </c>
      <c r="C20" s="10">
        <f>IFERROR(INDEX('Watershed plans'!$B$12:$B$15,MATCH(15,'Watershed plans'!$S$12:$S$15,0)),"")</f>
        <v/>
      </c>
      <c r="D20" s="20">
        <f>IFERROR(INDEX('Watershed plans'!$J$12:$J$15,MATCH(15,'Watershed plans'!$S$12:$S$15,0)),"")</f>
        <v/>
      </c>
      <c r="E20" s="26">
        <f>IFERROR(INDEX('Watershed plans'!$K$12:$K$15,MATCH(15,'Watershed plans'!$S$12:$S$15,0)),"")</f>
        <v/>
      </c>
      <c r="F20" s="25">
        <f>IFERROR(INDEX('Watershed plans'!$I$12:$I$15,MATCH(15,'Watershed plans'!$S$12:$S$15,0)),"")</f>
        <v/>
      </c>
      <c r="G20" s="26">
        <f>IFERROR(INDEX('Watershed plans'!$Y$12:$Y$15,MATCH(15,'Watershed plans'!$S$12:$S$15,0)),"")</f>
        <v/>
      </c>
      <c r="H20" s="26">
        <f>IFERROR(INDEX('Watershed plans'!$X$12:$X$15,MATCH(15,'Watershed plans'!$S$12:$S$15,0)),"")</f>
        <v/>
      </c>
    </row>
    <row r="21">
      <c r="A21" s="4" t="n">
        <v>16</v>
      </c>
      <c r="B21" s="6">
        <f>IFERROR(INDEX('Watershed plans'!$F$12:$F$15,MATCH(16,'Watershed plans'!$S$12:$S$15,0)),"")</f>
        <v/>
      </c>
      <c r="C21" s="10">
        <f>IFERROR(INDEX('Watershed plans'!$B$12:$B$15,MATCH(16,'Watershed plans'!$S$12:$S$15,0)),"")</f>
        <v/>
      </c>
      <c r="D21" s="20">
        <f>IFERROR(INDEX('Watershed plans'!$J$12:$J$15,MATCH(16,'Watershed plans'!$S$12:$S$15,0)),"")</f>
        <v/>
      </c>
      <c r="E21" s="26">
        <f>IFERROR(INDEX('Watershed plans'!$K$12:$K$15,MATCH(16,'Watershed plans'!$S$12:$S$15,0)),"")</f>
        <v/>
      </c>
      <c r="F21" s="25">
        <f>IFERROR(INDEX('Watershed plans'!$I$12:$I$15,MATCH(16,'Watershed plans'!$S$12:$S$15,0)),"")</f>
        <v/>
      </c>
      <c r="G21" s="26">
        <f>IFERROR(INDEX('Watershed plans'!$Y$12:$Y$15,MATCH(16,'Watershed plans'!$S$12:$S$15,0)),"")</f>
        <v/>
      </c>
      <c r="H21" s="26">
        <f>IFERROR(INDEX('Watershed plans'!$X$12:$X$15,MATCH(16,'Watershed plans'!$S$12:$S$15,0)),"")</f>
        <v/>
      </c>
    </row>
    <row r="22">
      <c r="A22" s="4" t="n">
        <v>17</v>
      </c>
      <c r="B22" s="6">
        <f>IFERROR(INDEX('Watershed plans'!$F$12:$F$15,MATCH(17,'Watershed plans'!$S$12:$S$15,0)),"")</f>
        <v/>
      </c>
      <c r="C22" s="10">
        <f>IFERROR(INDEX('Watershed plans'!$B$12:$B$15,MATCH(17,'Watershed plans'!$S$12:$S$15,0)),"")</f>
        <v/>
      </c>
      <c r="D22" s="20">
        <f>IFERROR(INDEX('Watershed plans'!$J$12:$J$15,MATCH(17,'Watershed plans'!$S$12:$S$15,0)),"")</f>
        <v/>
      </c>
      <c r="E22" s="26">
        <f>IFERROR(INDEX('Watershed plans'!$K$12:$K$15,MATCH(17,'Watershed plans'!$S$12:$S$15,0)),"")</f>
        <v/>
      </c>
      <c r="F22" s="25">
        <f>IFERROR(INDEX('Watershed plans'!$I$12:$I$15,MATCH(17,'Watershed plans'!$S$12:$S$15,0)),"")</f>
        <v/>
      </c>
      <c r="G22" s="26">
        <f>IFERROR(INDEX('Watershed plans'!$Y$12:$Y$15,MATCH(17,'Watershed plans'!$S$12:$S$15,0)),"")</f>
        <v/>
      </c>
      <c r="H22" s="26">
        <f>IFERROR(INDEX('Watershed plans'!$X$12:$X$15,MATCH(17,'Watershed plans'!$S$12:$S$15,0)),"")</f>
        <v/>
      </c>
    </row>
    <row r="23">
      <c r="A23" s="4" t="n">
        <v>18</v>
      </c>
      <c r="B23" s="6">
        <f>IFERROR(INDEX('Watershed plans'!$F$12:$F$15,MATCH(18,'Watershed plans'!$S$12:$S$15,0)),"")</f>
        <v/>
      </c>
      <c r="C23" s="10">
        <f>IFERROR(INDEX('Watershed plans'!$B$12:$B$15,MATCH(18,'Watershed plans'!$S$12:$S$15,0)),"")</f>
        <v/>
      </c>
      <c r="D23" s="20">
        <f>IFERROR(INDEX('Watershed plans'!$J$12:$J$15,MATCH(18,'Watershed plans'!$S$12:$S$15,0)),"")</f>
        <v/>
      </c>
      <c r="E23" s="26">
        <f>IFERROR(INDEX('Watershed plans'!$K$12:$K$15,MATCH(18,'Watershed plans'!$S$12:$S$15,0)),"")</f>
        <v/>
      </c>
      <c r="F23" s="25">
        <f>IFERROR(INDEX('Watershed plans'!$I$12:$I$15,MATCH(18,'Watershed plans'!$S$12:$S$15,0)),"")</f>
        <v/>
      </c>
      <c r="G23" s="26">
        <f>IFERROR(INDEX('Watershed plans'!$Y$12:$Y$15,MATCH(18,'Watershed plans'!$S$12:$S$15,0)),"")</f>
        <v/>
      </c>
      <c r="H23" s="26">
        <f>IFERROR(INDEX('Watershed plans'!$X$12:$X$15,MATCH(18,'Watershed plans'!$S$12:$S$15,0)),"")</f>
        <v/>
      </c>
    </row>
    <row r="24">
      <c r="A24" s="4" t="n">
        <v>19</v>
      </c>
      <c r="B24" s="6">
        <f>IFERROR(INDEX('Watershed plans'!$F$12:$F$15,MATCH(19,'Watershed plans'!$S$12:$S$15,0)),"")</f>
        <v/>
      </c>
      <c r="C24" s="10">
        <f>IFERROR(INDEX('Watershed plans'!$B$12:$B$15,MATCH(19,'Watershed plans'!$S$12:$S$15,0)),"")</f>
        <v/>
      </c>
      <c r="D24" s="20">
        <f>IFERROR(INDEX('Watershed plans'!$J$12:$J$15,MATCH(19,'Watershed plans'!$S$12:$S$15,0)),"")</f>
        <v/>
      </c>
      <c r="E24" s="26">
        <f>IFERROR(INDEX('Watershed plans'!$K$12:$K$15,MATCH(19,'Watershed plans'!$S$12:$S$15,0)),"")</f>
        <v/>
      </c>
      <c r="F24" s="25">
        <f>IFERROR(INDEX('Watershed plans'!$I$12:$I$15,MATCH(19,'Watershed plans'!$S$12:$S$15,0)),"")</f>
        <v/>
      </c>
      <c r="G24" s="26">
        <f>IFERROR(INDEX('Watershed plans'!$Y$12:$Y$15,MATCH(19,'Watershed plans'!$S$12:$S$15,0)),"")</f>
        <v/>
      </c>
      <c r="H24" s="26">
        <f>IFERROR(INDEX('Watershed plans'!$X$12:$X$15,MATCH(19,'Watershed plans'!$S$12:$S$15,0)),"")</f>
        <v/>
      </c>
    </row>
    <row r="25">
      <c r="A25" s="4" t="n">
        <v>20</v>
      </c>
      <c r="B25" s="6">
        <f>IFERROR(INDEX('Watershed plans'!$F$12:$F$15,MATCH(20,'Watershed plans'!$S$12:$S$15,0)),"")</f>
        <v/>
      </c>
      <c r="C25" s="10">
        <f>IFERROR(INDEX('Watershed plans'!$B$12:$B$15,MATCH(20,'Watershed plans'!$S$12:$S$15,0)),"")</f>
        <v/>
      </c>
      <c r="D25" s="20">
        <f>IFERROR(INDEX('Watershed plans'!$J$12:$J$15,MATCH(20,'Watershed plans'!$S$12:$S$15,0)),"")</f>
        <v/>
      </c>
      <c r="E25" s="26">
        <f>IFERROR(INDEX('Watershed plans'!$K$12:$K$15,MATCH(20,'Watershed plans'!$S$12:$S$15,0)),"")</f>
        <v/>
      </c>
      <c r="F25" s="25">
        <f>IFERROR(INDEX('Watershed plans'!$I$12:$I$15,MATCH(20,'Watershed plans'!$S$12:$S$15,0)),"")</f>
        <v/>
      </c>
      <c r="G25" s="26">
        <f>IFERROR(INDEX('Watershed plans'!$Y$12:$Y$15,MATCH(20,'Watershed plans'!$S$12:$S$15,0)),"")</f>
        <v/>
      </c>
      <c r="H25" s="26">
        <f>IFERROR(INDEX('Watershed plans'!$X$12:$X$15,MATCH(20,'Watershed plans'!$S$12:$S$15,0)),"")</f>
        <v/>
      </c>
    </row>
    <row r="26">
      <c r="A26" s="4" t="n">
        <v>21</v>
      </c>
      <c r="B26" s="6">
        <f>IFERROR(INDEX('Watershed plans'!$F$12:$F$15,MATCH(21,'Watershed plans'!$S$12:$S$15,0)),"")</f>
        <v/>
      </c>
      <c r="C26" s="10">
        <f>IFERROR(INDEX('Watershed plans'!$B$12:$B$15,MATCH(21,'Watershed plans'!$S$12:$S$15,0)),"")</f>
        <v/>
      </c>
      <c r="D26" s="20">
        <f>IFERROR(INDEX('Watershed plans'!$J$12:$J$15,MATCH(21,'Watershed plans'!$S$12:$S$15,0)),"")</f>
        <v/>
      </c>
      <c r="E26" s="26">
        <f>IFERROR(INDEX('Watershed plans'!$K$12:$K$15,MATCH(21,'Watershed plans'!$S$12:$S$15,0)),"")</f>
        <v/>
      </c>
      <c r="F26" s="25">
        <f>IFERROR(INDEX('Watershed plans'!$I$12:$I$15,MATCH(21,'Watershed plans'!$S$12:$S$15,0)),"")</f>
        <v/>
      </c>
      <c r="G26" s="26">
        <f>IFERROR(INDEX('Watershed plans'!$Y$12:$Y$15,MATCH(21,'Watershed plans'!$S$12:$S$15,0)),"")</f>
        <v/>
      </c>
      <c r="H26" s="26">
        <f>IFERROR(INDEX('Watershed plans'!$X$12:$X$15,MATCH(21,'Watershed plans'!$S$12:$S$15,0)),"")</f>
        <v/>
      </c>
    </row>
    <row r="27">
      <c r="A27" s="4" t="n">
        <v>22</v>
      </c>
      <c r="B27" s="6">
        <f>IFERROR(INDEX('Watershed plans'!$F$12:$F$15,MATCH(22,'Watershed plans'!$S$12:$S$15,0)),"")</f>
        <v/>
      </c>
      <c r="C27" s="10">
        <f>IFERROR(INDEX('Watershed plans'!$B$12:$B$15,MATCH(22,'Watershed plans'!$S$12:$S$15,0)),"")</f>
        <v/>
      </c>
      <c r="D27" s="20">
        <f>IFERROR(INDEX('Watershed plans'!$J$12:$J$15,MATCH(22,'Watershed plans'!$S$12:$S$15,0)),"")</f>
        <v/>
      </c>
      <c r="E27" s="26">
        <f>IFERROR(INDEX('Watershed plans'!$K$12:$K$15,MATCH(22,'Watershed plans'!$S$12:$S$15,0)),"")</f>
        <v/>
      </c>
      <c r="F27" s="25">
        <f>IFERROR(INDEX('Watershed plans'!$I$12:$I$15,MATCH(22,'Watershed plans'!$S$12:$S$15,0)),"")</f>
        <v/>
      </c>
      <c r="G27" s="26">
        <f>IFERROR(INDEX('Watershed plans'!$Y$12:$Y$15,MATCH(22,'Watershed plans'!$S$12:$S$15,0)),"")</f>
        <v/>
      </c>
      <c r="H27" s="26">
        <f>IFERROR(INDEX('Watershed plans'!$X$12:$X$15,MATCH(22,'Watershed plans'!$S$12:$S$15,0)),"")</f>
        <v/>
      </c>
    </row>
    <row r="28">
      <c r="A28" s="4" t="n">
        <v>23</v>
      </c>
      <c r="B28" s="6">
        <f>IFERROR(INDEX('Watershed plans'!$F$12:$F$15,MATCH(23,'Watershed plans'!$S$12:$S$15,0)),"")</f>
        <v/>
      </c>
      <c r="C28" s="10">
        <f>IFERROR(INDEX('Watershed plans'!$B$12:$B$15,MATCH(23,'Watershed plans'!$S$12:$S$15,0)),"")</f>
        <v/>
      </c>
      <c r="D28" s="20">
        <f>IFERROR(INDEX('Watershed plans'!$J$12:$J$15,MATCH(23,'Watershed plans'!$S$12:$S$15,0)),"")</f>
        <v/>
      </c>
      <c r="E28" s="26">
        <f>IFERROR(INDEX('Watershed plans'!$K$12:$K$15,MATCH(23,'Watershed plans'!$S$12:$S$15,0)),"")</f>
        <v/>
      </c>
      <c r="F28" s="25">
        <f>IFERROR(INDEX('Watershed plans'!$I$12:$I$15,MATCH(23,'Watershed plans'!$S$12:$S$15,0)),"")</f>
        <v/>
      </c>
      <c r="G28" s="26">
        <f>IFERROR(INDEX('Watershed plans'!$Y$12:$Y$15,MATCH(23,'Watershed plans'!$S$12:$S$15,0)),"")</f>
        <v/>
      </c>
      <c r="H28" s="26">
        <f>IFERROR(INDEX('Watershed plans'!$X$12:$X$15,MATCH(23,'Watershed plans'!$S$12:$S$15,0)),"")</f>
        <v/>
      </c>
    </row>
    <row r="29">
      <c r="A29" s="4" t="n">
        <v>24</v>
      </c>
      <c r="B29" s="6">
        <f>IFERROR(INDEX('Watershed plans'!$F$12:$F$15,MATCH(24,'Watershed plans'!$S$12:$S$15,0)),"")</f>
        <v/>
      </c>
      <c r="C29" s="10">
        <f>IFERROR(INDEX('Watershed plans'!$B$12:$B$15,MATCH(24,'Watershed plans'!$S$12:$S$15,0)),"")</f>
        <v/>
      </c>
      <c r="D29" s="20">
        <f>IFERROR(INDEX('Watershed plans'!$J$12:$J$15,MATCH(24,'Watershed plans'!$S$12:$S$15,0)),"")</f>
        <v/>
      </c>
      <c r="E29" s="26">
        <f>IFERROR(INDEX('Watershed plans'!$K$12:$K$15,MATCH(24,'Watershed plans'!$S$12:$S$15,0)),"")</f>
        <v/>
      </c>
      <c r="F29" s="25">
        <f>IFERROR(INDEX('Watershed plans'!$I$12:$I$15,MATCH(24,'Watershed plans'!$S$12:$S$15,0)),"")</f>
        <v/>
      </c>
      <c r="G29" s="26">
        <f>IFERROR(INDEX('Watershed plans'!$Y$12:$Y$15,MATCH(24,'Watershed plans'!$S$12:$S$15,0)),"")</f>
        <v/>
      </c>
      <c r="H29" s="26">
        <f>IFERROR(INDEX('Watershed plans'!$X$12:$X$15,MATCH(24,'Watershed plans'!$S$12:$S$15,0)),"")</f>
        <v/>
      </c>
    </row>
    <row r="30">
      <c r="A30" s="4" t="n">
        <v>25</v>
      </c>
      <c r="B30" s="6">
        <f>IFERROR(INDEX('Watershed plans'!$F$12:$F$15,MATCH(25,'Watershed plans'!$S$12:$S$15,0)),"")</f>
        <v/>
      </c>
      <c r="C30" s="10">
        <f>IFERROR(INDEX('Watershed plans'!$B$12:$B$15,MATCH(25,'Watershed plans'!$S$12:$S$15,0)),"")</f>
        <v/>
      </c>
      <c r="D30" s="20">
        <f>IFERROR(INDEX('Watershed plans'!$J$12:$J$15,MATCH(25,'Watershed plans'!$S$12:$S$15,0)),"")</f>
        <v/>
      </c>
      <c r="E30" s="26">
        <f>IFERROR(INDEX('Watershed plans'!$K$12:$K$15,MATCH(25,'Watershed plans'!$S$12:$S$15,0)),"")</f>
        <v/>
      </c>
      <c r="F30" s="25">
        <f>IFERROR(INDEX('Watershed plans'!$I$12:$I$15,MATCH(25,'Watershed plans'!$S$12:$S$15,0)),"")</f>
        <v/>
      </c>
      <c r="G30" s="26">
        <f>IFERROR(INDEX('Watershed plans'!$Y$12:$Y$15,MATCH(25,'Watershed plans'!$S$12:$S$15,0)),"")</f>
        <v/>
      </c>
      <c r="H30" s="26">
        <f>IFERROR(INDEX('Watershed plans'!$X$12:$X$15,MATCH(25,'Watershed plans'!$S$12:$S$15,0)),"")</f>
        <v/>
      </c>
    </row>
    <row r="31">
      <c r="A31" s="4" t="n">
        <v>26</v>
      </c>
      <c r="B31" s="6">
        <f>IFERROR(INDEX('Watershed plans'!$F$12:$F$15,MATCH(26,'Watershed plans'!$S$12:$S$15,0)),"")</f>
        <v/>
      </c>
      <c r="C31" s="10">
        <f>IFERROR(INDEX('Watershed plans'!$B$12:$B$15,MATCH(26,'Watershed plans'!$S$12:$S$15,0)),"")</f>
        <v/>
      </c>
      <c r="D31" s="20">
        <f>IFERROR(INDEX('Watershed plans'!$J$12:$J$15,MATCH(26,'Watershed plans'!$S$12:$S$15,0)),"")</f>
        <v/>
      </c>
      <c r="E31" s="26">
        <f>IFERROR(INDEX('Watershed plans'!$K$12:$K$15,MATCH(26,'Watershed plans'!$S$12:$S$15,0)),"")</f>
        <v/>
      </c>
      <c r="F31" s="25">
        <f>IFERROR(INDEX('Watershed plans'!$I$12:$I$15,MATCH(26,'Watershed plans'!$S$12:$S$15,0)),"")</f>
        <v/>
      </c>
      <c r="G31" s="26">
        <f>IFERROR(INDEX('Watershed plans'!$Y$12:$Y$15,MATCH(26,'Watershed plans'!$S$12:$S$15,0)),"")</f>
        <v/>
      </c>
      <c r="H31" s="26">
        <f>IFERROR(INDEX('Watershed plans'!$X$12:$X$15,MATCH(26,'Watershed plans'!$S$12:$S$15,0)),"")</f>
        <v/>
      </c>
    </row>
    <row r="32">
      <c r="A32" s="4" t="n">
        <v>27</v>
      </c>
      <c r="B32" s="6">
        <f>IFERROR(INDEX('Watershed plans'!$F$12:$F$15,MATCH(27,'Watershed plans'!$S$12:$S$15,0)),"")</f>
        <v/>
      </c>
      <c r="C32" s="10">
        <f>IFERROR(INDEX('Watershed plans'!$B$12:$B$15,MATCH(27,'Watershed plans'!$S$12:$S$15,0)),"")</f>
        <v/>
      </c>
      <c r="D32" s="20">
        <f>IFERROR(INDEX('Watershed plans'!$J$12:$J$15,MATCH(27,'Watershed plans'!$S$12:$S$15,0)),"")</f>
        <v/>
      </c>
      <c r="E32" s="26">
        <f>IFERROR(INDEX('Watershed plans'!$K$12:$K$15,MATCH(27,'Watershed plans'!$S$12:$S$15,0)),"")</f>
        <v/>
      </c>
      <c r="F32" s="25">
        <f>IFERROR(INDEX('Watershed plans'!$I$12:$I$15,MATCH(27,'Watershed plans'!$S$12:$S$15,0)),"")</f>
        <v/>
      </c>
      <c r="G32" s="26">
        <f>IFERROR(INDEX('Watershed plans'!$Y$12:$Y$15,MATCH(27,'Watershed plans'!$S$12:$S$15,0)),"")</f>
        <v/>
      </c>
      <c r="H32" s="26">
        <f>IFERROR(INDEX('Watershed plans'!$X$12:$X$15,MATCH(27,'Watershed plans'!$S$12:$S$15,0)),"")</f>
        <v/>
      </c>
    </row>
    <row r="33">
      <c r="A33" s="4" t="n">
        <v>28</v>
      </c>
      <c r="B33" s="6">
        <f>IFERROR(INDEX('Watershed plans'!$F$12:$F$15,MATCH(28,'Watershed plans'!$S$12:$S$15,0)),"")</f>
        <v/>
      </c>
      <c r="C33" s="10">
        <f>IFERROR(INDEX('Watershed plans'!$B$12:$B$15,MATCH(28,'Watershed plans'!$S$12:$S$15,0)),"")</f>
        <v/>
      </c>
      <c r="D33" s="20">
        <f>IFERROR(INDEX('Watershed plans'!$J$12:$J$15,MATCH(28,'Watershed plans'!$S$12:$S$15,0)),"")</f>
        <v/>
      </c>
      <c r="E33" s="26">
        <f>IFERROR(INDEX('Watershed plans'!$K$12:$K$15,MATCH(28,'Watershed plans'!$S$12:$S$15,0)),"")</f>
        <v/>
      </c>
      <c r="F33" s="25">
        <f>IFERROR(INDEX('Watershed plans'!$I$12:$I$15,MATCH(28,'Watershed plans'!$S$12:$S$15,0)),"")</f>
        <v/>
      </c>
      <c r="G33" s="26">
        <f>IFERROR(INDEX('Watershed plans'!$Y$12:$Y$15,MATCH(28,'Watershed plans'!$S$12:$S$15,0)),"")</f>
        <v/>
      </c>
      <c r="H33" s="26">
        <f>IFERROR(INDEX('Watershed plans'!$X$12:$X$15,MATCH(28,'Watershed plans'!$S$12:$S$15,0)),"")</f>
        <v/>
      </c>
    </row>
    <row r="34">
      <c r="A34" s="4" t="n">
        <v>29</v>
      </c>
      <c r="B34" s="6">
        <f>IFERROR(INDEX('Watershed plans'!$F$12:$F$15,MATCH(29,'Watershed plans'!$S$12:$S$15,0)),"")</f>
        <v/>
      </c>
      <c r="C34" s="10">
        <f>IFERROR(INDEX('Watershed plans'!$B$12:$B$15,MATCH(29,'Watershed plans'!$S$12:$S$15,0)),"")</f>
        <v/>
      </c>
      <c r="D34" s="20">
        <f>IFERROR(INDEX('Watershed plans'!$J$12:$J$15,MATCH(29,'Watershed plans'!$S$12:$S$15,0)),"")</f>
        <v/>
      </c>
      <c r="E34" s="26">
        <f>IFERROR(INDEX('Watershed plans'!$K$12:$K$15,MATCH(29,'Watershed plans'!$S$12:$S$15,0)),"")</f>
        <v/>
      </c>
      <c r="F34" s="25">
        <f>IFERROR(INDEX('Watershed plans'!$I$12:$I$15,MATCH(29,'Watershed plans'!$S$12:$S$15,0)),"")</f>
        <v/>
      </c>
      <c r="G34" s="26">
        <f>IFERROR(INDEX('Watershed plans'!$Y$12:$Y$15,MATCH(29,'Watershed plans'!$S$12:$S$15,0)),"")</f>
        <v/>
      </c>
      <c r="H34" s="26">
        <f>IFERROR(INDEX('Watershed plans'!$X$12:$X$15,MATCH(29,'Watershed plans'!$S$12:$S$15,0)),"")</f>
        <v/>
      </c>
    </row>
    <row r="35">
      <c r="A35" s="4" t="n">
        <v>30</v>
      </c>
      <c r="B35" s="6">
        <f>IFERROR(INDEX('Watershed plans'!$F$12:$F$15,MATCH(30,'Watershed plans'!$S$12:$S$15,0)),"")</f>
        <v/>
      </c>
      <c r="C35" s="10">
        <f>IFERROR(INDEX('Watershed plans'!$B$12:$B$15,MATCH(30,'Watershed plans'!$S$12:$S$15,0)),"")</f>
        <v/>
      </c>
      <c r="D35" s="20">
        <f>IFERROR(INDEX('Watershed plans'!$J$12:$J$15,MATCH(30,'Watershed plans'!$S$12:$S$15,0)),"")</f>
        <v/>
      </c>
      <c r="E35" s="26">
        <f>IFERROR(INDEX('Watershed plans'!$K$12:$K$15,MATCH(30,'Watershed plans'!$S$12:$S$15,0)),"")</f>
        <v/>
      </c>
      <c r="F35" s="25">
        <f>IFERROR(INDEX('Watershed plans'!$I$12:$I$15,MATCH(30,'Watershed plans'!$S$12:$S$15,0)),"")</f>
        <v/>
      </c>
      <c r="G35" s="26">
        <f>IFERROR(INDEX('Watershed plans'!$Y$12:$Y$15,MATCH(30,'Watershed plans'!$S$12:$S$15,0)),"")</f>
        <v/>
      </c>
      <c r="H35" s="26">
        <f>IFERROR(INDEX('Watershed plans'!$X$12:$X$15,MATCH(30,'Watershed plans'!$S$12:$S$15,0)),"")</f>
        <v/>
      </c>
    </row>
    <row r="36">
      <c r="A36" s="4" t="n">
        <v>31</v>
      </c>
      <c r="B36" s="6">
        <f>IFERROR(INDEX('Watershed plans'!$F$12:$F$15,MATCH(31,'Watershed plans'!$S$12:$S$15,0)),"")</f>
        <v/>
      </c>
      <c r="C36" s="10">
        <f>IFERROR(INDEX('Watershed plans'!$B$12:$B$15,MATCH(31,'Watershed plans'!$S$12:$S$15,0)),"")</f>
        <v/>
      </c>
      <c r="D36" s="20">
        <f>IFERROR(INDEX('Watershed plans'!$J$12:$J$15,MATCH(31,'Watershed plans'!$S$12:$S$15,0)),"")</f>
        <v/>
      </c>
      <c r="E36" s="26">
        <f>IFERROR(INDEX('Watershed plans'!$K$12:$K$15,MATCH(31,'Watershed plans'!$S$12:$S$15,0)),"")</f>
        <v/>
      </c>
      <c r="F36" s="25">
        <f>IFERROR(INDEX('Watershed plans'!$I$12:$I$15,MATCH(31,'Watershed plans'!$S$12:$S$15,0)),"")</f>
        <v/>
      </c>
      <c r="G36" s="26">
        <f>IFERROR(INDEX('Watershed plans'!$Y$12:$Y$15,MATCH(31,'Watershed plans'!$S$12:$S$15,0)),"")</f>
        <v/>
      </c>
      <c r="H36" s="26">
        <f>IFERROR(INDEX('Watershed plans'!$X$12:$X$15,MATCH(31,'Watershed plans'!$S$12:$S$15,0)),"")</f>
        <v/>
      </c>
    </row>
    <row r="37">
      <c r="A37" s="4" t="n">
        <v>32</v>
      </c>
      <c r="B37" s="6">
        <f>IFERROR(INDEX('Watershed plans'!$F$12:$F$15,MATCH(32,'Watershed plans'!$S$12:$S$15,0)),"")</f>
        <v/>
      </c>
      <c r="C37" s="10">
        <f>IFERROR(INDEX('Watershed plans'!$B$12:$B$15,MATCH(32,'Watershed plans'!$S$12:$S$15,0)),"")</f>
        <v/>
      </c>
      <c r="D37" s="20">
        <f>IFERROR(INDEX('Watershed plans'!$J$12:$J$15,MATCH(32,'Watershed plans'!$S$12:$S$15,0)),"")</f>
        <v/>
      </c>
      <c r="E37" s="26">
        <f>IFERROR(INDEX('Watershed plans'!$K$12:$K$15,MATCH(32,'Watershed plans'!$S$12:$S$15,0)),"")</f>
        <v/>
      </c>
      <c r="F37" s="25">
        <f>IFERROR(INDEX('Watershed plans'!$I$12:$I$15,MATCH(32,'Watershed plans'!$S$12:$S$15,0)),"")</f>
        <v/>
      </c>
      <c r="G37" s="26">
        <f>IFERROR(INDEX('Watershed plans'!$Y$12:$Y$15,MATCH(32,'Watershed plans'!$S$12:$S$15,0)),"")</f>
        <v/>
      </c>
      <c r="H37" s="26">
        <f>IFERROR(INDEX('Watershed plans'!$X$12:$X$15,MATCH(32,'Watershed plans'!$S$12:$S$15,0)),"")</f>
        <v/>
      </c>
    </row>
    <row r="38">
      <c r="A38" s="4" t="n">
        <v>33</v>
      </c>
      <c r="B38" s="6">
        <f>IFERROR(INDEX('Watershed plans'!$F$12:$F$15,MATCH(33,'Watershed plans'!$S$12:$S$15,0)),"")</f>
        <v/>
      </c>
      <c r="C38" s="10">
        <f>IFERROR(INDEX('Watershed plans'!$B$12:$B$15,MATCH(33,'Watershed plans'!$S$12:$S$15,0)),"")</f>
        <v/>
      </c>
      <c r="D38" s="20">
        <f>IFERROR(INDEX('Watershed plans'!$J$12:$J$15,MATCH(33,'Watershed plans'!$S$12:$S$15,0)),"")</f>
        <v/>
      </c>
      <c r="E38" s="26">
        <f>IFERROR(INDEX('Watershed plans'!$K$12:$K$15,MATCH(33,'Watershed plans'!$S$12:$S$15,0)),"")</f>
        <v/>
      </c>
      <c r="F38" s="25">
        <f>IFERROR(INDEX('Watershed plans'!$I$12:$I$15,MATCH(33,'Watershed plans'!$S$12:$S$15,0)),"")</f>
        <v/>
      </c>
      <c r="G38" s="26">
        <f>IFERROR(INDEX('Watershed plans'!$Y$12:$Y$15,MATCH(33,'Watershed plans'!$S$12:$S$15,0)),"")</f>
        <v/>
      </c>
      <c r="H38" s="26">
        <f>IFERROR(INDEX('Watershed plans'!$X$12:$X$15,MATCH(33,'Watershed plans'!$S$12:$S$15,0)),"")</f>
        <v/>
      </c>
    </row>
    <row r="39">
      <c r="A39" s="4" t="n">
        <v>34</v>
      </c>
      <c r="B39" s="6">
        <f>IFERROR(INDEX('Watershed plans'!$F$12:$F$15,MATCH(34,'Watershed plans'!$S$12:$S$15,0)),"")</f>
        <v/>
      </c>
      <c r="C39" s="10">
        <f>IFERROR(INDEX('Watershed plans'!$B$12:$B$15,MATCH(34,'Watershed plans'!$S$12:$S$15,0)),"")</f>
        <v/>
      </c>
      <c r="D39" s="20">
        <f>IFERROR(INDEX('Watershed plans'!$J$12:$J$15,MATCH(34,'Watershed plans'!$S$12:$S$15,0)),"")</f>
        <v/>
      </c>
      <c r="E39" s="26">
        <f>IFERROR(INDEX('Watershed plans'!$K$12:$K$15,MATCH(34,'Watershed plans'!$S$12:$S$15,0)),"")</f>
        <v/>
      </c>
      <c r="F39" s="25">
        <f>IFERROR(INDEX('Watershed plans'!$I$12:$I$15,MATCH(34,'Watershed plans'!$S$12:$S$15,0)),"")</f>
        <v/>
      </c>
      <c r="G39" s="26">
        <f>IFERROR(INDEX('Watershed plans'!$Y$12:$Y$15,MATCH(34,'Watershed plans'!$S$12:$S$15,0)),"")</f>
        <v/>
      </c>
      <c r="H39" s="26">
        <f>IFERROR(INDEX('Watershed plans'!$X$12:$X$15,MATCH(34,'Watershed plans'!$S$12:$S$15,0)),"")</f>
        <v/>
      </c>
    </row>
    <row r="40">
      <c r="A40" s="4" t="n">
        <v>35</v>
      </c>
      <c r="B40" s="6">
        <f>IFERROR(INDEX('Watershed plans'!$F$12:$F$15,MATCH(35,'Watershed plans'!$S$12:$S$15,0)),"")</f>
        <v/>
      </c>
      <c r="C40" s="10">
        <f>IFERROR(INDEX('Watershed plans'!$B$12:$B$15,MATCH(35,'Watershed plans'!$S$12:$S$15,0)),"")</f>
        <v/>
      </c>
      <c r="D40" s="20">
        <f>IFERROR(INDEX('Watershed plans'!$J$12:$J$15,MATCH(35,'Watershed plans'!$S$12:$S$15,0)),"")</f>
        <v/>
      </c>
      <c r="E40" s="26">
        <f>IFERROR(INDEX('Watershed plans'!$K$12:$K$15,MATCH(35,'Watershed plans'!$S$12:$S$15,0)),"")</f>
        <v/>
      </c>
      <c r="F40" s="25">
        <f>IFERROR(INDEX('Watershed plans'!$I$12:$I$15,MATCH(35,'Watershed plans'!$S$12:$S$15,0)),"")</f>
        <v/>
      </c>
      <c r="G40" s="26">
        <f>IFERROR(INDEX('Watershed plans'!$Y$12:$Y$15,MATCH(35,'Watershed plans'!$S$12:$S$15,0)),"")</f>
        <v/>
      </c>
      <c r="H40" s="26">
        <f>IFERROR(INDEX('Watershed plans'!$X$12:$X$15,MATCH(35,'Watershed plans'!$S$12:$S$15,0)),"")</f>
        <v/>
      </c>
    </row>
    <row r="41">
      <c r="A41" s="4" t="n">
        <v>36</v>
      </c>
      <c r="B41" s="6">
        <f>IFERROR(INDEX('Watershed plans'!$F$12:$F$15,MATCH(36,'Watershed plans'!$S$12:$S$15,0)),"")</f>
        <v/>
      </c>
      <c r="C41" s="10">
        <f>IFERROR(INDEX('Watershed plans'!$B$12:$B$15,MATCH(36,'Watershed plans'!$S$12:$S$15,0)),"")</f>
        <v/>
      </c>
      <c r="D41" s="20">
        <f>IFERROR(INDEX('Watershed plans'!$J$12:$J$15,MATCH(36,'Watershed plans'!$S$12:$S$15,0)),"")</f>
        <v/>
      </c>
      <c r="E41" s="26">
        <f>IFERROR(INDEX('Watershed plans'!$K$12:$K$15,MATCH(36,'Watershed plans'!$S$12:$S$15,0)),"")</f>
        <v/>
      </c>
      <c r="F41" s="25">
        <f>IFERROR(INDEX('Watershed plans'!$I$12:$I$15,MATCH(36,'Watershed plans'!$S$12:$S$15,0)),"")</f>
        <v/>
      </c>
      <c r="G41" s="26">
        <f>IFERROR(INDEX('Watershed plans'!$Y$12:$Y$15,MATCH(36,'Watershed plans'!$S$12:$S$15,0)),"")</f>
        <v/>
      </c>
      <c r="H41" s="26">
        <f>IFERROR(INDEX('Watershed plans'!$X$12:$X$15,MATCH(36,'Watershed plans'!$S$12:$S$15,0)),"")</f>
        <v/>
      </c>
    </row>
    <row r="42">
      <c r="A42" s="4" t="n">
        <v>37</v>
      </c>
      <c r="B42" s="6">
        <f>IFERROR(INDEX('Watershed plans'!$F$12:$F$15,MATCH(37,'Watershed plans'!$S$12:$S$15,0)),"")</f>
        <v/>
      </c>
      <c r="C42" s="10">
        <f>IFERROR(INDEX('Watershed plans'!$B$12:$B$15,MATCH(37,'Watershed plans'!$S$12:$S$15,0)),"")</f>
        <v/>
      </c>
      <c r="D42" s="20">
        <f>IFERROR(INDEX('Watershed plans'!$J$12:$J$15,MATCH(37,'Watershed plans'!$S$12:$S$15,0)),"")</f>
        <v/>
      </c>
      <c r="E42" s="26">
        <f>IFERROR(INDEX('Watershed plans'!$K$12:$K$15,MATCH(37,'Watershed plans'!$S$12:$S$15,0)),"")</f>
        <v/>
      </c>
      <c r="F42" s="25">
        <f>IFERROR(INDEX('Watershed plans'!$I$12:$I$15,MATCH(37,'Watershed plans'!$S$12:$S$15,0)),"")</f>
        <v/>
      </c>
      <c r="G42" s="26">
        <f>IFERROR(INDEX('Watershed plans'!$Y$12:$Y$15,MATCH(37,'Watershed plans'!$S$12:$S$15,0)),"")</f>
        <v/>
      </c>
      <c r="H42" s="26">
        <f>IFERROR(INDEX('Watershed plans'!$X$12:$X$15,MATCH(37,'Watershed plans'!$S$12:$S$15,0)),"")</f>
        <v/>
      </c>
    </row>
    <row r="43">
      <c r="A43" s="4" t="n">
        <v>38</v>
      </c>
      <c r="B43" s="6">
        <f>IFERROR(INDEX('Watershed plans'!$F$12:$F$15,MATCH(38,'Watershed plans'!$S$12:$S$15,0)),"")</f>
        <v/>
      </c>
      <c r="C43" s="10">
        <f>IFERROR(INDEX('Watershed plans'!$B$12:$B$15,MATCH(38,'Watershed plans'!$S$12:$S$15,0)),"")</f>
        <v/>
      </c>
      <c r="D43" s="20">
        <f>IFERROR(INDEX('Watershed plans'!$J$12:$J$15,MATCH(38,'Watershed plans'!$S$12:$S$15,0)),"")</f>
        <v/>
      </c>
      <c r="E43" s="26">
        <f>IFERROR(INDEX('Watershed plans'!$K$12:$K$15,MATCH(38,'Watershed plans'!$S$12:$S$15,0)),"")</f>
        <v/>
      </c>
      <c r="F43" s="25">
        <f>IFERROR(INDEX('Watershed plans'!$I$12:$I$15,MATCH(38,'Watershed plans'!$S$12:$S$15,0)),"")</f>
        <v/>
      </c>
      <c r="G43" s="26">
        <f>IFERROR(INDEX('Watershed plans'!$Y$12:$Y$15,MATCH(38,'Watershed plans'!$S$12:$S$15,0)),"")</f>
        <v/>
      </c>
      <c r="H43" s="26">
        <f>IFERROR(INDEX('Watershed plans'!$X$12:$X$15,MATCH(38,'Watershed plans'!$S$12:$S$15,0)),"")</f>
        <v/>
      </c>
    </row>
    <row r="44">
      <c r="A44" s="4" t="n">
        <v>39</v>
      </c>
      <c r="B44" s="6">
        <f>IFERROR(INDEX('Watershed plans'!$F$12:$F$15,MATCH(39,'Watershed plans'!$S$12:$S$15,0)),"")</f>
        <v/>
      </c>
      <c r="C44" s="10">
        <f>IFERROR(INDEX('Watershed plans'!$B$12:$B$15,MATCH(39,'Watershed plans'!$S$12:$S$15,0)),"")</f>
        <v/>
      </c>
      <c r="D44" s="20">
        <f>IFERROR(INDEX('Watershed plans'!$J$12:$J$15,MATCH(39,'Watershed plans'!$S$12:$S$15,0)),"")</f>
        <v/>
      </c>
      <c r="E44" s="26">
        <f>IFERROR(INDEX('Watershed plans'!$K$12:$K$15,MATCH(39,'Watershed plans'!$S$12:$S$15,0)),"")</f>
        <v/>
      </c>
      <c r="F44" s="25">
        <f>IFERROR(INDEX('Watershed plans'!$I$12:$I$15,MATCH(39,'Watershed plans'!$S$12:$S$15,0)),"")</f>
        <v/>
      </c>
      <c r="G44" s="26">
        <f>IFERROR(INDEX('Watershed plans'!$Y$12:$Y$15,MATCH(39,'Watershed plans'!$S$12:$S$15,0)),"")</f>
        <v/>
      </c>
      <c r="H44" s="26">
        <f>IFERROR(INDEX('Watershed plans'!$X$12:$X$15,MATCH(39,'Watershed plans'!$S$12:$S$15,0)),"")</f>
        <v/>
      </c>
    </row>
    <row r="45">
      <c r="A45" s="4" t="n">
        <v>40</v>
      </c>
      <c r="B45" s="6">
        <f>IFERROR(INDEX('Watershed plans'!$F$12:$F$15,MATCH(40,'Watershed plans'!$S$12:$S$15,0)),"")</f>
        <v/>
      </c>
      <c r="C45" s="10">
        <f>IFERROR(INDEX('Watershed plans'!$B$12:$B$15,MATCH(40,'Watershed plans'!$S$12:$S$15,0)),"")</f>
        <v/>
      </c>
      <c r="D45" s="20">
        <f>IFERROR(INDEX('Watershed plans'!$J$12:$J$15,MATCH(40,'Watershed plans'!$S$12:$S$15,0)),"")</f>
        <v/>
      </c>
      <c r="E45" s="26">
        <f>IFERROR(INDEX('Watershed plans'!$K$12:$K$15,MATCH(40,'Watershed plans'!$S$12:$S$15,0)),"")</f>
        <v/>
      </c>
      <c r="F45" s="25">
        <f>IFERROR(INDEX('Watershed plans'!$I$12:$I$15,MATCH(40,'Watershed plans'!$S$12:$S$15,0)),"")</f>
        <v/>
      </c>
      <c r="G45" s="26">
        <f>IFERROR(INDEX('Watershed plans'!$Y$12:$Y$15,MATCH(40,'Watershed plans'!$S$12:$S$15,0)),"")</f>
        <v/>
      </c>
      <c r="H45" s="26">
        <f>IFERROR(INDEX('Watershed plans'!$X$12:$X$15,MATCH(40,'Watershed plans'!$S$12:$S$15,0)),"")</f>
        <v/>
      </c>
    </row>
    <row r="48">
      <c r="A48" s="7" t="inlineStr">
        <is>
          <t>Final array (in order of output) and 'Is it worth it?'</t>
        </is>
      </c>
    </row>
    <row r="49">
      <c r="A49" s="12" t="inlineStr">
        <is>
          <t>Order</t>
        </is>
      </c>
      <c r="B49" s="12" t="inlineStr">
        <is>
          <t>Plan number</t>
        </is>
      </c>
      <c r="C49" s="12" t="inlineStr">
        <is>
          <t>Plan</t>
        </is>
      </c>
      <c r="D49" s="12" t="inlineStr">
        <is>
          <t>Lift (AAHU)</t>
        </is>
      </c>
      <c r="E49" s="12" t="inlineStr">
        <is>
          <t>Average annual cost</t>
        </is>
      </c>
      <c r="F49" s="12" t="inlineStr">
        <is>
          <t>Construction cost</t>
        </is>
      </c>
      <c r="G49" s="12" t="inlineStr">
        <is>
          <t>Unit cost</t>
        </is>
      </c>
      <c r="H49" s="12" t="inlineStr">
        <is>
          <t>Added output</t>
        </is>
      </c>
      <c r="I49" s="12" t="inlineStr">
        <is>
          <t>Added cost</t>
        </is>
      </c>
      <c r="J49" s="12" t="inlineStr">
        <is>
          <t>Added cost per unit</t>
        </is>
      </c>
      <c r="K49" s="12" t="inlineStr">
        <is>
          <t>Worth it?</t>
        </is>
      </c>
      <c r="L49" s="12" t="inlineStr">
        <is>
          <t>Why</t>
        </is>
      </c>
    </row>
    <row r="50">
      <c r="A50" s="4" t="n">
        <v>1</v>
      </c>
      <c r="B50" s="6">
        <f>IFERROR(INDEX('Watershed plans'!$F$12:$F$15,MATCH(1,'Watershed plans'!$AA$12:$AA$15,0)),"")</f>
        <v/>
      </c>
      <c r="C50" s="10">
        <f>IFERROR(INDEX('Watershed plans'!$B$12:$B$15,MATCH(1,'Watershed plans'!$AA$12:$AA$15,0)),"")</f>
        <v/>
      </c>
      <c r="D50" s="20">
        <f>IFERROR(INDEX('Watershed plans'!$J$12:$J$15,MATCH(1,'Watershed plans'!$AA$12:$AA$15,0)),"")</f>
        <v/>
      </c>
      <c r="E50" s="26">
        <f>IFERROR(INDEX('Watershed plans'!$K$12:$K$15,MATCH(1,'Watershed plans'!$AA$12:$AA$15,0)),"")</f>
        <v/>
      </c>
      <c r="F50" s="25">
        <f>IFERROR(INDEX('Watershed plans'!$I$12:$I$15,MATCH(1,'Watershed plans'!$AA$12:$AA$15,0)),"")</f>
        <v/>
      </c>
      <c r="G50" s="26">
        <f>IFERROR(INDEX('Watershed plans'!$Y$12:$Y$15,MATCH(1,'Watershed plans'!$AA$12:$AA$15,0)),"")</f>
        <v/>
      </c>
      <c r="H50" s="10" t="inlineStr"/>
      <c r="I50" s="10" t="inlineStr"/>
      <c r="J50" s="10" t="inlineStr"/>
      <c r="K50" s="15" t="inlineStr"/>
      <c r="L50" s="29" t="inlineStr"/>
    </row>
    <row r="51">
      <c r="A51" s="4" t="n">
        <v>2</v>
      </c>
      <c r="B51" s="6">
        <f>IFERROR(INDEX('Watershed plans'!$F$12:$F$15,MATCH(2,'Watershed plans'!$AA$12:$AA$15,0)),"")</f>
        <v/>
      </c>
      <c r="C51" s="10">
        <f>IFERROR(INDEX('Watershed plans'!$B$12:$B$15,MATCH(2,'Watershed plans'!$AA$12:$AA$15,0)),"")</f>
        <v/>
      </c>
      <c r="D51" s="20">
        <f>IFERROR(INDEX('Watershed plans'!$J$12:$J$15,MATCH(2,'Watershed plans'!$AA$12:$AA$15,0)),"")</f>
        <v/>
      </c>
      <c r="E51" s="26">
        <f>IFERROR(INDEX('Watershed plans'!$K$12:$K$15,MATCH(2,'Watershed plans'!$AA$12:$AA$15,0)),"")</f>
        <v/>
      </c>
      <c r="F51" s="25">
        <f>IFERROR(INDEX('Watershed plans'!$I$12:$I$15,MATCH(2,'Watershed plans'!$AA$12:$AA$15,0)),"")</f>
        <v/>
      </c>
      <c r="G51" s="26">
        <f>IFERROR(INDEX('Watershed plans'!$Y$12:$Y$15,MATCH(2,'Watershed plans'!$AA$12:$AA$15,0)),"")</f>
        <v/>
      </c>
      <c r="H51" s="20">
        <f>IF(ISNUMBER(D51),D51-D50,"")</f>
        <v/>
      </c>
      <c r="I51" s="26">
        <f>IF(ISNUMBER(E51),E51-E50,"")</f>
        <v/>
      </c>
      <c r="J51" s="26">
        <f>IF(AND(ISNUMBER(H51),H51&lt;&gt;0),I51/H51,"")</f>
        <v/>
      </c>
      <c r="K51" s="15" t="inlineStr"/>
      <c r="L51" s="29" t="inlineStr"/>
    </row>
    <row r="52">
      <c r="A52" s="4" t="n">
        <v>3</v>
      </c>
      <c r="B52" s="6">
        <f>IFERROR(INDEX('Watershed plans'!$F$12:$F$15,MATCH(3,'Watershed plans'!$AA$12:$AA$15,0)),"")</f>
        <v/>
      </c>
      <c r="C52" s="10">
        <f>IFERROR(INDEX('Watershed plans'!$B$12:$B$15,MATCH(3,'Watershed plans'!$AA$12:$AA$15,0)),"")</f>
        <v/>
      </c>
      <c r="D52" s="20">
        <f>IFERROR(INDEX('Watershed plans'!$J$12:$J$15,MATCH(3,'Watershed plans'!$AA$12:$AA$15,0)),"")</f>
        <v/>
      </c>
      <c r="E52" s="26">
        <f>IFERROR(INDEX('Watershed plans'!$K$12:$K$15,MATCH(3,'Watershed plans'!$AA$12:$AA$15,0)),"")</f>
        <v/>
      </c>
      <c r="F52" s="25">
        <f>IFERROR(INDEX('Watershed plans'!$I$12:$I$15,MATCH(3,'Watershed plans'!$AA$12:$AA$15,0)),"")</f>
        <v/>
      </c>
      <c r="G52" s="26">
        <f>IFERROR(INDEX('Watershed plans'!$Y$12:$Y$15,MATCH(3,'Watershed plans'!$AA$12:$AA$15,0)),"")</f>
        <v/>
      </c>
      <c r="H52" s="20">
        <f>IF(ISNUMBER(D52),D52-D51,"")</f>
        <v/>
      </c>
      <c r="I52" s="26">
        <f>IF(ISNUMBER(E52),E52-E51,"")</f>
        <v/>
      </c>
      <c r="J52" s="26">
        <f>IF(AND(ISNUMBER(H52),H52&lt;&gt;0),I52/H52,"")</f>
        <v/>
      </c>
      <c r="K52" s="15" t="inlineStr"/>
      <c r="L52" s="29" t="inlineStr"/>
    </row>
    <row r="53">
      <c r="A53" s="4" t="n">
        <v>4</v>
      </c>
      <c r="B53" s="6">
        <f>IFERROR(INDEX('Watershed plans'!$F$12:$F$15,MATCH(4,'Watershed plans'!$AA$12:$AA$15,0)),"")</f>
        <v/>
      </c>
      <c r="C53" s="10">
        <f>IFERROR(INDEX('Watershed plans'!$B$12:$B$15,MATCH(4,'Watershed plans'!$AA$12:$AA$15,0)),"")</f>
        <v/>
      </c>
      <c r="D53" s="20">
        <f>IFERROR(INDEX('Watershed plans'!$J$12:$J$15,MATCH(4,'Watershed plans'!$AA$12:$AA$15,0)),"")</f>
        <v/>
      </c>
      <c r="E53" s="26">
        <f>IFERROR(INDEX('Watershed plans'!$K$12:$K$15,MATCH(4,'Watershed plans'!$AA$12:$AA$15,0)),"")</f>
        <v/>
      </c>
      <c r="F53" s="25">
        <f>IFERROR(INDEX('Watershed plans'!$I$12:$I$15,MATCH(4,'Watershed plans'!$AA$12:$AA$15,0)),"")</f>
        <v/>
      </c>
      <c r="G53" s="26">
        <f>IFERROR(INDEX('Watershed plans'!$Y$12:$Y$15,MATCH(4,'Watershed plans'!$AA$12:$AA$15,0)),"")</f>
        <v/>
      </c>
      <c r="H53" s="20">
        <f>IF(ISNUMBER(D53),D53-D52,"")</f>
        <v/>
      </c>
      <c r="I53" s="26">
        <f>IF(ISNUMBER(E53),E53-E52,"")</f>
        <v/>
      </c>
      <c r="J53" s="26">
        <f>IF(AND(ISNUMBER(H53),H53&lt;&gt;0),I53/H53,"")</f>
        <v/>
      </c>
      <c r="K53" s="15" t="inlineStr"/>
      <c r="L53" s="29" t="inlineStr"/>
    </row>
    <row r="54">
      <c r="A54" s="4" t="n">
        <v>5</v>
      </c>
      <c r="B54" s="6">
        <f>IFERROR(INDEX('Watershed plans'!$F$12:$F$15,MATCH(5,'Watershed plans'!$AA$12:$AA$15,0)),"")</f>
        <v/>
      </c>
      <c r="C54" s="10">
        <f>IFERROR(INDEX('Watershed plans'!$B$12:$B$15,MATCH(5,'Watershed plans'!$AA$12:$AA$15,0)),"")</f>
        <v/>
      </c>
      <c r="D54" s="20">
        <f>IFERROR(INDEX('Watershed plans'!$J$12:$J$15,MATCH(5,'Watershed plans'!$AA$12:$AA$15,0)),"")</f>
        <v/>
      </c>
      <c r="E54" s="26">
        <f>IFERROR(INDEX('Watershed plans'!$K$12:$K$15,MATCH(5,'Watershed plans'!$AA$12:$AA$15,0)),"")</f>
        <v/>
      </c>
      <c r="F54" s="25">
        <f>IFERROR(INDEX('Watershed plans'!$I$12:$I$15,MATCH(5,'Watershed plans'!$AA$12:$AA$15,0)),"")</f>
        <v/>
      </c>
      <c r="G54" s="26">
        <f>IFERROR(INDEX('Watershed plans'!$Y$12:$Y$15,MATCH(5,'Watershed plans'!$AA$12:$AA$15,0)),"")</f>
        <v/>
      </c>
      <c r="H54" s="20">
        <f>IF(ISNUMBER(D54),D54-D53,"")</f>
        <v/>
      </c>
      <c r="I54" s="26">
        <f>IF(ISNUMBER(E54),E54-E53,"")</f>
        <v/>
      </c>
      <c r="J54" s="26">
        <f>IF(AND(ISNUMBER(H54),H54&lt;&gt;0),I54/H54,"")</f>
        <v/>
      </c>
      <c r="K54" s="15" t="inlineStr"/>
      <c r="L54" s="29" t="inlineStr"/>
    </row>
    <row r="55">
      <c r="A55" s="4" t="n">
        <v>6</v>
      </c>
      <c r="B55" s="6">
        <f>IFERROR(INDEX('Watershed plans'!$F$12:$F$15,MATCH(6,'Watershed plans'!$AA$12:$AA$15,0)),"")</f>
        <v/>
      </c>
      <c r="C55" s="10">
        <f>IFERROR(INDEX('Watershed plans'!$B$12:$B$15,MATCH(6,'Watershed plans'!$AA$12:$AA$15,0)),"")</f>
        <v/>
      </c>
      <c r="D55" s="20">
        <f>IFERROR(INDEX('Watershed plans'!$J$12:$J$15,MATCH(6,'Watershed plans'!$AA$12:$AA$15,0)),"")</f>
        <v/>
      </c>
      <c r="E55" s="26">
        <f>IFERROR(INDEX('Watershed plans'!$K$12:$K$15,MATCH(6,'Watershed plans'!$AA$12:$AA$15,0)),"")</f>
        <v/>
      </c>
      <c r="F55" s="25">
        <f>IFERROR(INDEX('Watershed plans'!$I$12:$I$15,MATCH(6,'Watershed plans'!$AA$12:$AA$15,0)),"")</f>
        <v/>
      </c>
      <c r="G55" s="26">
        <f>IFERROR(INDEX('Watershed plans'!$Y$12:$Y$15,MATCH(6,'Watershed plans'!$AA$12:$AA$15,0)),"")</f>
        <v/>
      </c>
      <c r="H55" s="20">
        <f>IF(ISNUMBER(D55),D55-D54,"")</f>
        <v/>
      </c>
      <c r="I55" s="26">
        <f>IF(ISNUMBER(E55),E55-E54,"")</f>
        <v/>
      </c>
      <c r="J55" s="26">
        <f>IF(AND(ISNUMBER(H55),H55&lt;&gt;0),I55/H55,"")</f>
        <v/>
      </c>
      <c r="K55" s="15" t="inlineStr"/>
      <c r="L55" s="29" t="inlineStr"/>
    </row>
    <row r="56">
      <c r="A56" s="4" t="n">
        <v>7</v>
      </c>
      <c r="B56" s="6">
        <f>IFERROR(INDEX('Watershed plans'!$F$12:$F$15,MATCH(7,'Watershed plans'!$AA$12:$AA$15,0)),"")</f>
        <v/>
      </c>
      <c r="C56" s="10">
        <f>IFERROR(INDEX('Watershed plans'!$B$12:$B$15,MATCH(7,'Watershed plans'!$AA$12:$AA$15,0)),"")</f>
        <v/>
      </c>
      <c r="D56" s="20">
        <f>IFERROR(INDEX('Watershed plans'!$J$12:$J$15,MATCH(7,'Watershed plans'!$AA$12:$AA$15,0)),"")</f>
        <v/>
      </c>
      <c r="E56" s="26">
        <f>IFERROR(INDEX('Watershed plans'!$K$12:$K$15,MATCH(7,'Watershed plans'!$AA$12:$AA$15,0)),"")</f>
        <v/>
      </c>
      <c r="F56" s="25">
        <f>IFERROR(INDEX('Watershed plans'!$I$12:$I$15,MATCH(7,'Watershed plans'!$AA$12:$AA$15,0)),"")</f>
        <v/>
      </c>
      <c r="G56" s="26">
        <f>IFERROR(INDEX('Watershed plans'!$Y$12:$Y$15,MATCH(7,'Watershed plans'!$AA$12:$AA$15,0)),"")</f>
        <v/>
      </c>
      <c r="H56" s="20">
        <f>IF(ISNUMBER(D56),D56-D55,"")</f>
        <v/>
      </c>
      <c r="I56" s="26">
        <f>IF(ISNUMBER(E56),E56-E55,"")</f>
        <v/>
      </c>
      <c r="J56" s="26">
        <f>IF(AND(ISNUMBER(H56),H56&lt;&gt;0),I56/H56,"")</f>
        <v/>
      </c>
      <c r="K56" s="15" t="inlineStr"/>
      <c r="L56" s="29" t="inlineStr"/>
    </row>
    <row r="57">
      <c r="A57" s="4" t="n">
        <v>8</v>
      </c>
      <c r="B57" s="6">
        <f>IFERROR(INDEX('Watershed plans'!$F$12:$F$15,MATCH(8,'Watershed plans'!$AA$12:$AA$15,0)),"")</f>
        <v/>
      </c>
      <c r="C57" s="10">
        <f>IFERROR(INDEX('Watershed plans'!$B$12:$B$15,MATCH(8,'Watershed plans'!$AA$12:$AA$15,0)),"")</f>
        <v/>
      </c>
      <c r="D57" s="20">
        <f>IFERROR(INDEX('Watershed plans'!$J$12:$J$15,MATCH(8,'Watershed plans'!$AA$12:$AA$15,0)),"")</f>
        <v/>
      </c>
      <c r="E57" s="26">
        <f>IFERROR(INDEX('Watershed plans'!$K$12:$K$15,MATCH(8,'Watershed plans'!$AA$12:$AA$15,0)),"")</f>
        <v/>
      </c>
      <c r="F57" s="25">
        <f>IFERROR(INDEX('Watershed plans'!$I$12:$I$15,MATCH(8,'Watershed plans'!$AA$12:$AA$15,0)),"")</f>
        <v/>
      </c>
      <c r="G57" s="26">
        <f>IFERROR(INDEX('Watershed plans'!$Y$12:$Y$15,MATCH(8,'Watershed plans'!$AA$12:$AA$15,0)),"")</f>
        <v/>
      </c>
      <c r="H57" s="20">
        <f>IF(ISNUMBER(D57),D57-D56,"")</f>
        <v/>
      </c>
      <c r="I57" s="26">
        <f>IF(ISNUMBER(E57),E57-E56,"")</f>
        <v/>
      </c>
      <c r="J57" s="26">
        <f>IF(AND(ISNUMBER(H57),H57&lt;&gt;0),I57/H57,"")</f>
        <v/>
      </c>
      <c r="K57" s="15" t="inlineStr"/>
      <c r="L57" s="29" t="inlineStr"/>
    </row>
    <row r="58">
      <c r="A58" s="4" t="n">
        <v>9</v>
      </c>
      <c r="B58" s="6">
        <f>IFERROR(INDEX('Watershed plans'!$F$12:$F$15,MATCH(9,'Watershed plans'!$AA$12:$AA$15,0)),"")</f>
        <v/>
      </c>
      <c r="C58" s="10">
        <f>IFERROR(INDEX('Watershed plans'!$B$12:$B$15,MATCH(9,'Watershed plans'!$AA$12:$AA$15,0)),"")</f>
        <v/>
      </c>
      <c r="D58" s="20">
        <f>IFERROR(INDEX('Watershed plans'!$J$12:$J$15,MATCH(9,'Watershed plans'!$AA$12:$AA$15,0)),"")</f>
        <v/>
      </c>
      <c r="E58" s="26">
        <f>IFERROR(INDEX('Watershed plans'!$K$12:$K$15,MATCH(9,'Watershed plans'!$AA$12:$AA$15,0)),"")</f>
        <v/>
      </c>
      <c r="F58" s="25">
        <f>IFERROR(INDEX('Watershed plans'!$I$12:$I$15,MATCH(9,'Watershed plans'!$AA$12:$AA$15,0)),"")</f>
        <v/>
      </c>
      <c r="G58" s="26">
        <f>IFERROR(INDEX('Watershed plans'!$Y$12:$Y$15,MATCH(9,'Watershed plans'!$AA$12:$AA$15,0)),"")</f>
        <v/>
      </c>
      <c r="H58" s="20">
        <f>IF(ISNUMBER(D58),D58-D57,"")</f>
        <v/>
      </c>
      <c r="I58" s="26">
        <f>IF(ISNUMBER(E58),E58-E57,"")</f>
        <v/>
      </c>
      <c r="J58" s="26">
        <f>IF(AND(ISNUMBER(H58),H58&lt;&gt;0),I58/H58,"")</f>
        <v/>
      </c>
      <c r="K58" s="15" t="inlineStr"/>
      <c r="L58" s="29" t="inlineStr"/>
    </row>
    <row r="59">
      <c r="A59" s="4" t="n">
        <v>10</v>
      </c>
      <c r="B59" s="6">
        <f>IFERROR(INDEX('Watershed plans'!$F$12:$F$15,MATCH(10,'Watershed plans'!$AA$12:$AA$15,0)),"")</f>
        <v/>
      </c>
      <c r="C59" s="10">
        <f>IFERROR(INDEX('Watershed plans'!$B$12:$B$15,MATCH(10,'Watershed plans'!$AA$12:$AA$15,0)),"")</f>
        <v/>
      </c>
      <c r="D59" s="20">
        <f>IFERROR(INDEX('Watershed plans'!$J$12:$J$15,MATCH(10,'Watershed plans'!$AA$12:$AA$15,0)),"")</f>
        <v/>
      </c>
      <c r="E59" s="26">
        <f>IFERROR(INDEX('Watershed plans'!$K$12:$K$15,MATCH(10,'Watershed plans'!$AA$12:$AA$15,0)),"")</f>
        <v/>
      </c>
      <c r="F59" s="25">
        <f>IFERROR(INDEX('Watershed plans'!$I$12:$I$15,MATCH(10,'Watershed plans'!$AA$12:$AA$15,0)),"")</f>
        <v/>
      </c>
      <c r="G59" s="26">
        <f>IFERROR(INDEX('Watershed plans'!$Y$12:$Y$15,MATCH(10,'Watershed plans'!$AA$12:$AA$15,0)),"")</f>
        <v/>
      </c>
      <c r="H59" s="20">
        <f>IF(ISNUMBER(D59),D59-D58,"")</f>
        <v/>
      </c>
      <c r="I59" s="26">
        <f>IF(ISNUMBER(E59),E59-E58,"")</f>
        <v/>
      </c>
      <c r="J59" s="26">
        <f>IF(AND(ISNUMBER(H59),H59&lt;&gt;0),I59/H59,"")</f>
        <v/>
      </c>
      <c r="K59" s="15" t="inlineStr"/>
      <c r="L59" s="29" t="inlineStr"/>
    </row>
    <row r="60">
      <c r="A60" s="4" t="n">
        <v>11</v>
      </c>
      <c r="B60" s="6">
        <f>IFERROR(INDEX('Watershed plans'!$F$12:$F$15,MATCH(11,'Watershed plans'!$AA$12:$AA$15,0)),"")</f>
        <v/>
      </c>
      <c r="C60" s="10">
        <f>IFERROR(INDEX('Watershed plans'!$B$12:$B$15,MATCH(11,'Watershed plans'!$AA$12:$AA$15,0)),"")</f>
        <v/>
      </c>
      <c r="D60" s="20">
        <f>IFERROR(INDEX('Watershed plans'!$J$12:$J$15,MATCH(11,'Watershed plans'!$AA$12:$AA$15,0)),"")</f>
        <v/>
      </c>
      <c r="E60" s="26">
        <f>IFERROR(INDEX('Watershed plans'!$K$12:$K$15,MATCH(11,'Watershed plans'!$AA$12:$AA$15,0)),"")</f>
        <v/>
      </c>
      <c r="F60" s="25">
        <f>IFERROR(INDEX('Watershed plans'!$I$12:$I$15,MATCH(11,'Watershed plans'!$AA$12:$AA$15,0)),"")</f>
        <v/>
      </c>
      <c r="G60" s="26">
        <f>IFERROR(INDEX('Watershed plans'!$Y$12:$Y$15,MATCH(11,'Watershed plans'!$AA$12:$AA$15,0)),"")</f>
        <v/>
      </c>
      <c r="H60" s="20">
        <f>IF(ISNUMBER(D60),D60-D59,"")</f>
        <v/>
      </c>
      <c r="I60" s="26">
        <f>IF(ISNUMBER(E60),E60-E59,"")</f>
        <v/>
      </c>
      <c r="J60" s="26">
        <f>IF(AND(ISNUMBER(H60),H60&lt;&gt;0),I60/H60,"")</f>
        <v/>
      </c>
      <c r="K60" s="15" t="inlineStr"/>
      <c r="L60" s="29" t="inlineStr"/>
    </row>
    <row r="61">
      <c r="A61" s="4" t="n">
        <v>12</v>
      </c>
      <c r="B61" s="6">
        <f>IFERROR(INDEX('Watershed plans'!$F$12:$F$15,MATCH(12,'Watershed plans'!$AA$12:$AA$15,0)),"")</f>
        <v/>
      </c>
      <c r="C61" s="10">
        <f>IFERROR(INDEX('Watershed plans'!$B$12:$B$15,MATCH(12,'Watershed plans'!$AA$12:$AA$15,0)),"")</f>
        <v/>
      </c>
      <c r="D61" s="20">
        <f>IFERROR(INDEX('Watershed plans'!$J$12:$J$15,MATCH(12,'Watershed plans'!$AA$12:$AA$15,0)),"")</f>
        <v/>
      </c>
      <c r="E61" s="26">
        <f>IFERROR(INDEX('Watershed plans'!$K$12:$K$15,MATCH(12,'Watershed plans'!$AA$12:$AA$15,0)),"")</f>
        <v/>
      </c>
      <c r="F61" s="25">
        <f>IFERROR(INDEX('Watershed plans'!$I$12:$I$15,MATCH(12,'Watershed plans'!$AA$12:$AA$15,0)),"")</f>
        <v/>
      </c>
      <c r="G61" s="26">
        <f>IFERROR(INDEX('Watershed plans'!$Y$12:$Y$15,MATCH(12,'Watershed plans'!$AA$12:$AA$15,0)),"")</f>
        <v/>
      </c>
      <c r="H61" s="20">
        <f>IF(ISNUMBER(D61),D61-D60,"")</f>
        <v/>
      </c>
      <c r="I61" s="26">
        <f>IF(ISNUMBER(E61),E61-E60,"")</f>
        <v/>
      </c>
      <c r="J61" s="26">
        <f>IF(AND(ISNUMBER(H61),H61&lt;&gt;0),I61/H61,"")</f>
        <v/>
      </c>
      <c r="K61" s="15" t="inlineStr"/>
      <c r="L61" s="29" t="inlineStr"/>
    </row>
    <row r="62">
      <c r="A62" s="4" t="n">
        <v>13</v>
      </c>
      <c r="B62" s="6">
        <f>IFERROR(INDEX('Watershed plans'!$F$12:$F$15,MATCH(13,'Watershed plans'!$AA$12:$AA$15,0)),"")</f>
        <v/>
      </c>
      <c r="C62" s="10">
        <f>IFERROR(INDEX('Watershed plans'!$B$12:$B$15,MATCH(13,'Watershed plans'!$AA$12:$AA$15,0)),"")</f>
        <v/>
      </c>
      <c r="D62" s="20">
        <f>IFERROR(INDEX('Watershed plans'!$J$12:$J$15,MATCH(13,'Watershed plans'!$AA$12:$AA$15,0)),"")</f>
        <v/>
      </c>
      <c r="E62" s="26">
        <f>IFERROR(INDEX('Watershed plans'!$K$12:$K$15,MATCH(13,'Watershed plans'!$AA$12:$AA$15,0)),"")</f>
        <v/>
      </c>
      <c r="F62" s="25">
        <f>IFERROR(INDEX('Watershed plans'!$I$12:$I$15,MATCH(13,'Watershed plans'!$AA$12:$AA$15,0)),"")</f>
        <v/>
      </c>
      <c r="G62" s="26">
        <f>IFERROR(INDEX('Watershed plans'!$Y$12:$Y$15,MATCH(13,'Watershed plans'!$AA$12:$AA$15,0)),"")</f>
        <v/>
      </c>
      <c r="H62" s="20">
        <f>IF(ISNUMBER(D62),D62-D61,"")</f>
        <v/>
      </c>
      <c r="I62" s="26">
        <f>IF(ISNUMBER(E62),E62-E61,"")</f>
        <v/>
      </c>
      <c r="J62" s="26">
        <f>IF(AND(ISNUMBER(H62),H62&lt;&gt;0),I62/H62,"")</f>
        <v/>
      </c>
      <c r="K62" s="15" t="inlineStr"/>
      <c r="L62" s="29" t="inlineStr"/>
    </row>
    <row r="63">
      <c r="A63" s="4" t="n">
        <v>14</v>
      </c>
      <c r="B63" s="6">
        <f>IFERROR(INDEX('Watershed plans'!$F$12:$F$15,MATCH(14,'Watershed plans'!$AA$12:$AA$15,0)),"")</f>
        <v/>
      </c>
      <c r="C63" s="10">
        <f>IFERROR(INDEX('Watershed plans'!$B$12:$B$15,MATCH(14,'Watershed plans'!$AA$12:$AA$15,0)),"")</f>
        <v/>
      </c>
      <c r="D63" s="20">
        <f>IFERROR(INDEX('Watershed plans'!$J$12:$J$15,MATCH(14,'Watershed plans'!$AA$12:$AA$15,0)),"")</f>
        <v/>
      </c>
      <c r="E63" s="26">
        <f>IFERROR(INDEX('Watershed plans'!$K$12:$K$15,MATCH(14,'Watershed plans'!$AA$12:$AA$15,0)),"")</f>
        <v/>
      </c>
      <c r="F63" s="25">
        <f>IFERROR(INDEX('Watershed plans'!$I$12:$I$15,MATCH(14,'Watershed plans'!$AA$12:$AA$15,0)),"")</f>
        <v/>
      </c>
      <c r="G63" s="26">
        <f>IFERROR(INDEX('Watershed plans'!$Y$12:$Y$15,MATCH(14,'Watershed plans'!$AA$12:$AA$15,0)),"")</f>
        <v/>
      </c>
      <c r="H63" s="20">
        <f>IF(ISNUMBER(D63),D63-D62,"")</f>
        <v/>
      </c>
      <c r="I63" s="26">
        <f>IF(ISNUMBER(E63),E63-E62,"")</f>
        <v/>
      </c>
      <c r="J63" s="26">
        <f>IF(AND(ISNUMBER(H63),H63&lt;&gt;0),I63/H63,"")</f>
        <v/>
      </c>
      <c r="K63" s="15" t="inlineStr"/>
      <c r="L63" s="29" t="inlineStr"/>
    </row>
    <row r="64">
      <c r="A64" s="4" t="n">
        <v>15</v>
      </c>
      <c r="B64" s="6">
        <f>IFERROR(INDEX('Watershed plans'!$F$12:$F$15,MATCH(15,'Watershed plans'!$AA$12:$AA$15,0)),"")</f>
        <v/>
      </c>
      <c r="C64" s="10">
        <f>IFERROR(INDEX('Watershed plans'!$B$12:$B$15,MATCH(15,'Watershed plans'!$AA$12:$AA$15,0)),"")</f>
        <v/>
      </c>
      <c r="D64" s="20">
        <f>IFERROR(INDEX('Watershed plans'!$J$12:$J$15,MATCH(15,'Watershed plans'!$AA$12:$AA$15,0)),"")</f>
        <v/>
      </c>
      <c r="E64" s="26">
        <f>IFERROR(INDEX('Watershed plans'!$K$12:$K$15,MATCH(15,'Watershed plans'!$AA$12:$AA$15,0)),"")</f>
        <v/>
      </c>
      <c r="F64" s="25">
        <f>IFERROR(INDEX('Watershed plans'!$I$12:$I$15,MATCH(15,'Watershed plans'!$AA$12:$AA$15,0)),"")</f>
        <v/>
      </c>
      <c r="G64" s="26">
        <f>IFERROR(INDEX('Watershed plans'!$Y$12:$Y$15,MATCH(15,'Watershed plans'!$AA$12:$AA$15,0)),"")</f>
        <v/>
      </c>
      <c r="H64" s="20">
        <f>IF(ISNUMBER(D64),D64-D63,"")</f>
        <v/>
      </c>
      <c r="I64" s="26">
        <f>IF(ISNUMBER(E64),E64-E63,"")</f>
        <v/>
      </c>
      <c r="J64" s="26">
        <f>IF(AND(ISNUMBER(H64),H64&lt;&gt;0),I64/H64,"")</f>
        <v/>
      </c>
      <c r="K64" s="15" t="inlineStr"/>
      <c r="L64" s="29" t="inlineStr"/>
    </row>
    <row r="65">
      <c r="A65" s="4" t="n">
        <v>16</v>
      </c>
      <c r="B65" s="6">
        <f>IFERROR(INDEX('Watershed plans'!$F$12:$F$15,MATCH(16,'Watershed plans'!$AA$12:$AA$15,0)),"")</f>
        <v/>
      </c>
      <c r="C65" s="10">
        <f>IFERROR(INDEX('Watershed plans'!$B$12:$B$15,MATCH(16,'Watershed plans'!$AA$12:$AA$15,0)),"")</f>
        <v/>
      </c>
      <c r="D65" s="20">
        <f>IFERROR(INDEX('Watershed plans'!$J$12:$J$15,MATCH(16,'Watershed plans'!$AA$12:$AA$15,0)),"")</f>
        <v/>
      </c>
      <c r="E65" s="26">
        <f>IFERROR(INDEX('Watershed plans'!$K$12:$K$15,MATCH(16,'Watershed plans'!$AA$12:$AA$15,0)),"")</f>
        <v/>
      </c>
      <c r="F65" s="25">
        <f>IFERROR(INDEX('Watershed plans'!$I$12:$I$15,MATCH(16,'Watershed plans'!$AA$12:$AA$15,0)),"")</f>
        <v/>
      </c>
      <c r="G65" s="26">
        <f>IFERROR(INDEX('Watershed plans'!$Y$12:$Y$15,MATCH(16,'Watershed plans'!$AA$12:$AA$15,0)),"")</f>
        <v/>
      </c>
      <c r="H65" s="20">
        <f>IF(ISNUMBER(D65),D65-D64,"")</f>
        <v/>
      </c>
      <c r="I65" s="26">
        <f>IF(ISNUMBER(E65),E65-E64,"")</f>
        <v/>
      </c>
      <c r="J65" s="26">
        <f>IF(AND(ISNUMBER(H65),H65&lt;&gt;0),I65/H65,"")</f>
        <v/>
      </c>
      <c r="K65" s="15" t="inlineStr"/>
      <c r="L65" s="29" t="inlineStr"/>
    </row>
    <row r="66">
      <c r="A66" s="4" t="n">
        <v>17</v>
      </c>
      <c r="B66" s="6">
        <f>IFERROR(INDEX('Watershed plans'!$F$12:$F$15,MATCH(17,'Watershed plans'!$AA$12:$AA$15,0)),"")</f>
        <v/>
      </c>
      <c r="C66" s="10">
        <f>IFERROR(INDEX('Watershed plans'!$B$12:$B$15,MATCH(17,'Watershed plans'!$AA$12:$AA$15,0)),"")</f>
        <v/>
      </c>
      <c r="D66" s="20">
        <f>IFERROR(INDEX('Watershed plans'!$J$12:$J$15,MATCH(17,'Watershed plans'!$AA$12:$AA$15,0)),"")</f>
        <v/>
      </c>
      <c r="E66" s="26">
        <f>IFERROR(INDEX('Watershed plans'!$K$12:$K$15,MATCH(17,'Watershed plans'!$AA$12:$AA$15,0)),"")</f>
        <v/>
      </c>
      <c r="F66" s="25">
        <f>IFERROR(INDEX('Watershed plans'!$I$12:$I$15,MATCH(17,'Watershed plans'!$AA$12:$AA$15,0)),"")</f>
        <v/>
      </c>
      <c r="G66" s="26">
        <f>IFERROR(INDEX('Watershed plans'!$Y$12:$Y$15,MATCH(17,'Watershed plans'!$AA$12:$AA$15,0)),"")</f>
        <v/>
      </c>
      <c r="H66" s="20">
        <f>IF(ISNUMBER(D66),D66-D65,"")</f>
        <v/>
      </c>
      <c r="I66" s="26">
        <f>IF(ISNUMBER(E66),E66-E65,"")</f>
        <v/>
      </c>
      <c r="J66" s="26">
        <f>IF(AND(ISNUMBER(H66),H66&lt;&gt;0),I66/H66,"")</f>
        <v/>
      </c>
      <c r="K66" s="15" t="inlineStr"/>
      <c r="L66" s="29" t="inlineStr"/>
    </row>
    <row r="67">
      <c r="A67" s="4" t="n">
        <v>18</v>
      </c>
      <c r="B67" s="6">
        <f>IFERROR(INDEX('Watershed plans'!$F$12:$F$15,MATCH(18,'Watershed plans'!$AA$12:$AA$15,0)),"")</f>
        <v/>
      </c>
      <c r="C67" s="10">
        <f>IFERROR(INDEX('Watershed plans'!$B$12:$B$15,MATCH(18,'Watershed plans'!$AA$12:$AA$15,0)),"")</f>
        <v/>
      </c>
      <c r="D67" s="20">
        <f>IFERROR(INDEX('Watershed plans'!$J$12:$J$15,MATCH(18,'Watershed plans'!$AA$12:$AA$15,0)),"")</f>
        <v/>
      </c>
      <c r="E67" s="26">
        <f>IFERROR(INDEX('Watershed plans'!$K$12:$K$15,MATCH(18,'Watershed plans'!$AA$12:$AA$15,0)),"")</f>
        <v/>
      </c>
      <c r="F67" s="25">
        <f>IFERROR(INDEX('Watershed plans'!$I$12:$I$15,MATCH(18,'Watershed plans'!$AA$12:$AA$15,0)),"")</f>
        <v/>
      </c>
      <c r="G67" s="26">
        <f>IFERROR(INDEX('Watershed plans'!$Y$12:$Y$15,MATCH(18,'Watershed plans'!$AA$12:$AA$15,0)),"")</f>
        <v/>
      </c>
      <c r="H67" s="20">
        <f>IF(ISNUMBER(D67),D67-D66,"")</f>
        <v/>
      </c>
      <c r="I67" s="26">
        <f>IF(ISNUMBER(E67),E67-E66,"")</f>
        <v/>
      </c>
      <c r="J67" s="26">
        <f>IF(AND(ISNUMBER(H67),H67&lt;&gt;0),I67/H67,"")</f>
        <v/>
      </c>
      <c r="K67" s="15" t="inlineStr"/>
      <c r="L67" s="29" t="inlineStr"/>
    </row>
    <row r="68">
      <c r="A68" s="4" t="n">
        <v>19</v>
      </c>
      <c r="B68" s="6">
        <f>IFERROR(INDEX('Watershed plans'!$F$12:$F$15,MATCH(19,'Watershed plans'!$AA$12:$AA$15,0)),"")</f>
        <v/>
      </c>
      <c r="C68" s="10">
        <f>IFERROR(INDEX('Watershed plans'!$B$12:$B$15,MATCH(19,'Watershed plans'!$AA$12:$AA$15,0)),"")</f>
        <v/>
      </c>
      <c r="D68" s="20">
        <f>IFERROR(INDEX('Watershed plans'!$J$12:$J$15,MATCH(19,'Watershed plans'!$AA$12:$AA$15,0)),"")</f>
        <v/>
      </c>
      <c r="E68" s="26">
        <f>IFERROR(INDEX('Watershed plans'!$K$12:$K$15,MATCH(19,'Watershed plans'!$AA$12:$AA$15,0)),"")</f>
        <v/>
      </c>
      <c r="F68" s="25">
        <f>IFERROR(INDEX('Watershed plans'!$I$12:$I$15,MATCH(19,'Watershed plans'!$AA$12:$AA$15,0)),"")</f>
        <v/>
      </c>
      <c r="G68" s="26">
        <f>IFERROR(INDEX('Watershed plans'!$Y$12:$Y$15,MATCH(19,'Watershed plans'!$AA$12:$AA$15,0)),"")</f>
        <v/>
      </c>
      <c r="H68" s="20">
        <f>IF(ISNUMBER(D68),D68-D67,"")</f>
        <v/>
      </c>
      <c r="I68" s="26">
        <f>IF(ISNUMBER(E68),E68-E67,"")</f>
        <v/>
      </c>
      <c r="J68" s="26">
        <f>IF(AND(ISNUMBER(H68),H68&lt;&gt;0),I68/H68,"")</f>
        <v/>
      </c>
      <c r="K68" s="15" t="inlineStr"/>
      <c r="L68" s="29" t="inlineStr"/>
    </row>
    <row r="69">
      <c r="A69" s="4" t="n">
        <v>20</v>
      </c>
      <c r="B69" s="6">
        <f>IFERROR(INDEX('Watershed plans'!$F$12:$F$15,MATCH(20,'Watershed plans'!$AA$12:$AA$15,0)),"")</f>
        <v/>
      </c>
      <c r="C69" s="10">
        <f>IFERROR(INDEX('Watershed plans'!$B$12:$B$15,MATCH(20,'Watershed plans'!$AA$12:$AA$15,0)),"")</f>
        <v/>
      </c>
      <c r="D69" s="20">
        <f>IFERROR(INDEX('Watershed plans'!$J$12:$J$15,MATCH(20,'Watershed plans'!$AA$12:$AA$15,0)),"")</f>
        <v/>
      </c>
      <c r="E69" s="26">
        <f>IFERROR(INDEX('Watershed plans'!$K$12:$K$15,MATCH(20,'Watershed plans'!$AA$12:$AA$15,0)),"")</f>
        <v/>
      </c>
      <c r="F69" s="25">
        <f>IFERROR(INDEX('Watershed plans'!$I$12:$I$15,MATCH(20,'Watershed plans'!$AA$12:$AA$15,0)),"")</f>
        <v/>
      </c>
      <c r="G69" s="26">
        <f>IFERROR(INDEX('Watershed plans'!$Y$12:$Y$15,MATCH(20,'Watershed plans'!$AA$12:$AA$15,0)),"")</f>
        <v/>
      </c>
      <c r="H69" s="20">
        <f>IF(ISNUMBER(D69),D69-D68,"")</f>
        <v/>
      </c>
      <c r="I69" s="26">
        <f>IF(ISNUMBER(E69),E69-E68,"")</f>
        <v/>
      </c>
      <c r="J69" s="26">
        <f>IF(AND(ISNUMBER(H69),H69&lt;&gt;0),I69/H69,"")</f>
        <v/>
      </c>
      <c r="K69" s="15" t="inlineStr"/>
      <c r="L69" s="29" t="inlineStr"/>
    </row>
    <row r="70">
      <c r="A70" s="4" t="n">
        <v>21</v>
      </c>
      <c r="B70" s="6">
        <f>IFERROR(INDEX('Watershed plans'!$F$12:$F$15,MATCH(21,'Watershed plans'!$AA$12:$AA$15,0)),"")</f>
        <v/>
      </c>
      <c r="C70" s="10">
        <f>IFERROR(INDEX('Watershed plans'!$B$12:$B$15,MATCH(21,'Watershed plans'!$AA$12:$AA$15,0)),"")</f>
        <v/>
      </c>
      <c r="D70" s="20">
        <f>IFERROR(INDEX('Watershed plans'!$J$12:$J$15,MATCH(21,'Watershed plans'!$AA$12:$AA$15,0)),"")</f>
        <v/>
      </c>
      <c r="E70" s="26">
        <f>IFERROR(INDEX('Watershed plans'!$K$12:$K$15,MATCH(21,'Watershed plans'!$AA$12:$AA$15,0)),"")</f>
        <v/>
      </c>
      <c r="F70" s="25">
        <f>IFERROR(INDEX('Watershed plans'!$I$12:$I$15,MATCH(21,'Watershed plans'!$AA$12:$AA$15,0)),"")</f>
        <v/>
      </c>
      <c r="G70" s="26">
        <f>IFERROR(INDEX('Watershed plans'!$Y$12:$Y$15,MATCH(21,'Watershed plans'!$AA$12:$AA$15,0)),"")</f>
        <v/>
      </c>
      <c r="H70" s="20">
        <f>IF(ISNUMBER(D70),D70-D69,"")</f>
        <v/>
      </c>
      <c r="I70" s="26">
        <f>IF(ISNUMBER(E70),E70-E69,"")</f>
        <v/>
      </c>
      <c r="J70" s="26">
        <f>IF(AND(ISNUMBER(H70),H70&lt;&gt;0),I70/H70,"")</f>
        <v/>
      </c>
      <c r="K70" s="15" t="inlineStr"/>
      <c r="L70" s="29" t="inlineStr"/>
    </row>
    <row r="71">
      <c r="A71" s="4" t="n">
        <v>22</v>
      </c>
      <c r="B71" s="6">
        <f>IFERROR(INDEX('Watershed plans'!$F$12:$F$15,MATCH(22,'Watershed plans'!$AA$12:$AA$15,0)),"")</f>
        <v/>
      </c>
      <c r="C71" s="10">
        <f>IFERROR(INDEX('Watershed plans'!$B$12:$B$15,MATCH(22,'Watershed plans'!$AA$12:$AA$15,0)),"")</f>
        <v/>
      </c>
      <c r="D71" s="20">
        <f>IFERROR(INDEX('Watershed plans'!$J$12:$J$15,MATCH(22,'Watershed plans'!$AA$12:$AA$15,0)),"")</f>
        <v/>
      </c>
      <c r="E71" s="26">
        <f>IFERROR(INDEX('Watershed plans'!$K$12:$K$15,MATCH(22,'Watershed plans'!$AA$12:$AA$15,0)),"")</f>
        <v/>
      </c>
      <c r="F71" s="25">
        <f>IFERROR(INDEX('Watershed plans'!$I$12:$I$15,MATCH(22,'Watershed plans'!$AA$12:$AA$15,0)),"")</f>
        <v/>
      </c>
      <c r="G71" s="26">
        <f>IFERROR(INDEX('Watershed plans'!$Y$12:$Y$15,MATCH(22,'Watershed plans'!$AA$12:$AA$15,0)),"")</f>
        <v/>
      </c>
      <c r="H71" s="20">
        <f>IF(ISNUMBER(D71),D71-D70,"")</f>
        <v/>
      </c>
      <c r="I71" s="26">
        <f>IF(ISNUMBER(E71),E71-E70,"")</f>
        <v/>
      </c>
      <c r="J71" s="26">
        <f>IF(AND(ISNUMBER(H71),H71&lt;&gt;0),I71/H71,"")</f>
        <v/>
      </c>
      <c r="K71" s="15" t="inlineStr"/>
      <c r="L71" s="29" t="inlineStr"/>
    </row>
    <row r="72">
      <c r="A72" s="4" t="n">
        <v>23</v>
      </c>
      <c r="B72" s="6">
        <f>IFERROR(INDEX('Watershed plans'!$F$12:$F$15,MATCH(23,'Watershed plans'!$AA$12:$AA$15,0)),"")</f>
        <v/>
      </c>
      <c r="C72" s="10">
        <f>IFERROR(INDEX('Watershed plans'!$B$12:$B$15,MATCH(23,'Watershed plans'!$AA$12:$AA$15,0)),"")</f>
        <v/>
      </c>
      <c r="D72" s="20">
        <f>IFERROR(INDEX('Watershed plans'!$J$12:$J$15,MATCH(23,'Watershed plans'!$AA$12:$AA$15,0)),"")</f>
        <v/>
      </c>
      <c r="E72" s="26">
        <f>IFERROR(INDEX('Watershed plans'!$K$12:$K$15,MATCH(23,'Watershed plans'!$AA$12:$AA$15,0)),"")</f>
        <v/>
      </c>
      <c r="F72" s="25">
        <f>IFERROR(INDEX('Watershed plans'!$I$12:$I$15,MATCH(23,'Watershed plans'!$AA$12:$AA$15,0)),"")</f>
        <v/>
      </c>
      <c r="G72" s="26">
        <f>IFERROR(INDEX('Watershed plans'!$Y$12:$Y$15,MATCH(23,'Watershed plans'!$AA$12:$AA$15,0)),"")</f>
        <v/>
      </c>
      <c r="H72" s="20">
        <f>IF(ISNUMBER(D72),D72-D71,"")</f>
        <v/>
      </c>
      <c r="I72" s="26">
        <f>IF(ISNUMBER(E72),E72-E71,"")</f>
        <v/>
      </c>
      <c r="J72" s="26">
        <f>IF(AND(ISNUMBER(H72),H72&lt;&gt;0),I72/H72,"")</f>
        <v/>
      </c>
      <c r="K72" s="15" t="inlineStr"/>
      <c r="L72" s="29" t="inlineStr"/>
    </row>
    <row r="73">
      <c r="A73" s="4" t="n">
        <v>24</v>
      </c>
      <c r="B73" s="6">
        <f>IFERROR(INDEX('Watershed plans'!$F$12:$F$15,MATCH(24,'Watershed plans'!$AA$12:$AA$15,0)),"")</f>
        <v/>
      </c>
      <c r="C73" s="10">
        <f>IFERROR(INDEX('Watershed plans'!$B$12:$B$15,MATCH(24,'Watershed plans'!$AA$12:$AA$15,0)),"")</f>
        <v/>
      </c>
      <c r="D73" s="20">
        <f>IFERROR(INDEX('Watershed plans'!$J$12:$J$15,MATCH(24,'Watershed plans'!$AA$12:$AA$15,0)),"")</f>
        <v/>
      </c>
      <c r="E73" s="26">
        <f>IFERROR(INDEX('Watershed plans'!$K$12:$K$15,MATCH(24,'Watershed plans'!$AA$12:$AA$15,0)),"")</f>
        <v/>
      </c>
      <c r="F73" s="25">
        <f>IFERROR(INDEX('Watershed plans'!$I$12:$I$15,MATCH(24,'Watershed plans'!$AA$12:$AA$15,0)),"")</f>
        <v/>
      </c>
      <c r="G73" s="26">
        <f>IFERROR(INDEX('Watershed plans'!$Y$12:$Y$15,MATCH(24,'Watershed plans'!$AA$12:$AA$15,0)),"")</f>
        <v/>
      </c>
      <c r="H73" s="20">
        <f>IF(ISNUMBER(D73),D73-D72,"")</f>
        <v/>
      </c>
      <c r="I73" s="26">
        <f>IF(ISNUMBER(E73),E73-E72,"")</f>
        <v/>
      </c>
      <c r="J73" s="26">
        <f>IF(AND(ISNUMBER(H73),H73&lt;&gt;0),I73/H73,"")</f>
        <v/>
      </c>
      <c r="K73" s="15" t="inlineStr"/>
      <c r="L73" s="29" t="inlineStr"/>
    </row>
    <row r="74">
      <c r="A74" s="4" t="n">
        <v>25</v>
      </c>
      <c r="B74" s="6">
        <f>IFERROR(INDEX('Watershed plans'!$F$12:$F$15,MATCH(25,'Watershed plans'!$AA$12:$AA$15,0)),"")</f>
        <v/>
      </c>
      <c r="C74" s="10">
        <f>IFERROR(INDEX('Watershed plans'!$B$12:$B$15,MATCH(25,'Watershed plans'!$AA$12:$AA$15,0)),"")</f>
        <v/>
      </c>
      <c r="D74" s="20">
        <f>IFERROR(INDEX('Watershed plans'!$J$12:$J$15,MATCH(25,'Watershed plans'!$AA$12:$AA$15,0)),"")</f>
        <v/>
      </c>
      <c r="E74" s="26">
        <f>IFERROR(INDEX('Watershed plans'!$K$12:$K$15,MATCH(25,'Watershed plans'!$AA$12:$AA$15,0)),"")</f>
        <v/>
      </c>
      <c r="F74" s="25">
        <f>IFERROR(INDEX('Watershed plans'!$I$12:$I$15,MATCH(25,'Watershed plans'!$AA$12:$AA$15,0)),"")</f>
        <v/>
      </c>
      <c r="G74" s="26">
        <f>IFERROR(INDEX('Watershed plans'!$Y$12:$Y$15,MATCH(25,'Watershed plans'!$AA$12:$AA$15,0)),"")</f>
        <v/>
      </c>
      <c r="H74" s="20">
        <f>IF(ISNUMBER(D74),D74-D73,"")</f>
        <v/>
      </c>
      <c r="I74" s="26">
        <f>IF(ISNUMBER(E74),E74-E73,"")</f>
        <v/>
      </c>
      <c r="J74" s="26">
        <f>IF(AND(ISNUMBER(H74),H74&lt;&gt;0),I74/H74,"")</f>
        <v/>
      </c>
      <c r="K74" s="15" t="inlineStr"/>
      <c r="L74" s="29" t="inlineStr"/>
    </row>
    <row r="75">
      <c r="A75" s="4" t="n">
        <v>26</v>
      </c>
      <c r="B75" s="6">
        <f>IFERROR(INDEX('Watershed plans'!$F$12:$F$15,MATCH(26,'Watershed plans'!$AA$12:$AA$15,0)),"")</f>
        <v/>
      </c>
      <c r="C75" s="10">
        <f>IFERROR(INDEX('Watershed plans'!$B$12:$B$15,MATCH(26,'Watershed plans'!$AA$12:$AA$15,0)),"")</f>
        <v/>
      </c>
      <c r="D75" s="20">
        <f>IFERROR(INDEX('Watershed plans'!$J$12:$J$15,MATCH(26,'Watershed plans'!$AA$12:$AA$15,0)),"")</f>
        <v/>
      </c>
      <c r="E75" s="26">
        <f>IFERROR(INDEX('Watershed plans'!$K$12:$K$15,MATCH(26,'Watershed plans'!$AA$12:$AA$15,0)),"")</f>
        <v/>
      </c>
      <c r="F75" s="25">
        <f>IFERROR(INDEX('Watershed plans'!$I$12:$I$15,MATCH(26,'Watershed plans'!$AA$12:$AA$15,0)),"")</f>
        <v/>
      </c>
      <c r="G75" s="26">
        <f>IFERROR(INDEX('Watershed plans'!$Y$12:$Y$15,MATCH(26,'Watershed plans'!$AA$12:$AA$15,0)),"")</f>
        <v/>
      </c>
      <c r="H75" s="20">
        <f>IF(ISNUMBER(D75),D75-D74,"")</f>
        <v/>
      </c>
      <c r="I75" s="26">
        <f>IF(ISNUMBER(E75),E75-E74,"")</f>
        <v/>
      </c>
      <c r="J75" s="26">
        <f>IF(AND(ISNUMBER(H75),H75&lt;&gt;0),I75/H75,"")</f>
        <v/>
      </c>
      <c r="K75" s="15" t="inlineStr"/>
      <c r="L75" s="29" t="inlineStr"/>
    </row>
    <row r="76">
      <c r="A76" s="4" t="n">
        <v>27</v>
      </c>
      <c r="B76" s="6">
        <f>IFERROR(INDEX('Watershed plans'!$F$12:$F$15,MATCH(27,'Watershed plans'!$AA$12:$AA$15,0)),"")</f>
        <v/>
      </c>
      <c r="C76" s="10">
        <f>IFERROR(INDEX('Watershed plans'!$B$12:$B$15,MATCH(27,'Watershed plans'!$AA$12:$AA$15,0)),"")</f>
        <v/>
      </c>
      <c r="D76" s="20">
        <f>IFERROR(INDEX('Watershed plans'!$J$12:$J$15,MATCH(27,'Watershed plans'!$AA$12:$AA$15,0)),"")</f>
        <v/>
      </c>
      <c r="E76" s="26">
        <f>IFERROR(INDEX('Watershed plans'!$K$12:$K$15,MATCH(27,'Watershed plans'!$AA$12:$AA$15,0)),"")</f>
        <v/>
      </c>
      <c r="F76" s="25">
        <f>IFERROR(INDEX('Watershed plans'!$I$12:$I$15,MATCH(27,'Watershed plans'!$AA$12:$AA$15,0)),"")</f>
        <v/>
      </c>
      <c r="G76" s="26">
        <f>IFERROR(INDEX('Watershed plans'!$Y$12:$Y$15,MATCH(27,'Watershed plans'!$AA$12:$AA$15,0)),"")</f>
        <v/>
      </c>
      <c r="H76" s="20">
        <f>IF(ISNUMBER(D76),D76-D75,"")</f>
        <v/>
      </c>
      <c r="I76" s="26">
        <f>IF(ISNUMBER(E76),E76-E75,"")</f>
        <v/>
      </c>
      <c r="J76" s="26">
        <f>IF(AND(ISNUMBER(H76),H76&lt;&gt;0),I76/H76,"")</f>
        <v/>
      </c>
      <c r="K76" s="15" t="inlineStr"/>
      <c r="L76" s="29" t="inlineStr"/>
    </row>
    <row r="77">
      <c r="A77" s="4" t="n">
        <v>28</v>
      </c>
      <c r="B77" s="6">
        <f>IFERROR(INDEX('Watershed plans'!$F$12:$F$15,MATCH(28,'Watershed plans'!$AA$12:$AA$15,0)),"")</f>
        <v/>
      </c>
      <c r="C77" s="10">
        <f>IFERROR(INDEX('Watershed plans'!$B$12:$B$15,MATCH(28,'Watershed plans'!$AA$12:$AA$15,0)),"")</f>
        <v/>
      </c>
      <c r="D77" s="20">
        <f>IFERROR(INDEX('Watershed plans'!$J$12:$J$15,MATCH(28,'Watershed plans'!$AA$12:$AA$15,0)),"")</f>
        <v/>
      </c>
      <c r="E77" s="26">
        <f>IFERROR(INDEX('Watershed plans'!$K$12:$K$15,MATCH(28,'Watershed plans'!$AA$12:$AA$15,0)),"")</f>
        <v/>
      </c>
      <c r="F77" s="25">
        <f>IFERROR(INDEX('Watershed plans'!$I$12:$I$15,MATCH(28,'Watershed plans'!$AA$12:$AA$15,0)),"")</f>
        <v/>
      </c>
      <c r="G77" s="26">
        <f>IFERROR(INDEX('Watershed plans'!$Y$12:$Y$15,MATCH(28,'Watershed plans'!$AA$12:$AA$15,0)),"")</f>
        <v/>
      </c>
      <c r="H77" s="20">
        <f>IF(ISNUMBER(D77),D77-D76,"")</f>
        <v/>
      </c>
      <c r="I77" s="26">
        <f>IF(ISNUMBER(E77),E77-E76,"")</f>
        <v/>
      </c>
      <c r="J77" s="26">
        <f>IF(AND(ISNUMBER(H77),H77&lt;&gt;0),I77/H77,"")</f>
        <v/>
      </c>
      <c r="K77" s="15" t="inlineStr"/>
      <c r="L77" s="29" t="inlineStr"/>
    </row>
    <row r="78">
      <c r="A78" s="4" t="n">
        <v>29</v>
      </c>
      <c r="B78" s="6">
        <f>IFERROR(INDEX('Watershed plans'!$F$12:$F$15,MATCH(29,'Watershed plans'!$AA$12:$AA$15,0)),"")</f>
        <v/>
      </c>
      <c r="C78" s="10">
        <f>IFERROR(INDEX('Watershed plans'!$B$12:$B$15,MATCH(29,'Watershed plans'!$AA$12:$AA$15,0)),"")</f>
        <v/>
      </c>
      <c r="D78" s="20">
        <f>IFERROR(INDEX('Watershed plans'!$J$12:$J$15,MATCH(29,'Watershed plans'!$AA$12:$AA$15,0)),"")</f>
        <v/>
      </c>
      <c r="E78" s="26">
        <f>IFERROR(INDEX('Watershed plans'!$K$12:$K$15,MATCH(29,'Watershed plans'!$AA$12:$AA$15,0)),"")</f>
        <v/>
      </c>
      <c r="F78" s="25">
        <f>IFERROR(INDEX('Watershed plans'!$I$12:$I$15,MATCH(29,'Watershed plans'!$AA$12:$AA$15,0)),"")</f>
        <v/>
      </c>
      <c r="G78" s="26">
        <f>IFERROR(INDEX('Watershed plans'!$Y$12:$Y$15,MATCH(29,'Watershed plans'!$AA$12:$AA$15,0)),"")</f>
        <v/>
      </c>
      <c r="H78" s="20">
        <f>IF(ISNUMBER(D78),D78-D77,"")</f>
        <v/>
      </c>
      <c r="I78" s="26">
        <f>IF(ISNUMBER(E78),E78-E77,"")</f>
        <v/>
      </c>
      <c r="J78" s="26">
        <f>IF(AND(ISNUMBER(H78),H78&lt;&gt;0),I78/H78,"")</f>
        <v/>
      </c>
      <c r="K78" s="15" t="inlineStr"/>
      <c r="L78" s="29" t="inlineStr"/>
    </row>
    <row r="79">
      <c r="A79" s="4" t="n">
        <v>30</v>
      </c>
      <c r="B79" s="6">
        <f>IFERROR(INDEX('Watershed plans'!$F$12:$F$15,MATCH(30,'Watershed plans'!$AA$12:$AA$15,0)),"")</f>
        <v/>
      </c>
      <c r="C79" s="10">
        <f>IFERROR(INDEX('Watershed plans'!$B$12:$B$15,MATCH(30,'Watershed plans'!$AA$12:$AA$15,0)),"")</f>
        <v/>
      </c>
      <c r="D79" s="20">
        <f>IFERROR(INDEX('Watershed plans'!$J$12:$J$15,MATCH(30,'Watershed plans'!$AA$12:$AA$15,0)),"")</f>
        <v/>
      </c>
      <c r="E79" s="26">
        <f>IFERROR(INDEX('Watershed plans'!$K$12:$K$15,MATCH(30,'Watershed plans'!$AA$12:$AA$15,0)),"")</f>
        <v/>
      </c>
      <c r="F79" s="25">
        <f>IFERROR(INDEX('Watershed plans'!$I$12:$I$15,MATCH(30,'Watershed plans'!$AA$12:$AA$15,0)),"")</f>
        <v/>
      </c>
      <c r="G79" s="26">
        <f>IFERROR(INDEX('Watershed plans'!$Y$12:$Y$15,MATCH(30,'Watershed plans'!$AA$12:$AA$15,0)),"")</f>
        <v/>
      </c>
      <c r="H79" s="20">
        <f>IF(ISNUMBER(D79),D79-D78,"")</f>
        <v/>
      </c>
      <c r="I79" s="26">
        <f>IF(ISNUMBER(E79),E79-E78,"")</f>
        <v/>
      </c>
      <c r="J79" s="26">
        <f>IF(AND(ISNUMBER(H79),H79&lt;&gt;0),I79/H79,"")</f>
        <v/>
      </c>
      <c r="K79" s="15" t="inlineStr"/>
      <c r="L79" s="29" t="inlineStr"/>
    </row>
    <row r="80">
      <c r="A80" s="4" t="n">
        <v>31</v>
      </c>
      <c r="B80" s="6">
        <f>IFERROR(INDEX('Watershed plans'!$F$12:$F$15,MATCH(31,'Watershed plans'!$AA$12:$AA$15,0)),"")</f>
        <v/>
      </c>
      <c r="C80" s="10">
        <f>IFERROR(INDEX('Watershed plans'!$B$12:$B$15,MATCH(31,'Watershed plans'!$AA$12:$AA$15,0)),"")</f>
        <v/>
      </c>
      <c r="D80" s="20">
        <f>IFERROR(INDEX('Watershed plans'!$J$12:$J$15,MATCH(31,'Watershed plans'!$AA$12:$AA$15,0)),"")</f>
        <v/>
      </c>
      <c r="E80" s="26">
        <f>IFERROR(INDEX('Watershed plans'!$K$12:$K$15,MATCH(31,'Watershed plans'!$AA$12:$AA$15,0)),"")</f>
        <v/>
      </c>
      <c r="F80" s="25">
        <f>IFERROR(INDEX('Watershed plans'!$I$12:$I$15,MATCH(31,'Watershed plans'!$AA$12:$AA$15,0)),"")</f>
        <v/>
      </c>
      <c r="G80" s="26">
        <f>IFERROR(INDEX('Watershed plans'!$Y$12:$Y$15,MATCH(31,'Watershed plans'!$AA$12:$AA$15,0)),"")</f>
        <v/>
      </c>
      <c r="H80" s="20">
        <f>IF(ISNUMBER(D80),D80-D79,"")</f>
        <v/>
      </c>
      <c r="I80" s="26">
        <f>IF(ISNUMBER(E80),E80-E79,"")</f>
        <v/>
      </c>
      <c r="J80" s="26">
        <f>IF(AND(ISNUMBER(H80),H80&lt;&gt;0),I80/H80,"")</f>
        <v/>
      </c>
      <c r="K80" s="15" t="inlineStr"/>
      <c r="L80" s="29" t="inlineStr"/>
    </row>
    <row r="81">
      <c r="A81" s="4" t="n">
        <v>32</v>
      </c>
      <c r="B81" s="6">
        <f>IFERROR(INDEX('Watershed plans'!$F$12:$F$15,MATCH(32,'Watershed plans'!$AA$12:$AA$15,0)),"")</f>
        <v/>
      </c>
      <c r="C81" s="10">
        <f>IFERROR(INDEX('Watershed plans'!$B$12:$B$15,MATCH(32,'Watershed plans'!$AA$12:$AA$15,0)),"")</f>
        <v/>
      </c>
      <c r="D81" s="20">
        <f>IFERROR(INDEX('Watershed plans'!$J$12:$J$15,MATCH(32,'Watershed plans'!$AA$12:$AA$15,0)),"")</f>
        <v/>
      </c>
      <c r="E81" s="26">
        <f>IFERROR(INDEX('Watershed plans'!$K$12:$K$15,MATCH(32,'Watershed plans'!$AA$12:$AA$15,0)),"")</f>
        <v/>
      </c>
      <c r="F81" s="25">
        <f>IFERROR(INDEX('Watershed plans'!$I$12:$I$15,MATCH(32,'Watershed plans'!$AA$12:$AA$15,0)),"")</f>
        <v/>
      </c>
      <c r="G81" s="26">
        <f>IFERROR(INDEX('Watershed plans'!$Y$12:$Y$15,MATCH(32,'Watershed plans'!$AA$12:$AA$15,0)),"")</f>
        <v/>
      </c>
      <c r="H81" s="20">
        <f>IF(ISNUMBER(D81),D81-D80,"")</f>
        <v/>
      </c>
      <c r="I81" s="26">
        <f>IF(ISNUMBER(E81),E81-E80,"")</f>
        <v/>
      </c>
      <c r="J81" s="26">
        <f>IF(AND(ISNUMBER(H81),H81&lt;&gt;0),I81/H81,"")</f>
        <v/>
      </c>
      <c r="K81" s="15" t="inlineStr"/>
      <c r="L81" s="29" t="inlineStr"/>
    </row>
    <row r="82">
      <c r="A82" s="4" t="n">
        <v>33</v>
      </c>
      <c r="B82" s="6">
        <f>IFERROR(INDEX('Watershed plans'!$F$12:$F$15,MATCH(33,'Watershed plans'!$AA$12:$AA$15,0)),"")</f>
        <v/>
      </c>
      <c r="C82" s="10">
        <f>IFERROR(INDEX('Watershed plans'!$B$12:$B$15,MATCH(33,'Watershed plans'!$AA$12:$AA$15,0)),"")</f>
        <v/>
      </c>
      <c r="D82" s="20">
        <f>IFERROR(INDEX('Watershed plans'!$J$12:$J$15,MATCH(33,'Watershed plans'!$AA$12:$AA$15,0)),"")</f>
        <v/>
      </c>
      <c r="E82" s="26">
        <f>IFERROR(INDEX('Watershed plans'!$K$12:$K$15,MATCH(33,'Watershed plans'!$AA$12:$AA$15,0)),"")</f>
        <v/>
      </c>
      <c r="F82" s="25">
        <f>IFERROR(INDEX('Watershed plans'!$I$12:$I$15,MATCH(33,'Watershed plans'!$AA$12:$AA$15,0)),"")</f>
        <v/>
      </c>
      <c r="G82" s="26">
        <f>IFERROR(INDEX('Watershed plans'!$Y$12:$Y$15,MATCH(33,'Watershed plans'!$AA$12:$AA$15,0)),"")</f>
        <v/>
      </c>
      <c r="H82" s="20">
        <f>IF(ISNUMBER(D82),D82-D81,"")</f>
        <v/>
      </c>
      <c r="I82" s="26">
        <f>IF(ISNUMBER(E82),E82-E81,"")</f>
        <v/>
      </c>
      <c r="J82" s="26">
        <f>IF(AND(ISNUMBER(H82),H82&lt;&gt;0),I82/H82,"")</f>
        <v/>
      </c>
      <c r="K82" s="15" t="inlineStr"/>
      <c r="L82" s="29" t="inlineStr"/>
    </row>
    <row r="83">
      <c r="A83" s="4" t="n">
        <v>34</v>
      </c>
      <c r="B83" s="6">
        <f>IFERROR(INDEX('Watershed plans'!$F$12:$F$15,MATCH(34,'Watershed plans'!$AA$12:$AA$15,0)),"")</f>
        <v/>
      </c>
      <c r="C83" s="10">
        <f>IFERROR(INDEX('Watershed plans'!$B$12:$B$15,MATCH(34,'Watershed plans'!$AA$12:$AA$15,0)),"")</f>
        <v/>
      </c>
      <c r="D83" s="20">
        <f>IFERROR(INDEX('Watershed plans'!$J$12:$J$15,MATCH(34,'Watershed plans'!$AA$12:$AA$15,0)),"")</f>
        <v/>
      </c>
      <c r="E83" s="26">
        <f>IFERROR(INDEX('Watershed plans'!$K$12:$K$15,MATCH(34,'Watershed plans'!$AA$12:$AA$15,0)),"")</f>
        <v/>
      </c>
      <c r="F83" s="25">
        <f>IFERROR(INDEX('Watershed plans'!$I$12:$I$15,MATCH(34,'Watershed plans'!$AA$12:$AA$15,0)),"")</f>
        <v/>
      </c>
      <c r="G83" s="26">
        <f>IFERROR(INDEX('Watershed plans'!$Y$12:$Y$15,MATCH(34,'Watershed plans'!$AA$12:$AA$15,0)),"")</f>
        <v/>
      </c>
      <c r="H83" s="20">
        <f>IF(ISNUMBER(D83),D83-D82,"")</f>
        <v/>
      </c>
      <c r="I83" s="26">
        <f>IF(ISNUMBER(E83),E83-E82,"")</f>
        <v/>
      </c>
      <c r="J83" s="26">
        <f>IF(AND(ISNUMBER(H83),H83&lt;&gt;0),I83/H83,"")</f>
        <v/>
      </c>
      <c r="K83" s="15" t="inlineStr"/>
      <c r="L83" s="29" t="inlineStr"/>
    </row>
    <row r="84">
      <c r="A84" s="4" t="n">
        <v>35</v>
      </c>
      <c r="B84" s="6">
        <f>IFERROR(INDEX('Watershed plans'!$F$12:$F$15,MATCH(35,'Watershed plans'!$AA$12:$AA$15,0)),"")</f>
        <v/>
      </c>
      <c r="C84" s="10">
        <f>IFERROR(INDEX('Watershed plans'!$B$12:$B$15,MATCH(35,'Watershed plans'!$AA$12:$AA$15,0)),"")</f>
        <v/>
      </c>
      <c r="D84" s="20">
        <f>IFERROR(INDEX('Watershed plans'!$J$12:$J$15,MATCH(35,'Watershed plans'!$AA$12:$AA$15,0)),"")</f>
        <v/>
      </c>
      <c r="E84" s="26">
        <f>IFERROR(INDEX('Watershed plans'!$K$12:$K$15,MATCH(35,'Watershed plans'!$AA$12:$AA$15,0)),"")</f>
        <v/>
      </c>
      <c r="F84" s="25">
        <f>IFERROR(INDEX('Watershed plans'!$I$12:$I$15,MATCH(35,'Watershed plans'!$AA$12:$AA$15,0)),"")</f>
        <v/>
      </c>
      <c r="G84" s="26">
        <f>IFERROR(INDEX('Watershed plans'!$Y$12:$Y$15,MATCH(35,'Watershed plans'!$AA$12:$AA$15,0)),"")</f>
        <v/>
      </c>
      <c r="H84" s="20">
        <f>IF(ISNUMBER(D84),D84-D83,"")</f>
        <v/>
      </c>
      <c r="I84" s="26">
        <f>IF(ISNUMBER(E84),E84-E83,"")</f>
        <v/>
      </c>
      <c r="J84" s="26">
        <f>IF(AND(ISNUMBER(H84),H84&lt;&gt;0),I84/H84,"")</f>
        <v/>
      </c>
      <c r="K84" s="15" t="inlineStr"/>
      <c r="L84" s="29" t="inlineStr"/>
    </row>
    <row r="85">
      <c r="A85" s="4" t="n">
        <v>36</v>
      </c>
      <c r="B85" s="6">
        <f>IFERROR(INDEX('Watershed plans'!$F$12:$F$15,MATCH(36,'Watershed plans'!$AA$12:$AA$15,0)),"")</f>
        <v/>
      </c>
      <c r="C85" s="10">
        <f>IFERROR(INDEX('Watershed plans'!$B$12:$B$15,MATCH(36,'Watershed plans'!$AA$12:$AA$15,0)),"")</f>
        <v/>
      </c>
      <c r="D85" s="20">
        <f>IFERROR(INDEX('Watershed plans'!$J$12:$J$15,MATCH(36,'Watershed plans'!$AA$12:$AA$15,0)),"")</f>
        <v/>
      </c>
      <c r="E85" s="26">
        <f>IFERROR(INDEX('Watershed plans'!$K$12:$K$15,MATCH(36,'Watershed plans'!$AA$12:$AA$15,0)),"")</f>
        <v/>
      </c>
      <c r="F85" s="25">
        <f>IFERROR(INDEX('Watershed plans'!$I$12:$I$15,MATCH(36,'Watershed plans'!$AA$12:$AA$15,0)),"")</f>
        <v/>
      </c>
      <c r="G85" s="26">
        <f>IFERROR(INDEX('Watershed plans'!$Y$12:$Y$15,MATCH(36,'Watershed plans'!$AA$12:$AA$15,0)),"")</f>
        <v/>
      </c>
      <c r="H85" s="20">
        <f>IF(ISNUMBER(D85),D85-D84,"")</f>
        <v/>
      </c>
      <c r="I85" s="26">
        <f>IF(ISNUMBER(E85),E85-E84,"")</f>
        <v/>
      </c>
      <c r="J85" s="26">
        <f>IF(AND(ISNUMBER(H85),H85&lt;&gt;0),I85/H85,"")</f>
        <v/>
      </c>
      <c r="K85" s="15" t="inlineStr"/>
      <c r="L85" s="29" t="inlineStr"/>
    </row>
    <row r="86">
      <c r="A86" s="4" t="n">
        <v>37</v>
      </c>
      <c r="B86" s="6">
        <f>IFERROR(INDEX('Watershed plans'!$F$12:$F$15,MATCH(37,'Watershed plans'!$AA$12:$AA$15,0)),"")</f>
        <v/>
      </c>
      <c r="C86" s="10">
        <f>IFERROR(INDEX('Watershed plans'!$B$12:$B$15,MATCH(37,'Watershed plans'!$AA$12:$AA$15,0)),"")</f>
        <v/>
      </c>
      <c r="D86" s="20">
        <f>IFERROR(INDEX('Watershed plans'!$J$12:$J$15,MATCH(37,'Watershed plans'!$AA$12:$AA$15,0)),"")</f>
        <v/>
      </c>
      <c r="E86" s="26">
        <f>IFERROR(INDEX('Watershed plans'!$K$12:$K$15,MATCH(37,'Watershed plans'!$AA$12:$AA$15,0)),"")</f>
        <v/>
      </c>
      <c r="F86" s="25">
        <f>IFERROR(INDEX('Watershed plans'!$I$12:$I$15,MATCH(37,'Watershed plans'!$AA$12:$AA$15,0)),"")</f>
        <v/>
      </c>
      <c r="G86" s="26">
        <f>IFERROR(INDEX('Watershed plans'!$Y$12:$Y$15,MATCH(37,'Watershed plans'!$AA$12:$AA$15,0)),"")</f>
        <v/>
      </c>
      <c r="H86" s="20">
        <f>IF(ISNUMBER(D86),D86-D85,"")</f>
        <v/>
      </c>
      <c r="I86" s="26">
        <f>IF(ISNUMBER(E86),E86-E85,"")</f>
        <v/>
      </c>
      <c r="J86" s="26">
        <f>IF(AND(ISNUMBER(H86),H86&lt;&gt;0),I86/H86,"")</f>
        <v/>
      </c>
      <c r="K86" s="15" t="inlineStr"/>
      <c r="L86" s="29" t="inlineStr"/>
    </row>
    <row r="87">
      <c r="A87" s="4" t="n">
        <v>38</v>
      </c>
      <c r="B87" s="6">
        <f>IFERROR(INDEX('Watershed plans'!$F$12:$F$15,MATCH(38,'Watershed plans'!$AA$12:$AA$15,0)),"")</f>
        <v/>
      </c>
      <c r="C87" s="10">
        <f>IFERROR(INDEX('Watershed plans'!$B$12:$B$15,MATCH(38,'Watershed plans'!$AA$12:$AA$15,0)),"")</f>
        <v/>
      </c>
      <c r="D87" s="20">
        <f>IFERROR(INDEX('Watershed plans'!$J$12:$J$15,MATCH(38,'Watershed plans'!$AA$12:$AA$15,0)),"")</f>
        <v/>
      </c>
      <c r="E87" s="26">
        <f>IFERROR(INDEX('Watershed plans'!$K$12:$K$15,MATCH(38,'Watershed plans'!$AA$12:$AA$15,0)),"")</f>
        <v/>
      </c>
      <c r="F87" s="25">
        <f>IFERROR(INDEX('Watershed plans'!$I$12:$I$15,MATCH(38,'Watershed plans'!$AA$12:$AA$15,0)),"")</f>
        <v/>
      </c>
      <c r="G87" s="26">
        <f>IFERROR(INDEX('Watershed plans'!$Y$12:$Y$15,MATCH(38,'Watershed plans'!$AA$12:$AA$15,0)),"")</f>
        <v/>
      </c>
      <c r="H87" s="20">
        <f>IF(ISNUMBER(D87),D87-D86,"")</f>
        <v/>
      </c>
      <c r="I87" s="26">
        <f>IF(ISNUMBER(E87),E87-E86,"")</f>
        <v/>
      </c>
      <c r="J87" s="26">
        <f>IF(AND(ISNUMBER(H87),H87&lt;&gt;0),I87/H87,"")</f>
        <v/>
      </c>
      <c r="K87" s="15" t="inlineStr"/>
      <c r="L87" s="29" t="inlineStr"/>
    </row>
    <row r="88">
      <c r="A88" s="4" t="n">
        <v>39</v>
      </c>
      <c r="B88" s="6">
        <f>IFERROR(INDEX('Watershed plans'!$F$12:$F$15,MATCH(39,'Watershed plans'!$AA$12:$AA$15,0)),"")</f>
        <v/>
      </c>
      <c r="C88" s="10">
        <f>IFERROR(INDEX('Watershed plans'!$B$12:$B$15,MATCH(39,'Watershed plans'!$AA$12:$AA$15,0)),"")</f>
        <v/>
      </c>
      <c r="D88" s="20">
        <f>IFERROR(INDEX('Watershed plans'!$J$12:$J$15,MATCH(39,'Watershed plans'!$AA$12:$AA$15,0)),"")</f>
        <v/>
      </c>
      <c r="E88" s="26">
        <f>IFERROR(INDEX('Watershed plans'!$K$12:$K$15,MATCH(39,'Watershed plans'!$AA$12:$AA$15,0)),"")</f>
        <v/>
      </c>
      <c r="F88" s="25">
        <f>IFERROR(INDEX('Watershed plans'!$I$12:$I$15,MATCH(39,'Watershed plans'!$AA$12:$AA$15,0)),"")</f>
        <v/>
      </c>
      <c r="G88" s="26">
        <f>IFERROR(INDEX('Watershed plans'!$Y$12:$Y$15,MATCH(39,'Watershed plans'!$AA$12:$AA$15,0)),"")</f>
        <v/>
      </c>
      <c r="H88" s="20">
        <f>IF(ISNUMBER(D88),D88-D87,"")</f>
        <v/>
      </c>
      <c r="I88" s="26">
        <f>IF(ISNUMBER(E88),E88-E87,"")</f>
        <v/>
      </c>
      <c r="J88" s="26">
        <f>IF(AND(ISNUMBER(H88),H88&lt;&gt;0),I88/H88,"")</f>
        <v/>
      </c>
      <c r="K88" s="15" t="inlineStr"/>
      <c r="L88" s="29" t="inlineStr"/>
    </row>
    <row r="89">
      <c r="A89" s="4" t="n">
        <v>40</v>
      </c>
      <c r="B89" s="6">
        <f>IFERROR(INDEX('Watershed plans'!$F$12:$F$15,MATCH(40,'Watershed plans'!$AA$12:$AA$15,0)),"")</f>
        <v/>
      </c>
      <c r="C89" s="10">
        <f>IFERROR(INDEX('Watershed plans'!$B$12:$B$15,MATCH(40,'Watershed plans'!$AA$12:$AA$15,0)),"")</f>
        <v/>
      </c>
      <c r="D89" s="20">
        <f>IFERROR(INDEX('Watershed plans'!$J$12:$J$15,MATCH(40,'Watershed plans'!$AA$12:$AA$15,0)),"")</f>
        <v/>
      </c>
      <c r="E89" s="26">
        <f>IFERROR(INDEX('Watershed plans'!$K$12:$K$15,MATCH(40,'Watershed plans'!$AA$12:$AA$15,0)),"")</f>
        <v/>
      </c>
      <c r="F89" s="25">
        <f>IFERROR(INDEX('Watershed plans'!$I$12:$I$15,MATCH(40,'Watershed plans'!$AA$12:$AA$15,0)),"")</f>
        <v/>
      </c>
      <c r="G89" s="26">
        <f>IFERROR(INDEX('Watershed plans'!$Y$12:$Y$15,MATCH(40,'Watershed plans'!$AA$12:$AA$15,0)),"")</f>
        <v/>
      </c>
      <c r="H89" s="20">
        <f>IF(ISNUMBER(D89),D89-D88,"")</f>
        <v/>
      </c>
      <c r="I89" s="26">
        <f>IF(ISNUMBER(E89),E89-E88,"")</f>
        <v/>
      </c>
      <c r="J89" s="26">
        <f>IF(AND(ISNUMBER(H89),H89&lt;&gt;0),I89/H89,"")</f>
        <v/>
      </c>
      <c r="K89" s="15" t="inlineStr"/>
      <c r="L89" s="29" t="inlineStr"/>
    </row>
    <row r="92">
      <c r="A92" s="7" t="inlineStr">
        <is>
          <t>Tentatively selected plan</t>
        </is>
      </c>
    </row>
    <row r="93">
      <c r="A93" s="4" t="inlineStr">
        <is>
          <t>Plan number</t>
        </is>
      </c>
      <c r="B93" s="14" t="n"/>
    </row>
    <row r="94">
      <c r="A94" s="4" t="inlineStr">
        <is>
          <t>Plan</t>
        </is>
      </c>
      <c r="B94" s="10">
        <f>IFERROR(INDEX('Watershed plans'!$B$12:$B$15,MATCH($B$93,'Watershed plans'!$F$12:$F$15,0)),"n/a")</f>
        <v/>
      </c>
    </row>
    <row r="95">
      <c r="A95" s="4" t="inlineStr">
        <is>
          <t>Lift (AAHU)</t>
        </is>
      </c>
      <c r="B95" s="20">
        <f>IFERROR(INDEX('Watershed plans'!$J$12:$J$15,MATCH($B$93,'Watershed plans'!$F$12:$F$15,0)),"n/a")</f>
        <v/>
      </c>
    </row>
    <row r="96">
      <c r="A96" s="4" t="inlineStr">
        <is>
          <t>Average annual cost</t>
        </is>
      </c>
      <c r="B96" s="26">
        <f>IFERROR(INDEX('Watershed plans'!$K$12:$K$15,MATCH($B$93,'Watershed plans'!$F$12:$F$15,0)),"n/a")</f>
        <v/>
      </c>
    </row>
    <row r="97">
      <c r="A97" s="4" t="inlineStr">
        <is>
          <t>Construction cost</t>
        </is>
      </c>
      <c r="B97" s="25">
        <f>IFERROR(INDEX('Watershed plans'!$I$12:$I$15,MATCH($B$93,'Watershed plans'!$F$12:$F$15,0)),"n/a")</f>
        <v/>
      </c>
    </row>
    <row r="98">
      <c r="A98" s="4" t="inlineStr">
        <is>
          <t>Unit cost</t>
        </is>
      </c>
      <c r="B98" s="26">
        <f>IFERROR(INDEX('Watershed plans'!$Y$12:$Y$15,MATCH($B$93,'Watershed plans'!$F$12:$F$15,0)),"n/a")</f>
        <v/>
      </c>
    </row>
    <row r="99">
      <c r="A99" s="4" t="inlineStr">
        <is>
          <t>In the final array</t>
        </is>
      </c>
      <c r="B99" s="10">
        <f>IFERROR(INDEX('Watershed plans'!$Z$12:$Z$15,MATCH($B$93,'Watershed plans'!$F$12:$F$15,0)),"n/a")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K50:L89">
    <cfRule type="expression" priority="1" dxfId="0" stopIfTrue="0">
      <formula>K50&lt;&gt;'snap Watershed summary'!K50</formula>
    </cfRule>
  </conditionalFormatting>
  <conditionalFormatting sqref="B93">
    <cfRule type="expression" priority="2" dxfId="0" stopIfTrue="0">
      <formula>B93&lt;&gt;'snap Watershed summary'!B93</formula>
    </cfRule>
  </conditionalFormatting>
  <dataValidations count="2">
    <dataValidation sqref="K51:K89" showDropDown="0" showInputMessage="0" showErrorMessage="0" allowBlank="1" type="list">
      <formula1>"Yes,No"</formula1>
    </dataValidation>
    <dataValidation sqref="B93" showDropDown="0" showInputMessage="0" showErrorMessage="0" allowBlank="1" type="list">
      <formula1>='Watershed summary'!$B$50:$B$89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9" customWidth="1" style="8" min="1" max="1"/>
    <col width="16" customWidth="1" style="8" min="2" max="2"/>
    <col width="20" customWidth="1" style="8" min="3" max="3"/>
    <col width="22" customWidth="1" style="8" min="4" max="4"/>
  </cols>
  <sheetData>
    <row r="1">
      <c r="A1" s="1" t="inlineStr">
        <is>
          <t>IWR Planning Suite II input</t>
        </is>
      </c>
    </row>
    <row r="2">
      <c r="A2" s="2" t="inlineStr">
        <is>
          <t>Paste-ready plan, output and cost columns for an independent re-run in IWR Planning Suite II (user-entered planning set; No Action is the first plan).</t>
        </is>
      </c>
    </row>
    <row r="4">
      <c r="A4" s="7" t="inlineStr">
        <is>
          <t>Site planning sets</t>
        </is>
      </c>
    </row>
    <row r="5">
      <c r="A5" s="12" t="inlineStr">
        <is>
          <t>Site</t>
        </is>
      </c>
      <c r="B5" s="12" t="inlineStr">
        <is>
          <t>Plan</t>
        </is>
      </c>
      <c r="C5" s="12" t="inlineStr">
        <is>
          <t>Output (AAHU above No Action)</t>
        </is>
      </c>
      <c r="D5" s="12" t="inlineStr">
        <is>
          <t>Cost (average annual, above No Action)</t>
        </is>
      </c>
    </row>
    <row r="6">
      <c r="A6" s="4" t="inlineStr">
        <is>
          <t>A</t>
        </is>
      </c>
      <c r="B6" s="4" t="inlineStr">
        <is>
          <t>NA</t>
        </is>
      </c>
      <c r="C6" s="20">
        <f>'Site CE-ICA'!I6/10^in_out_dp</f>
        <v/>
      </c>
      <c r="D6" s="26">
        <f>'Site CE-ICA'!J6/10^in_cost_dp</f>
        <v/>
      </c>
    </row>
    <row r="7">
      <c r="A7" s="4" t="inlineStr">
        <is>
          <t>A</t>
        </is>
      </c>
      <c r="B7" s="4" t="inlineStr">
        <is>
          <t>A1</t>
        </is>
      </c>
      <c r="C7" s="20">
        <f>'Site CE-ICA'!I7/10^in_out_dp</f>
        <v/>
      </c>
      <c r="D7" s="26">
        <f>'Site CE-ICA'!J7/10^in_cost_dp</f>
        <v/>
      </c>
    </row>
    <row r="8">
      <c r="A8" s="4" t="inlineStr">
        <is>
          <t>A</t>
        </is>
      </c>
      <c r="B8" s="4" t="inlineStr">
        <is>
          <t>A2</t>
        </is>
      </c>
      <c r="C8" s="20">
        <f>'Site CE-ICA'!I8/10^in_out_dp</f>
        <v/>
      </c>
      <c r="D8" s="26">
        <f>'Site CE-ICA'!J8/10^in_cost_dp</f>
        <v/>
      </c>
    </row>
    <row r="9">
      <c r="A9" s="4" t="inlineStr">
        <is>
          <t>B</t>
        </is>
      </c>
      <c r="B9" s="4" t="inlineStr">
        <is>
          <t>NA</t>
        </is>
      </c>
      <c r="C9" s="20">
        <f>'Site CE-ICA'!I11/10^in_out_dp</f>
        <v/>
      </c>
      <c r="D9" s="26">
        <f>'Site CE-ICA'!J11/10^in_cost_dp</f>
        <v/>
      </c>
    </row>
    <row r="10">
      <c r="A10" s="4" t="inlineStr">
        <is>
          <t>B</t>
        </is>
      </c>
      <c r="B10" s="4" t="inlineStr">
        <is>
          <t>B1</t>
        </is>
      </c>
      <c r="C10" s="20">
        <f>'Site CE-ICA'!I12/10^in_out_dp</f>
        <v/>
      </c>
      <c r="D10" s="26">
        <f>'Site CE-ICA'!J12/10^in_cost_dp</f>
        <v/>
      </c>
    </row>
    <row r="12">
      <c r="A12" s="7" t="inlineStr">
        <is>
          <t>Watershed planning set (valid plans)</t>
        </is>
      </c>
    </row>
    <row r="13">
      <c r="A13" s="12" t="inlineStr">
        <is>
          <t>Plan number</t>
        </is>
      </c>
      <c r="B13" s="12" t="inlineStr">
        <is>
          <t>Plan</t>
        </is>
      </c>
      <c r="C13" s="12" t="inlineStr">
        <is>
          <t>Output</t>
        </is>
      </c>
      <c r="D13" s="12" t="inlineStr">
        <is>
          <t>Cost</t>
        </is>
      </c>
    </row>
    <row r="14">
      <c r="A14" s="6">
        <f>'Watershed plans'!F12</f>
        <v/>
      </c>
      <c r="B14" s="10">
        <f>'Watershed plans'!B12</f>
        <v/>
      </c>
      <c r="C14" s="20">
        <f>IF('Watershed plans'!C12=1,'Watershed plans'!J12,"")</f>
        <v/>
      </c>
      <c r="D14" s="26">
        <f>IF('Watershed plans'!C12=1,'Watershed plans'!K12,"")</f>
        <v/>
      </c>
    </row>
    <row r="15">
      <c r="A15" s="6">
        <f>'Watershed plans'!F13</f>
        <v/>
      </c>
      <c r="B15" s="10">
        <f>'Watershed plans'!B13</f>
        <v/>
      </c>
      <c r="C15" s="20">
        <f>IF('Watershed plans'!C13=1,'Watershed plans'!J13,"")</f>
        <v/>
      </c>
      <c r="D15" s="26">
        <f>IF('Watershed plans'!C13=1,'Watershed plans'!K13,"")</f>
        <v/>
      </c>
    </row>
    <row r="16">
      <c r="A16" s="6">
        <f>'Watershed plans'!F14</f>
        <v/>
      </c>
      <c r="B16" s="10">
        <f>'Watershed plans'!B14</f>
        <v/>
      </c>
      <c r="C16" s="20">
        <f>IF('Watershed plans'!C14=1,'Watershed plans'!J14,"")</f>
        <v/>
      </c>
      <c r="D16" s="26">
        <f>IF('Watershed plans'!C14=1,'Watershed plans'!K14,"")</f>
        <v/>
      </c>
    </row>
    <row r="17">
      <c r="A17" s="6">
        <f>'Watershed plans'!F15</f>
        <v/>
      </c>
      <c r="B17" s="10">
        <f>'Watershed plans'!B15</f>
        <v/>
      </c>
      <c r="C17" s="20">
        <f>IF('Watershed plans'!C15=1,'Watershed plans'!J15,"")</f>
        <v/>
      </c>
      <c r="D17" s="26">
        <f>IF('Watershed plans'!C15=1,'Watershed plans'!K15,"")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2"/>
  <sheetViews>
    <sheetView showGridLines="0" workbookViewId="0">
      <selection activeCell="A1" sqref="A1"/>
    </sheetView>
  </sheetViews>
  <sheetFormatPr baseColWidth="8" defaultRowHeight="15"/>
  <cols>
    <col width="13" customWidth="1" style="8" min="1" max="1"/>
    <col width="13" customWidth="1" style="8" min="2" max="2"/>
    <col width="13" customWidth="1" style="8" min="3" max="3"/>
    <col width="13" customWidth="1" style="8" min="4" max="4"/>
    <col width="13" customWidth="1" style="8" min="5" max="5"/>
    <col width="13" customWidth="1" style="8" min="6" max="6"/>
    <col width="13" customWidth="1" style="8" min="7" max="7"/>
    <col width="13" customWidth="1" style="8" min="8" max="8"/>
    <col width="10" customWidth="1" style="8" min="11" max="11"/>
    <col width="13" customWidth="1" style="8" min="13" max="13"/>
    <col width="13" customWidth="1" style="8" min="14" max="14"/>
  </cols>
  <sheetData>
    <row r="1">
      <c r="A1" s="1" t="inlineStr">
        <is>
          <t>Charts: watershed cost-effectiveness and incremental cost</t>
        </is>
      </c>
    </row>
    <row r="2">
      <c r="A2" s="2" t="inlineStr">
        <is>
          <t>Built from the watershed plans sheet; they update with the inputs.</t>
        </is>
      </c>
    </row>
    <row r="30">
      <c r="A30" s="12" t="inlineStr">
        <is>
          <t>Other plans: lift</t>
        </is>
      </c>
      <c r="B30" s="12" t="inlineStr">
        <is>
          <t>Other plans: cost</t>
        </is>
      </c>
      <c r="C30" s="12" t="inlineStr">
        <is>
          <t>Frontier: lift</t>
        </is>
      </c>
      <c r="D30" s="12" t="inlineStr">
        <is>
          <t>Frontier: cost</t>
        </is>
      </c>
      <c r="E30" s="12" t="inlineStr">
        <is>
          <t>Best buys: lift</t>
        </is>
      </c>
      <c r="F30" s="12" t="inlineStr">
        <is>
          <t>Best buys: cost</t>
        </is>
      </c>
      <c r="G30" s="12" t="inlineStr">
        <is>
          <t>Step boxes: lift</t>
        </is>
      </c>
      <c r="H30" s="12" t="inlineStr">
        <is>
          <t>Step boxes: cost per unit</t>
        </is>
      </c>
      <c r="K30" s="12" t="inlineStr">
        <is>
          <t>(frontier order)</t>
        </is>
      </c>
      <c r="M30" s="12" t="inlineStr">
        <is>
          <t>TSP: lift</t>
        </is>
      </c>
      <c r="N30" s="12" t="inlineStr">
        <is>
          <t>TSP: cost</t>
        </is>
      </c>
    </row>
    <row r="31">
      <c r="A31" s="20">
        <f>IF(AND('Watershed plans'!C12=1,'Watershed plans'!N12&lt;&gt;1),'Watershed plans'!J12,NA())</f>
        <v/>
      </c>
      <c r="B31" s="25">
        <f>IF(AND('Watershed plans'!C12=1,'Watershed plans'!N12&lt;&gt;1),'Watershed plans'!K12,NA())</f>
        <v/>
      </c>
      <c r="C31" s="20">
        <f>IFERROR(INDEX('Watershed plans'!$J$12:$J$15,MATCH(1,$K$31:$K$34,0)),NA())</f>
        <v/>
      </c>
      <c r="D31" s="25">
        <f>IFERROR(INDEX('Watershed plans'!$K$12:$K$15,MATCH(1,$K$31:$K$34,0)),NA())</f>
        <v/>
      </c>
      <c r="E31" s="20">
        <f>IFERROR(INDEX('Watershed plans'!$J$12:$J$15,MATCH(1,'Watershed plans'!$S$12:$S$15,0)),NA())</f>
        <v/>
      </c>
      <c r="F31" s="25">
        <f>IFERROR(INDEX('Watershed plans'!$K$12:$K$15,MATCH(1,'Watershed plans'!$S$12:$S$15,0)),NA())</f>
        <v/>
      </c>
      <c r="G31" s="20">
        <f>E31</f>
        <v/>
      </c>
      <c r="H31" s="25">
        <f>IF(ISNUMBER(H32),0,NA())</f>
        <v/>
      </c>
      <c r="K31" s="10">
        <f>IF('Watershed plans'!N12=1,1+SUMPRODUCT('Watershed plans'!$N$12:$N$15*(('Watershed plans'!$G$12:$G$15&lt;'Watershed plans'!G12)+('Watershed plans'!$G$12:$G$15='Watershed plans'!G12)*('Watershed plans'!$A$12:$A$15&lt;'Watershed plans'!A12))),0)</f>
        <v/>
      </c>
      <c r="M31" s="20">
        <f>IFERROR(INDEX('Watershed plans'!$J$12:$J$15,MATCH('Watershed summary'!$B$93,'Watershed plans'!$F$12:$F$15,0)),NA())</f>
        <v/>
      </c>
      <c r="N31" s="25">
        <f>IFERROR(INDEX('Watershed plans'!$K$12:$K$15,MATCH('Watershed summary'!$B$93,'Watershed plans'!$F$12:$F$15,0)),NA())</f>
        <v/>
      </c>
    </row>
    <row r="32">
      <c r="A32" s="20">
        <f>IF(AND('Watershed plans'!C13=1,'Watershed plans'!N13&lt;&gt;1),'Watershed plans'!J13,NA())</f>
        <v/>
      </c>
      <c r="B32" s="25">
        <f>IF(AND('Watershed plans'!C13=1,'Watershed plans'!N13&lt;&gt;1),'Watershed plans'!K13,NA())</f>
        <v/>
      </c>
      <c r="C32" s="20">
        <f>IFERROR(INDEX('Watershed plans'!$J$12:$J$15,MATCH(2,$K$31:$K$34,0)),NA())</f>
        <v/>
      </c>
      <c r="D32" s="25">
        <f>IFERROR(INDEX('Watershed plans'!$K$12:$K$15,MATCH(2,$K$31:$K$34,0)),NA())</f>
        <v/>
      </c>
      <c r="E32" s="20">
        <f>IFERROR(INDEX('Watershed plans'!$J$12:$J$15,MATCH(2,'Watershed plans'!$S$12:$S$15,0)),NA())</f>
        <v/>
      </c>
      <c r="F32" s="25">
        <f>IFERROR(INDEX('Watershed plans'!$K$12:$K$15,MATCH(2,'Watershed plans'!$S$12:$S$15,0)),NA())</f>
        <v/>
      </c>
      <c r="G32" s="20">
        <f>E31</f>
        <v/>
      </c>
      <c r="H32" s="25">
        <f>IFERROR(INDEX('Watershed plans'!$X$12:$X$15,MATCH(2,'Watershed plans'!$S$12:$S$15,0)),NA())</f>
        <v/>
      </c>
      <c r="K32" s="10">
        <f>IF('Watershed plans'!N13=1,1+SUMPRODUCT('Watershed plans'!$N$12:$N$15*(('Watershed plans'!$G$12:$G$15&lt;'Watershed plans'!G13)+('Watershed plans'!$G$12:$G$15='Watershed plans'!G13)*('Watershed plans'!$A$12:$A$15&lt;'Watershed plans'!A13))),0)</f>
        <v/>
      </c>
    </row>
    <row r="33">
      <c r="A33" s="20">
        <f>IF(AND('Watershed plans'!C14=1,'Watershed plans'!N14&lt;&gt;1),'Watershed plans'!J14,NA())</f>
        <v/>
      </c>
      <c r="B33" s="25">
        <f>IF(AND('Watershed plans'!C14=1,'Watershed plans'!N14&lt;&gt;1),'Watershed plans'!K14,NA())</f>
        <v/>
      </c>
      <c r="C33" s="20">
        <f>IFERROR(INDEX('Watershed plans'!$J$12:$J$15,MATCH(3,$K$31:$K$34,0)),NA())</f>
        <v/>
      </c>
      <c r="D33" s="25">
        <f>IFERROR(INDEX('Watershed plans'!$K$12:$K$15,MATCH(3,$K$31:$K$34,0)),NA())</f>
        <v/>
      </c>
      <c r="E33" s="20">
        <f>IFERROR(INDEX('Watershed plans'!$J$12:$J$15,MATCH(3,'Watershed plans'!$S$12:$S$15,0)),NA())</f>
        <v/>
      </c>
      <c r="F33" s="25">
        <f>IFERROR(INDEX('Watershed plans'!$K$12:$K$15,MATCH(3,'Watershed plans'!$S$12:$S$15,0)),NA())</f>
        <v/>
      </c>
      <c r="G33" s="20">
        <f>E32</f>
        <v/>
      </c>
      <c r="H33" s="25">
        <f>H32</f>
        <v/>
      </c>
      <c r="K33" s="10">
        <f>IF('Watershed plans'!N14=1,1+SUMPRODUCT('Watershed plans'!$N$12:$N$15*(('Watershed plans'!$G$12:$G$15&lt;'Watershed plans'!G14)+('Watershed plans'!$G$12:$G$15='Watershed plans'!G14)*('Watershed plans'!$A$12:$A$15&lt;'Watershed plans'!A14))),0)</f>
        <v/>
      </c>
    </row>
    <row r="34">
      <c r="A34" s="20">
        <f>IF(AND('Watershed plans'!C15=1,'Watershed plans'!N15&lt;&gt;1),'Watershed plans'!J15,NA())</f>
        <v/>
      </c>
      <c r="B34" s="25">
        <f>IF(AND('Watershed plans'!C15=1,'Watershed plans'!N15&lt;&gt;1),'Watershed plans'!K15,NA())</f>
        <v/>
      </c>
      <c r="C34" s="20">
        <f>IFERROR(INDEX('Watershed plans'!$J$12:$J$15,MATCH(4,$K$31:$K$34,0)),NA())</f>
        <v/>
      </c>
      <c r="D34" s="25">
        <f>IFERROR(INDEX('Watershed plans'!$K$12:$K$15,MATCH(4,$K$31:$K$34,0)),NA())</f>
        <v/>
      </c>
      <c r="E34" s="20">
        <f>IFERROR(INDEX('Watershed plans'!$J$12:$J$15,MATCH(4,'Watershed plans'!$S$12:$S$15,0)),NA())</f>
        <v/>
      </c>
      <c r="F34" s="25">
        <f>IFERROR(INDEX('Watershed plans'!$K$12:$K$15,MATCH(4,'Watershed plans'!$S$12:$S$15,0)),NA())</f>
        <v/>
      </c>
      <c r="G34" s="20">
        <f>E32</f>
        <v/>
      </c>
      <c r="H34" s="25">
        <f>IF(ISNUMBER(H32),0,NA())</f>
        <v/>
      </c>
      <c r="K34" s="10">
        <f>IF('Watershed plans'!N15=1,1+SUMPRODUCT('Watershed plans'!$N$12:$N$15*(('Watershed plans'!$G$12:$G$15&lt;'Watershed plans'!G15)+('Watershed plans'!$G$12:$G$15='Watershed plans'!G15)*('Watershed plans'!$A$12:$A$15&lt;'Watershed plans'!A15))),0)</f>
        <v/>
      </c>
    </row>
    <row r="35">
      <c r="G35" s="20">
        <f>E32</f>
        <v/>
      </c>
      <c r="H35" s="25">
        <f>IF(ISNUMBER(H36),0,NA())</f>
        <v/>
      </c>
    </row>
    <row r="36">
      <c r="G36" s="20">
        <f>E32</f>
        <v/>
      </c>
      <c r="H36" s="25">
        <f>IFERROR(INDEX('Watershed plans'!$X$12:$X$15,MATCH(3,'Watershed plans'!$S$12:$S$15,0)),NA())</f>
        <v/>
      </c>
    </row>
    <row r="37">
      <c r="G37" s="20">
        <f>E33</f>
        <v/>
      </c>
      <c r="H37" s="25">
        <f>H36</f>
        <v/>
      </c>
    </row>
    <row r="38">
      <c r="G38" s="20">
        <f>E33</f>
        <v/>
      </c>
      <c r="H38" s="25">
        <f>IF(ISNUMBER(H36),0,NA())</f>
        <v/>
      </c>
    </row>
    <row r="39">
      <c r="G39" s="20">
        <f>E33</f>
        <v/>
      </c>
      <c r="H39" s="25">
        <f>IF(ISNUMBER(H40),0,NA())</f>
        <v/>
      </c>
    </row>
    <row r="40">
      <c r="G40" s="20">
        <f>E33</f>
        <v/>
      </c>
      <c r="H40" s="25">
        <f>IFERROR(INDEX('Watershed plans'!$X$12:$X$15,MATCH(4,'Watershed plans'!$S$12:$S$15,0)),NA())</f>
        <v/>
      </c>
    </row>
    <row r="41">
      <c r="G41" s="20">
        <f>E34</f>
        <v/>
      </c>
      <c r="H41" s="25">
        <f>H40</f>
        <v/>
      </c>
    </row>
    <row r="42">
      <c r="G42" s="20">
        <f>E34</f>
        <v/>
      </c>
      <c r="H42" s="25">
        <f>IF(ISNUMBER(H40),0,NA())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4:D14"/>
  <sheetViews>
    <sheetView workbookViewId="0">
      <selection activeCell="A1" sqref="A1"/>
    </sheetView>
  </sheetViews>
  <sheetFormatPr baseColWidth="8" defaultRowHeight="15"/>
  <sheetData>
    <row r="4">
      <c r="B4" t="n">
        <v>0.03</v>
      </c>
    </row>
    <row r="5">
      <c r="B5" t="n">
        <v>50</v>
      </c>
    </row>
    <row r="6">
      <c r="B6" t="n">
        <v>12</v>
      </c>
    </row>
    <row r="7">
      <c r="B7" t="inlineStr">
        <is>
          <t>END</t>
        </is>
      </c>
    </row>
    <row r="8">
      <c r="B8" t="inlineStr">
        <is>
          <t>END_OF_YEAR</t>
        </is>
      </c>
    </row>
    <row r="9">
      <c r="B9" t="n">
        <v>2</v>
      </c>
    </row>
    <row r="10">
      <c r="B10" t="n">
        <v>3</v>
      </c>
    </row>
    <row r="14">
      <c r="B14" t="n">
        <v>0</v>
      </c>
      <c r="C14" t="n">
        <v>5</v>
      </c>
      <c r="D14" t="n">
        <v>50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F6:O20"/>
  <sheetViews>
    <sheetView workbookViewId="0">
      <selection activeCell="A1" sqref="A1"/>
    </sheetView>
  </sheetViews>
  <sheetFormatPr baseColWidth="8" defaultRowHeight="15"/>
  <sheetData>
    <row r="6">
      <c r="L6" t="n">
        <v>1</v>
      </c>
      <c r="M6" t="n">
        <v>1</v>
      </c>
      <c r="N6" t="n">
        <v>1</v>
      </c>
    </row>
    <row r="7">
      <c r="L7" t="n">
        <v>1</v>
      </c>
      <c r="M7" t="n">
        <v>4</v>
      </c>
      <c r="N7" t="n">
        <v>5</v>
      </c>
    </row>
    <row r="8">
      <c r="L8" t="n">
        <v>1</v>
      </c>
      <c r="M8" t="n">
        <v>2</v>
      </c>
      <c r="N8" t="n">
        <v>2.5</v>
      </c>
    </row>
    <row r="9">
      <c r="L9" t="n">
        <v>2</v>
      </c>
      <c r="M9" t="n">
        <v>2</v>
      </c>
      <c r="N9" t="n">
        <v>2</v>
      </c>
    </row>
    <row r="10">
      <c r="L10" t="n">
        <v>2</v>
      </c>
      <c r="M10" t="n">
        <v>5</v>
      </c>
      <c r="N10" t="n">
        <v>6</v>
      </c>
    </row>
    <row r="11">
      <c r="F11" t="n">
        <v>0.2</v>
      </c>
      <c r="G11" t="n">
        <v>0.2</v>
      </c>
      <c r="H11" t="n">
        <v>0.2</v>
      </c>
      <c r="I11" t="n">
        <v>3</v>
      </c>
      <c r="J11" t="n">
        <v>3</v>
      </c>
      <c r="K11" t="n">
        <v>3</v>
      </c>
    </row>
    <row r="12">
      <c r="F12" t="n">
        <v>0.2</v>
      </c>
      <c r="G12" t="n">
        <v>0.5</v>
      </c>
      <c r="H12" t="n">
        <v>0.7</v>
      </c>
      <c r="I12" t="n">
        <v>3</v>
      </c>
      <c r="J12" t="n">
        <v>3.5</v>
      </c>
      <c r="K12" t="n">
        <v>3.5</v>
      </c>
    </row>
    <row r="13">
      <c r="F13" t="n">
        <v>0.2</v>
      </c>
      <c r="G13" t="n">
        <v>0.6</v>
      </c>
      <c r="H13" t="n">
        <v>0.8</v>
      </c>
      <c r="I13" t="n">
        <v>3</v>
      </c>
      <c r="J13" t="n">
        <v>3</v>
      </c>
      <c r="K13" t="n">
        <v>3</v>
      </c>
    </row>
    <row r="14">
      <c r="F14" t="n">
        <v>0.4</v>
      </c>
      <c r="G14" t="n">
        <v>0.4</v>
      </c>
      <c r="H14" t="n">
        <v>0.4</v>
      </c>
      <c r="I14" t="n">
        <v>1</v>
      </c>
      <c r="J14" t="n">
        <v>1</v>
      </c>
      <c r="K14" t="n">
        <v>1</v>
      </c>
    </row>
    <row r="15">
      <c r="F15" t="n">
        <v>0.4</v>
      </c>
      <c r="G15" t="n">
        <v>0.4</v>
      </c>
      <c r="H15" t="n">
        <v>0.9</v>
      </c>
      <c r="I15" t="n">
        <v>1</v>
      </c>
      <c r="J15" t="n">
        <v>1</v>
      </c>
      <c r="K15" t="n">
        <v>2</v>
      </c>
    </row>
    <row r="16">
      <c r="O16" t="n">
        <v>0</v>
      </c>
    </row>
    <row r="17">
      <c r="O17" t="n">
        <v>1.5</v>
      </c>
    </row>
    <row r="18">
      <c r="O18" t="n">
        <v>0.5</v>
      </c>
    </row>
    <row r="19">
      <c r="O19" t="n">
        <v>0</v>
      </c>
    </row>
    <row r="20">
      <c r="O20" t="n">
        <v>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D6:G10"/>
  <sheetViews>
    <sheetView workbookViewId="0">
      <selection activeCell="A1" sqref="A1"/>
    </sheetView>
  </sheetViews>
  <sheetFormatPr baseColWidth="8" defaultRowHeight="15"/>
  <sheetData>
    <row r="6">
      <c r="D6" t="n">
        <v>0</v>
      </c>
      <c r="G6" t="n">
        <v>4</v>
      </c>
    </row>
    <row r="7">
      <c r="D7" t="n">
        <v>250000</v>
      </c>
      <c r="G7" t="n">
        <v>4</v>
      </c>
    </row>
    <row r="8">
      <c r="D8" t="n">
        <v>180000</v>
      </c>
      <c r="G8" t="n">
        <v>4</v>
      </c>
    </row>
    <row r="9">
      <c r="D9" t="n">
        <v>0</v>
      </c>
      <c r="G9" t="n">
        <v>4</v>
      </c>
    </row>
    <row r="10">
      <c r="D10" t="n">
        <v>300000</v>
      </c>
      <c r="G10" t="n">
        <v>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5:C6"/>
  <sheetViews>
    <sheetView workbookViewId="0">
      <selection activeCell="A1" sqref="A1"/>
    </sheetView>
  </sheetViews>
  <sheetFormatPr baseColWidth="8" defaultRowHeight="15"/>
  <sheetData>
    <row r="5">
      <c r="C5" t="inlineStr">
        <is>
          <t>A1</t>
        </is>
      </c>
    </row>
    <row r="6">
      <c r="C6" t="inlineStr">
        <is>
          <t>B1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N12:Z15"/>
  <sheetViews>
    <sheetView workbookViewId="0">
      <selection activeCell="A1" sqref="A1"/>
    </sheetView>
  </sheetViews>
  <sheetFormatPr baseColWidth="8" defaultRowHeight="15"/>
  <sheetData>
    <row r="12">
      <c r="N12" t="n">
        <v>1</v>
      </c>
      <c r="R12" t="n">
        <v>1</v>
      </c>
      <c r="Z12" t="n">
        <v>1</v>
      </c>
    </row>
    <row r="13">
      <c r="N13" t="n">
        <v>0</v>
      </c>
      <c r="R13" t="n">
        <v>0</v>
      </c>
      <c r="Z13" t="n">
        <v>0</v>
      </c>
    </row>
    <row r="14">
      <c r="N14" t="n">
        <v>1</v>
      </c>
      <c r="R14" t="n">
        <v>1</v>
      </c>
      <c r="Z14" t="n">
        <v>1</v>
      </c>
    </row>
    <row r="15">
      <c r="N15" t="n">
        <v>1</v>
      </c>
      <c r="R15" t="n">
        <v>1</v>
      </c>
      <c r="Z15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K50:L89"/>
  <sheetViews>
    <sheetView workbookViewId="0">
      <selection activeCell="A1" sqref="A1"/>
    </sheetView>
  </sheetViews>
  <sheetFormatPr baseColWidth="8" defaultRowHeight="15"/>
  <sheetData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G5:L9"/>
  <sheetViews>
    <sheetView workbookViewId="0">
      <selection activeCell="A1" sqref="A1"/>
    </sheetView>
  </sheetViews>
  <sheetFormatPr baseColWidth="8" defaultRowHeight="15"/>
  <sheetData>
    <row r="5">
      <c r="G5" t="n">
        <v>0</v>
      </c>
      <c r="L5" t="n">
        <v>0</v>
      </c>
    </row>
    <row r="6">
      <c r="G6" t="n">
        <v>6.2075</v>
      </c>
      <c r="L6" t="n">
        <v>9752.377544367695</v>
      </c>
    </row>
    <row r="7">
      <c r="G7" t="n">
        <v>3.085</v>
      </c>
      <c r="L7" t="n">
        <v>7021.71183194474</v>
      </c>
    </row>
    <row r="8">
      <c r="G8" t="n">
        <v>0</v>
      </c>
      <c r="L8" t="n">
        <v>0</v>
      </c>
    </row>
    <row r="9">
      <c r="G9" t="n">
        <v>5.93</v>
      </c>
      <c r="L9" t="n">
        <v>11702.85305324123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L6:P12"/>
  <sheetViews>
    <sheetView workbookViewId="0">
      <selection activeCell="A1" sqref="A1"/>
    </sheetView>
  </sheetViews>
  <sheetFormatPr baseColWidth="8" defaultRowHeight="15"/>
  <sheetData>
    <row r="6">
      <c r="L6" t="n">
        <v>1</v>
      </c>
      <c r="P6" t="n">
        <v>1</v>
      </c>
    </row>
    <row r="7">
      <c r="L7" t="n">
        <v>1</v>
      </c>
      <c r="P7" t="n">
        <v>1</v>
      </c>
    </row>
    <row r="8">
      <c r="L8" t="n">
        <v>1</v>
      </c>
      <c r="P8" t="n">
        <v>0</v>
      </c>
    </row>
    <row r="11">
      <c r="L11" t="n">
        <v>1</v>
      </c>
      <c r="P11" t="n">
        <v>1</v>
      </c>
    </row>
    <row r="12">
      <c r="L12" t="n">
        <v>1</v>
      </c>
      <c r="P12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ceica-calculator</t>
        </is>
      </c>
      <c r="B1" t="n">
        <v>2</v>
      </c>
    </row>
    <row r="2">
      <c r="A2" t="inlineStr">
        <is>
          <t>project</t>
        </is>
      </c>
      <c r="B2" t="n">
        <v>1</v>
      </c>
      <c r="C2" t="inlineStr">
        <is>
          <t>{"benefits":{"modules":[{"id":"hab","method":"HU","name":"Habitat","quantity_units":""},{"id":"rip","method":"INDEX_X_QUANTITY","name":"Riparian","quantity_units":"acres"},{"id":"wet","method":"AAHU","name":"Wetland","quantity_units":""}],"staf_mapping":"A","target_years":[0.0,5.0,50.0]},"cost_categories":[{"id":"construction","idc_applies":true,"name":"Construction"},{"id":"monitoring","idc_applies":false,"name":"Monitoring"},{"id":"adaptive_management","idc_applies":false,"name":"Adaptive management"}],"decisions":{"sites":{},"watershed":{"basis":null,"final_array":{},"steps":{},"tsp":null,"tsp_plan_type":"National Ecosystem Restoration (NER) plan","tsp_rationale":""}},"description":"","labels":{"annual_output_name":"Average annual habitat units","annual_output_short":"AAHU","lift_name":"Ecological lift","output_name":"Habitat units","output_short":"HU"},"name":"Mixed test","project_id":"golden-mixed","provenance":{},"report":{"contents":"FULL","date":"","prepared_by":"","status":"DRAFT","title":""},"schema_version":"ceica-project/3","settings":{"aahu_method":"TRAPEZOID","cost_decimals":2,"discount_rate":0.03,"idc_method":"END","idc_periods_per_year":12,"output_decimals":3,"period_of_analysis":50,"price_level":"","recurring_timing":"END_OF_YEAR"},"sites":[{"alternatives":[{"costs":{"annual_override":null,"construction_months":4.0,"first_costs":{"construction":0.0},"recurring":[]},"description":"","id":"NA","is_no_action":true,"name":"","outputs":[{"aahu":null,"module_id":"hab","quantity":[],"scores":{},"values":[1.0,1.0,1.0]},{"aahu":null,"module_id":"rip","quantity":[3.0,3.0,3.0],"scores":{},"values":[0.2,0.2,0.2]},{"aahu":0.0,"module_id":"wet","quantity":[],"scores":{},"values":[]}]},{"costs":{"annual_override":null,"construction_months":4.0,"first_costs":{"construction":250000.0},"recurring":[]},"description":"","id":"A1","is_no_action":false,"name":"","outputs":[{"aahu":null,"module_id":"hab","quantity":[],"scores":{},"values":[1.0,4.0,5.0]},{"aahu":null,"module_id":"rip","quantity":[3.0,3.5,3.5],"scores":{},"values":[0.2,0.5,0.7]},{"aahu":1.5,"module_id":"wet","quantity":[],"scores":{},"values":[]}]},{"costs":{"annual_override":null,"construction_months":4.0,"first_costs":{"construction":180000.0},"recurring":[]},"description":"","id":"A2","is_no_action":false,"name":"","outputs":[{"aahu":null,"module_id":"hab","quantity":[],"scores":{},"values":[1.0,2.0,2.5]},{"aahu":null,"module_id":"rip","quantity":[3.0,3.0,3.0],"scores":{},"values":[0.2,0.6,0.8]},{"aahu":0.5,"module_id":"wet","quantity":[],"scores":{},"values":[]}]}],"description":"","id":"A","name":"","staf_not_assessed":{},"staf_source":{}},{"alternatives":[{"costs":{"annual_override":null,"construction_months":4.0,"first_costs":{"construction":0.0},"recurring":[]},"description":"","id":"NA","is_no_action":true,"name":"","outputs":[{"aahu":null,"module_id":"hab","quantity":[],"scores":{},"values":[2.0,2.0,2.0]},{"aahu":null,"module_id":"rip","quantity":[1.0,1.0,1.0],"scores":{},"values":[0.4,0.4,0.4]},{"aahu":0.0,"module_id":"wet","quantity":[],"scores":{},"values":[]}]},{"costs":{"annual_override":null,"construction_months":4.0,"first_costs":{"construction":300000.0},"recurring":[]},"description":"","id":"B1","is_no_action":false,"name":"","outputs":[{"aahu":null,"module_id":"hab","quantity":[],"scores":{},"values":[2.0,5.0,6.0]},{"aahu":null,"module_id":"rip","quantity":[1.0,1.0,2.0],"scores":{},"values":[0.4,0.4,0.9]},{"aahu":2.0,"module_id":"wet","quantity":[],"scores":{},"values":[]}]}],"description":"","id":"B","name":"","staf_not_assessed":{},"staf_source":{}}],"watershed":{"carried":{},"mode":"RECOMMENDED","rules":[]}}</t>
        </is>
      </c>
    </row>
    <row r="3">
      <c r="A3" t="inlineStr">
        <is>
          <t>meta</t>
        </is>
      </c>
      <c r="B3" t="n">
        <v>1</v>
      </c>
      <c r="C3" t="inlineStr">
        <is>
          <t>{"appVersion":"1.0.0","engineVersion":"1","format":"ceica-calculator","formatVersion":2,"layout":[{"cell":"B4","kind":"number","path":["settings","discount_rate"],"sheet":"Parameters"},{"cell":"B5","kind":"number","path":["settings","period_of_analysis"],"sheet":"Parameters"},{"cell":"B6","kind":"number","path":["settings","idc_periods_per_year"],"sheet":"Parameters"},{"cell":"B7","kind":"text","path":["settings","idc_method"],"sheet":"Parameters"},{"cell":"B8","kind":"text","path":["settings","recurring_timing"],"sheet":"Parameters"},{"cell":"B9","kind":"number","path":["settings","cost_decimals"],"sheet":"Parameters"},{"cell":"B10","kind":"number","path":["settings","output_decimals"],"sheet":"Parameters"},{"cell":"B14","kind":"number","path":["benefits","target_years",0],"sheet":"Parameters"},{"cell":"C14","kind":"number","path":["benefits","target_years",1],"sheet":"Parameters"},{"cell":"D14","kind":"number","path":["benefits","target_years",2],"sheet":"Parameters"},{"cell":"L6","kind":"optional","path":["sites",0,"alternatives",0,"outputs",{"module_id":"hab"},"values",0],"sheet":"Benefits"},{"cell":"M6","kind":"optional","path":["sites",0,"alternatives",0,"outputs",{"module_id":"hab"},"values",1],"sheet":"Benefits"},{"cell":"N6","kind":"optional","path":["sites",0,"alternatives",0,"outputs",{"module_id":"hab"},"values",2],"sheet":"Benefits"},{"cell":"L7","kind":"optional","path":["sites",0,"alternatives",1,"outputs",{"module_id":"hab"},"values",0],"sheet":"Benefits"},{"cell":"M7","kind":"optional","path":["sites",0,"alternatives",1,"outputs",{"module_id":"hab"},"values",1],"sheet":"Benefits"},{"cell":"N7","kind":"optional","path":["sites",0,"alternatives",1,"outputs",{"module_id":"hab"},"values",2],"sheet":"Benefits"},{"cell":"L8","kind":"optional","path":["sites",0,"alternatives",2,"outputs",{"module_id":"hab"},"values",0],"sheet":"Benefits"},{"cell":"M8","kind":"optional","path":["sites",0,"alternatives",2,"outputs",{"module_id":"hab"},"values",1],"sheet":"Benefits"},{"cell":"N8","kind":"optional","path":["sites",0,"alternatives",2,"outputs",{"module_id":"hab"},"values",2],"sheet":"Benefits"},{"cell":"L9","kind":"optional","path":["sites",1,"alternatives",0,"outputs",{"module_id":"hab"},"values",0],"sheet":"Benefits"},{"cell":"M9","kind":"optional","path":["sites",1,"alternatives",0,"outputs",{"module_id":"hab"},"values",1],"sheet":"Benefits"},{"cell":"N9","kind":"optional","path":["sites",1,"alternatives",0,"outputs",{"module_id":"hab"},"values",2],"sheet":"Benefits"},{"cell":"L10","kind":"optional","path":["sites",1,"alternatives",1,"outputs",{"module_id":"hab"},"values",0],"sheet":"Benefits"},{"cell":"M10","kind":"optional","path":["sites",1,"alternatives",1,"outputs",{"module_id":"hab"},"values",1],"sheet":"Benefits"},{"cell":"N10","kind":"optional","path":["sites",1,"alternatives",1,"outputs",{"module_id":"hab"},"values",2],"sheet":"Benefits"},{"cell":"F11","kind":"optional","path":["sites",0,"alternatives",0,"outputs",{"module_id":"rip"},"values",0],"sheet":"Benefits"},{"cell":"I11","kind":"optional","path":["sites",0,"alternatives",0,"outputs",{"module_id":"rip"},"quantity",0],"sheet":"Benefits"},{"cell":"G11","kind":"optional","path":["sites",0,"alternatives",0,"outputs",{"module_id":"rip"},"values",1],"sheet":"Benefits"},{"cell":"J11","kind":"optional","path":["sites",0,"alternatives",0,"outputs",{"module_id":"rip"},"quantity",1],"sheet":"Benefits"},{"cell":"H11","kind":"optional","path":["sites",0,"alternatives",0,"outputs",{"module_id":"rip"},"values",2],"sheet":"Benefits"},{"cell":"K11","kind":"optional","path":["sites",0,"alternatives",0,"outputs",{"module_id":"rip"},"quantity",2],"sheet":"Benefits"},{"cell":"F12","kind":"optional","path":["sites",0,"alternatives",1,"outputs",{"module_id":"rip"},"values",0],"sheet":"Benefits"},{"cell":"I12","kind":"optional","path":["sites",0,"alternatives",1,"outputs",{"module_id":"rip"},"quantity",0],"sheet":"Benefits"},{"cell":"G12","kind":"optional","path":["sites",0,"alternatives",1,"outputs",{"module_id":"rip"},"values",1],"sheet":"Benefits"},{"cell":"J12","kind":"optional","path":["sites",0,"alternatives",1,"outputs",{"module_id":"rip"},"quantity",1],"sheet":"Benefits"},{"cell":"H12","kind":"optional","path":["sites",0,"alternatives",1,"outputs",{"module_id":"rip"},"values",2],"sheet":"Benefits"},{"cell":"K12","kind":"optional","path":["sites",0,"alternatives",1,"outputs",{"module_id":"rip"},"quantity",2],"sheet":"Benefits"},{"cell":"F13","kind":"optional","path":["sites",0,"alternatives",2,"outputs",{"module_id":"rip"},"values",0],"sheet":"Benefits"},{"cell":"I13","kind":"optional","path":["sites",0,"alternatives",2,"outputs",{"module_id":"rip"},"quantity",0],"sheet":"Benefits"},{"cell":"G13","kind":"optional","path":["sites",0,"alternatives",2,"outputs",{"module_id":"rip"},"values",1],"sheet":"Benefits"},{"cell":"J13","kind":"optional","path":["sites",0,"alternatives",2,"outputs",{"module_id":"rip"},"quantity",1],"sheet":"Benefits"},{"cell":"H13","kind":"optional","path":["sites",0,"alternatives",2,"outputs",{"module_id":"rip"},"values",2],"sheet":"Benefits"},{"cell":"K13","kind":"optional","path":["sites",0,"alternatives",2,"outputs",{"module_id":"rip"},"quantity",2],"sheet":"Benefits"},{"cell":"F14","kind":"optional","path":["sites",1,"alternatives",0,"outputs",{"module_id":"rip"},"values",0],"sheet":"Benefits"},{"cell":"I14","kind":"optional","path":["sites",1,"alternatives",0,"outputs",{"module_id":"rip"},"quantity",0],"sheet":"Benefits"},{"cell":"G14","kind":"optional","path":["sites",1,"alternatives",0,"outputs",{"module_id":"rip"},"values",1],"sheet":"Benefits"},{"cell":"J14","kind":"optional","path":["sites",1,"alternatives",0,"outputs",{"module_id":"rip"},"quantity",1],"sheet":"Benefits"},{"cell":"H14","kind":"optional","path":["sites",1,"alternatives",0,"outputs",{"module_id":"rip"},"values",2],"sheet":"Benefits"},{"cell":"K14","kind":"optional","path":["sites",1,"alternatives",0,"outputs",{"module_id":"rip"},"quantity",2],"sheet":"Benefits"},{"cell":"F15","kind":"optional","path":["sites",1,"alternatives",1,"outputs",{"module_id":"rip"},"values",0],"sheet":"Benefits"},{"cell":"I15","kind":"optional","path":["sites",1,"alternatives",1,"outputs",{"module_id":"rip"},"quantity",0],"sheet":"Benefits"},{"cell":"G15","kind":"optional","path":["sites",1,"alternatives",1,"outputs",{"module_id":"rip"},"values",1],"sheet":"Benefits"},{"cell":"J15","kind":"optional","path":["sites",1,"alternatives",1,"outputs",{"module_id":"rip"},"quantity",1],"sheet":"Benefits"},{"cell":"H15","kind":"optional","path":["sites",1,"alternatives",1,"outputs",{"module_id":"rip"},"values",2],"sheet":"Benefits"},{"cell":"K15","kind":"optional","path":["sites",1,"alternatives",1,"outputs",{"module_id":"rip"},"quantity",2],"sheet":"Benefits"},{"cell":"O16","kind":"optional","path":["sites",0,"alternatives",0,"outputs",{"module_id":"wet"},"aahu"],"sheet":"Benefits"},{"cell":"O17","kind":"optional","path":["sites",0,"alternatives",1,"outputs",{"module_id":"wet"},"aahu"],"sheet":"Benefits"},{"cell":"O18","kind":"optional","path":["sites",0,"alternatives",2,"outputs",{"module_id":"wet"},"aahu"],"sheet":"Benefits"},{"cell":"O19","kind":"optional","path":["sites",1,"alternatives",0,"outputs",{"module_id":"wet"},"aahu"],"sheet":"Benefits"},{"cell":"O20","kind":"optional","path":["sites",1,"alternatives",1,"outputs",{"module_id":"wet"},"aahu"],"sheet":"Benefits"},{"cell":"D6","kind":"number","path":["sites",0,"alternatives",0,"costs","first_costs","construction"],"sheet":"Costs"},{"cell":"E6","kind":"number","path":["sites",0,"alternatives",0,"costs","first_costs","monitoring"],"sheet":"Costs"},{"cell":"F6","kind":"number","path":["sites",0,"alternatives",0,"costs","first_costs","adaptive_management"],"sheet":"Costs"},{"cell":"G6","kind":"number","path":["sites",0,"alternatives",0,"costs","construction_months"],"sheet":"Costs"},{"cell":"L6","kind":"optional","path":["sites",0,"alternatives",0,"costs","annual_override"],"sheet":"Costs"},{"cell":"D7","kind":"number","path":["sites",0,"alternatives",1,"costs","first_costs","construction"],"sheet":"Costs"},{"cell":"E7","kind":"number","path":["sites",0,"alternatives",1,"costs","first_costs","monitoring"],"sheet":"Costs"},{"cell":"F7","kind":"number","path":["sites",0,"alternatives",1,"costs","first_costs","adaptive_management"],"sheet":"Costs"},{"cell":"G7","kind":"number","path":["sites",0,"alternatives",1,"costs","construction_months"],"sheet":"Costs"},{"cell":"L7","kind":"optional","path":["sites",0,"alternatives",1,"costs","annual_override"],"sheet":"Costs"},{"cell":"D8","kind":"number","path":["sites",0,"alternatives",2,"costs","first_costs","construction"],"sheet":"Costs"},{"cell":"E8","kind":"number","path":["sites",0,"alternatives",2,"costs","first_costs","monitoring"],"sheet":"Costs"},{"cell":"F8","kind":"number","path":["sites",0,"alternatives",2,"costs","first_costs","adaptive_management"],"sheet":"Costs"},{"cell":"G8","kind":"number","path":["sites",0,"alternatives",2,"costs","construction_months"],"sheet":"Costs"},{"cell":"L8","kind":"optional","path":["sites",0,"alternatives",2,"costs","annual_override"],"sheet":"Costs"},{"cell":"D9","kind":"number","path":["sites",1,"alternatives",0,"costs","first_costs","construction"],"sheet":"Costs"},{"cell":"E9","kind":"number","path":["sites",1,"alternatives",0,"costs","first_costs","monitoring"],"sheet":"Costs"},{"cell":"F9","kind":"number","path":["sites",1,"alternatives",0,"costs","first_costs","adaptive_management"],"sheet":"Costs"},{"cell":"G9","kind":"number","path":["sites",1,"alternatives",0,"costs","construction_months"],"sheet":"Costs"},{"cell":"L9","kind":"optional","path":["sites",1,"alternatives",0,"costs","annual_override"],"sheet":"Costs"},{"cell":"D10","kind":"number","path":["sites",1,"alternatives",1,"costs","first_costs","construction"],"sheet":"Costs"},{"cell":"E10","kind":"number","path":["sites",1,"alternatives",1,"costs","first_costs","monitoring"],"sheet":"Costs"},{"cell":"F10","kind":"number","path":["sites",1,"alternatives",1,"costs","first_costs","adaptive_management"],"sheet":"Costs"},{"cell":"G10","kind":"number","path":["sites",1,"alternatives",1,"costs","construction_months"],"sheet":"Costs"},{"cell":"L10","kind":"optional","path":["sites",1,"alternatives",1,"costs","annual_override"],"sheet":"Costs"},{"cell":"C5","exported":"A1","kind":"rec","path":["decisions","sites","A","recommended_alt_id"],"sheet":"Sites"},{"cell":"C6","exported":"B1","kind":"rec","path":["decisions","sites","B","recommended_alt_id"],"sheet":"Sites"},{"cell":"Z12","kind":"final","path":["@final",12],"sheet":"Watershed plans"},{"cell":"Z13","kind":"final","path":["@final",13],"sheet":"Watershed plans"},{"cell":"Z14","kind":"final","path":["@final",14],"sheet":"Watershed plans"},{"cell":"Z15","kind":"final","path":["@final",15],"sheet":"Watershed plans"},{"cell":"K50","kind":"text","path":["@worth",0],"sheet":"Watershed summary"},{"cell":"L50","kind":"text","path":["@why",0],"sheet":"Watershed summary"},{"cell":"K51","kind":"text","path":["@worth",1],"sheet":"Watershed summary"},{"cell":"L51","kind":"text","path":["@why",1],"sheet":"Watershed summary"},{"cell":"K52","kind":"text","path":["@worth",2],"sheet":"Watershed summary"},{"cell":"L52","kind":"text","path":["@why",2],"sheet":"Watershed summary"},{"cell":"K53","kind":"text","path":["@worth",3],"sheet":"Watershed summary"},{"cell":"L53","kind":"text","path":["@why",3],"sheet":"Watershed summary"},{"cell":"K54","kind":"text","path":["@worth",4],"sheet":"Watershed summary"},{"cell":"L54","kind":"text","path":["@why",4],"sheet":"Watershed summary"},{"cell":"K55","kind":"text","path":["@worth",5],"sheet":"Watershed summary"},{"cell":"L55","kind":"text","path":["@why",5],"sheet":"Watershed summary"},{"cell":"K56","kind":"text","path":["@worth",6],"sheet":"Watershed summary"},{"cell":"L56","kind":"text","path":["@why",6],"sheet":"Watershed summary"},{"cell":"K57","kind":"text","path":["@worth",7],"sheet":"Watershed summary"},{"cell":"L57","kind":"text","path":["@why",7],"sheet":"Watershed summary"},{"cell":"K58","kind":"text","path":["@worth",8],"sheet":"Watershed summary"},{"cell":"L58","kind":"text","path":["@why",8],"sheet":"Watershed summary"},{"cell":"K59","kind":"text","path":["@worth",9],"sheet":"Watershed summary"},{"cell":"L59","kind":"text","path":["@why",9],"sheet":"Watershed summary"},{"cell":"K60","kind":"text","path":["@worth",10],"sheet":"Watershed summary"},{"cell":"L60","kind":"text","path":["@why",10],"sheet":"Watershed summary"},{"cell":"K61","kind":"text","path":["@worth",11],"sheet":"Watershed summary"},{"cell":"L61","kind":"text","path":["@why",11],"sheet":"Watershed summary"},{"cell":"K62","kind":"text","path":["@worth",12],"sheet":"Watershed summary"},{"cell":"L62","kind":"text","path":["@why",12],"sheet":"Watershed summary"},{"cell":"K63","kind":"text","path":["@worth",13],"sheet":"Watershed summary"},{"cell":"L63","kind":"text","path":["@why",13],"sheet":"Watershed summary"},{"cell":"K64","kind":"text","path":["@worth",14],"sheet":"Watershed summary"},{"cell":"L64","kind":"text","path":["@why",14],"sheet":"Watershed summary"},{"cell":"K65","kind":"text","path":["@worth",15],"sheet":"Watershed summary"},{"cell":"L65","kind":"text","path":["@why",15],"sheet":"Watershed summary"},{"cell":"K66","kind":"text","path":["@worth",16],"sheet":"Watershed summary"},{"cell":"L66","kind":"text","path":["@why",16],"sheet":"Watershed summary"},{"cell":"K67","kind":"text","path":["@worth",17],"sheet":"Watershed summary"},{"cell":"L67","kind":"text","path":["@why",17],"sheet":"Watershed summary"},{"cell":"K68","kind":"text","path":["@worth",18],"sheet":"Watershed summary"},{"cell":"L68","kind":"text","path":["@why",18],"sheet":"Watershed summary"},{"cell":"K69","kind":"text","path":["@worth",19],"sheet":"Watershed summary"},{"cell":"L69","kind":"text","path":["@why",19],"sheet":"Watershed summary"},{"cell":"K70","kind":"text","path":["@worth",20],"sheet":"Watershed summary"},{"cell":"L70","kind":"text","path":["@why",20],"sheet":"Watershed summary"},{"cell":"K71","kind":"text","path":["@worth",21],"sheet":"Watershed summary"},{"cell":"L71","kind":"text","path":["@why",21],"sheet":"Watershed summary"},{"cell":"K72","kind":"text","path":["@worth",22],"sheet":"Watershed summary"},{"cell":"L72","kind":"text","path":["@why",22],"sheet":"Watershed summary"},{"cell":"K73","kind":"text","path":["@worth",23],"sheet":"Watershed summary"},{"cell":"L73","kind":"text","path":["@why",23],"sheet":"Watershed summary"},{"cell":"K74","kind":"text","path":["@worth",24],"sheet":"Watershed summary"},{"cell":"L74","kind":"text","path":["@why",24],"sheet":"Watershed summary"},{"cell":"K75","kind":"text","path":["@worth",25],"sheet":"Watershed summary"},{"cell":"L75","kind":"text","path":["@why",25],"sheet":"Watershed summary"},{"cell":"K76","kind":"text","path":["@worth",26],"sheet":"Watershed summary"},{"cell":"L76","kind":"text","path":["@why",26],"sheet":"Watershed summary"},{"cell":"K77","kind":"text","path":["@worth",27],"sheet":"Watershed summary"},{"cell":"L77","kind":"text","path":["@why",27],"sheet":"Watershed summary"},{"cell":"K78","kind":"text","path":["@worth",28],"sheet":"Watershed summary"},{"cell":"L78","kind":"text","path":["@why",28],"sheet":"Watershed summary"},{"cell":"K79","kind":"text","path":["@worth",29],"sheet":"Watershed summary"},{"cell":"L79","kind":"text","path":["@why",29],"sheet":"Watershed summary"},{"cell":"K80","kind":"text","path":["@worth",30],"sheet":"Watershed summary"},{"cell":"L80","kind":"text","path":["@why",30],"sheet":"Watershed summary"},{"cell":"K81","kind":"text","path":["@worth",31],"sheet":"Watershed summary"},{"cell":"L81","kind":"text","path":["@why",31],"sheet":"Watershed summary"},{"cell":"K82","kind":"text","path":["@worth",32],"sheet":"Watershed summary"},{"cell":"L82","kind":"text","path":["@why",32],"sheet":"Watershed summary"},{"cell":"K83","kind":"text","path":["@worth",33],"sheet":"Watershed summary"},{"cell":"L83","kind":"text","path":["@why",33],"sheet":"Watershed summary"},{"cell":"K84","kind":"text","path":["@worth",34],"sheet":"Watershed summary"},{"cell":"L84","kind":"text","path":["@why",34],"sheet":"Watershed summary"},{"cell":"K85","kind":"text","path":["@worth",35],"sheet":"Watershed summary"},{"cell":"L85","kind":"text","path":["@why",35],"sheet":"Watershed summary"},{"cell":"K86","kind":"text","path":["@worth",36],"sheet":"Watershed summary"},{"cell":"L86","kind":"text","path":["@why",36],"sheet":"Watershed summary"},{"cell":"K87","kind":"text","path":["@worth",37],"sheet":"Watershed summary"},{"cell":"L87","kind":"text","path":["@why",37],"sheet":"Watershed summary"},{"cell":"K88","kind":"text","path":["@worth",38],"sheet":"Watershed summary"},{"cell":"L88","kind":"text","path":["@why",38],"sheet":"Watershed summary"},{"cell":"K89","kind":"text","path":["@worth",39],"sheet":"Watershed summary"},{"cell":"L89","kind":"text","path":["@why",39],"sheet":"Watershed summary"},{"cell":"B93","kind":"tsp","path":["@tsp"],"sheet":"Watershed summary"}],"liveWatershed":true,"planBits":[4,5],"planRowKeys":{"12":"","13":"B=B1","14":"A=A1","15":"A=A1;B=B1"},"planSites":["A","B"],"projectDigest":"8030b2b0f57f","schemaVersion":3}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